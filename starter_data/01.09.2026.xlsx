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59B3AE-3B86-401E-8E8C-F1696B34961D}" xr6:coauthVersionLast="47" xr6:coauthVersionMax="47" xr10:uidLastSave="{00000000-0000-0000-0000-000000000000}"/>
  <bookViews>
    <workbookView xWindow="-108" yWindow="-108" windowWidth="23256" windowHeight="12576" tabRatio="805" activeTab="4" xr2:uid="{00000000-000D-0000-FFFF-FFFF00000000}"/>
  </bookViews>
  <sheets>
    <sheet name="тонн" sheetId="11" r:id="rId1"/>
    <sheet name="Хитой" sheetId="1" r:id="rId2"/>
    <sheet name="тура ака" sheetId="7" r:id="rId3"/>
    <sheet name="дафтарча" sheetId="14" r:id="rId4"/>
    <sheet name="Кунлик" sheetId="2" r:id="rId5"/>
    <sheet name="Приход-Расход" sheetId="6" r:id="rId6"/>
    <sheet name="Чермт Бонус" sheetId="8" r:id="rId7"/>
    <sheet name="Рахим" sheetId="5" r:id="rId8"/>
    <sheet name="Каракул" sheetId="9" r:id="rId9"/>
    <sheet name="тогом" sheetId="13" r:id="rId10"/>
    <sheet name="Гостиница" sheetId="10" r:id="rId11"/>
    <sheet name="Бонусча" sheetId="16" r:id="rId12"/>
    <sheet name="Чугун" sheetId="15" r:id="rId13"/>
  </sheets>
  <definedNames>
    <definedName name="_xlnm._FilterDatabase" localSheetId="2" hidden="1">'тура ака'!$C$1:$L$26</definedName>
    <definedName name="_xlnm.Print_Area" localSheetId="10">Гостиница!$A$1:$C$107</definedName>
    <definedName name="_xlnm.Print_Area" localSheetId="4">Кунлик!$A$1:$G$137</definedName>
    <definedName name="_xlnm.Print_Area" localSheetId="5">'Приход-Расход'!$A$1:$H$2836</definedName>
    <definedName name="_xlnm.Print_Area" localSheetId="7">Рахим!$A$1:$F$23</definedName>
    <definedName name="_xlnm.Print_Area" localSheetId="1">Хитой!$A$1:$M$62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4" i="2" l="1"/>
  <c r="D297" i="14"/>
  <c r="D188" i="14"/>
  <c r="D67" i="14"/>
  <c r="C121" i="13"/>
  <c r="B15" i="2"/>
  <c r="D354" i="14"/>
  <c r="D323" i="14"/>
  <c r="H190" i="14"/>
  <c r="H189" i="14"/>
  <c r="H188" i="14"/>
  <c r="H187" i="14"/>
  <c r="D64" i="14"/>
  <c r="H6" i="14"/>
  <c r="H5" i="14"/>
  <c r="H4" i="14"/>
  <c r="B1033" i="7"/>
  <c r="D171" i="14"/>
  <c r="H172" i="14"/>
  <c r="H171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K35" i="14"/>
  <c r="B2" i="5"/>
  <c r="D73" i="2"/>
  <c r="C120" i="13"/>
  <c r="H174" i="14"/>
  <c r="H173" i="14"/>
  <c r="D61" i="14"/>
  <c r="C1026" i="7"/>
  <c r="B33" i="2"/>
  <c r="B117" i="13"/>
  <c r="D220" i="14"/>
  <c r="D282" i="14"/>
  <c r="D60" i="14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C56" i="1"/>
  <c r="C55" i="1"/>
  <c r="C54" i="1"/>
  <c r="C53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P1014" i="7"/>
  <c r="H1015" i="7"/>
  <c r="J1015" i="7" s="1"/>
  <c r="L1015" i="7" s="1"/>
  <c r="H1014" i="7"/>
  <c r="J1014" i="7" s="1"/>
  <c r="L1014" i="7" s="1"/>
  <c r="F1026" i="6"/>
  <c r="F1027" i="6"/>
  <c r="F1025" i="6"/>
  <c r="C1011" i="7"/>
  <c r="D59" i="14"/>
  <c r="H1001" i="7"/>
  <c r="H209" i="14"/>
  <c r="H208" i="14"/>
  <c r="H207" i="14"/>
  <c r="H206" i="14"/>
  <c r="E110" i="2"/>
  <c r="C116" i="13"/>
  <c r="H116" i="14"/>
  <c r="H115" i="14"/>
  <c r="H114" i="14"/>
  <c r="H113" i="14"/>
  <c r="H112" i="14"/>
  <c r="B1013" i="6"/>
  <c r="H223" i="14"/>
  <c r="H222" i="14"/>
  <c r="H221" i="14"/>
  <c r="H220" i="14"/>
  <c r="H67" i="14"/>
  <c r="H66" i="14"/>
  <c r="H65" i="14"/>
  <c r="H64" i="14"/>
  <c r="H63" i="14"/>
  <c r="H62" i="14"/>
  <c r="H61" i="14"/>
  <c r="H60" i="14"/>
  <c r="H59" i="14"/>
  <c r="O9" i="5"/>
  <c r="C114" i="13"/>
  <c r="C113" i="13"/>
  <c r="C1004" i="7"/>
  <c r="C1002" i="7"/>
  <c r="B1009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C112" i="13"/>
  <c r="B111" i="13"/>
  <c r="P989" i="7"/>
  <c r="K79" i="14"/>
  <c r="K78" i="14"/>
  <c r="K77" i="14"/>
  <c r="K76" i="14"/>
  <c r="K101" i="14"/>
  <c r="K100" i="14"/>
  <c r="H325" i="14"/>
  <c r="H324" i="14"/>
  <c r="H323" i="14"/>
  <c r="D281" i="14"/>
  <c r="H251" i="14"/>
  <c r="H250" i="14"/>
  <c r="H249" i="14"/>
  <c r="C983" i="7"/>
  <c r="C108" i="13"/>
  <c r="C107" i="13"/>
  <c r="B106" i="13"/>
  <c r="P979" i="7"/>
  <c r="B104" i="13"/>
  <c r="C105" i="13"/>
  <c r="C977" i="7"/>
  <c r="C101" i="13"/>
  <c r="B102" i="13"/>
  <c r="B967" i="7"/>
  <c r="C964" i="7"/>
  <c r="B99" i="13"/>
  <c r="C956" i="7"/>
  <c r="C947" i="7"/>
  <c r="B954" i="6"/>
  <c r="B953" i="6"/>
  <c r="H343" i="14"/>
  <c r="H342" i="14"/>
  <c r="H341" i="14"/>
  <c r="H340" i="14"/>
  <c r="C942" i="7"/>
  <c r="E947" i="6"/>
  <c r="H297" i="14"/>
  <c r="H296" i="14"/>
  <c r="H326" i="14"/>
  <c r="H121" i="14"/>
  <c r="H120" i="14"/>
  <c r="H119" i="14"/>
  <c r="H118" i="14"/>
  <c r="H117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286" i="14"/>
  <c r="H285" i="14"/>
  <c r="H284" i="14"/>
  <c r="H283" i="14"/>
  <c r="H282" i="14"/>
  <c r="H281" i="14"/>
  <c r="H280" i="14"/>
  <c r="H279" i="14"/>
  <c r="H224" i="14"/>
  <c r="H193" i="14"/>
  <c r="H192" i="14"/>
  <c r="H191" i="14"/>
  <c r="C95" i="13"/>
  <c r="C927" i="7"/>
  <c r="H511" i="14"/>
  <c r="H510" i="14"/>
  <c r="H509" i="14"/>
  <c r="H508" i="14"/>
  <c r="H397" i="14"/>
  <c r="H396" i="14"/>
  <c r="H395" i="14"/>
  <c r="H394" i="14"/>
  <c r="H334" i="14"/>
  <c r="H333" i="14"/>
  <c r="H332" i="14"/>
  <c r="H331" i="14"/>
  <c r="H330" i="14"/>
  <c r="H329" i="14"/>
  <c r="H328" i="14"/>
  <c r="H327" i="14"/>
  <c r="H299" i="14"/>
  <c r="H298" i="14"/>
  <c r="C921" i="7"/>
  <c r="H445" i="14"/>
  <c r="H444" i="14"/>
  <c r="H443" i="14"/>
  <c r="H433" i="14"/>
  <c r="H432" i="14"/>
  <c r="H431" i="14"/>
  <c r="H430" i="14"/>
  <c r="H429" i="14"/>
  <c r="H358" i="14"/>
  <c r="H357" i="14"/>
  <c r="H356" i="14"/>
  <c r="H355" i="14"/>
  <c r="H354" i="14"/>
  <c r="K172" i="14"/>
  <c r="H176" i="14"/>
  <c r="H175" i="14"/>
  <c r="H367" i="14"/>
  <c r="K103" i="14"/>
  <c r="K102" i="14"/>
  <c r="K99" i="14"/>
  <c r="C92" i="13"/>
  <c r="F907" i="6"/>
  <c r="E918" i="6"/>
  <c r="H399" i="14"/>
  <c r="H398" i="14"/>
  <c r="K398" i="14"/>
  <c r="J10" i="15"/>
  <c r="L10" i="15" s="1"/>
  <c r="J9" i="15"/>
  <c r="L9" i="15" s="1"/>
  <c r="J8" i="15"/>
  <c r="L8" i="15" s="1"/>
  <c r="J7" i="15"/>
  <c r="L7" i="15" s="1"/>
  <c r="J6" i="15"/>
  <c r="L6" i="15" s="1"/>
  <c r="J5" i="15"/>
  <c r="L5" i="15" s="1"/>
  <c r="J4" i="15"/>
  <c r="L4" i="15" s="1"/>
  <c r="F921" i="6"/>
  <c r="H143" i="14"/>
  <c r="C906" i="7"/>
  <c r="B908" i="6"/>
  <c r="C88" i="13"/>
  <c r="B90" i="13"/>
  <c r="B89" i="13"/>
  <c r="K104" i="14"/>
  <c r="K98" i="14"/>
  <c r="K97" i="14"/>
  <c r="K96" i="14"/>
  <c r="K95" i="14"/>
  <c r="C898" i="7"/>
  <c r="C897" i="7"/>
  <c r="E892" i="6"/>
  <c r="H521" i="14"/>
  <c r="H499" i="14"/>
  <c r="H498" i="14"/>
  <c r="H497" i="14"/>
  <c r="H496" i="14"/>
  <c r="H495" i="14"/>
  <c r="H476" i="14"/>
  <c r="H475" i="14"/>
  <c r="H474" i="14"/>
  <c r="H473" i="14"/>
  <c r="H472" i="14"/>
  <c r="H471" i="14"/>
  <c r="H411" i="14"/>
  <c r="H410" i="14"/>
  <c r="H409" i="14"/>
  <c r="H253" i="14"/>
  <c r="H252" i="14"/>
  <c r="K173" i="14"/>
  <c r="K330" i="14"/>
  <c r="K329" i="14"/>
  <c r="K328" i="14"/>
  <c r="K332" i="14"/>
  <c r="K331" i="14"/>
  <c r="K92" i="14"/>
  <c r="K91" i="14"/>
  <c r="K90" i="14"/>
  <c r="K89" i="14"/>
  <c r="K88" i="14"/>
  <c r="B894" i="6"/>
  <c r="D79" i="2"/>
  <c r="F898" i="6"/>
  <c r="F897" i="6"/>
  <c r="H211" i="14"/>
  <c r="H210" i="14"/>
  <c r="C884" i="7"/>
  <c r="D142" i="14"/>
  <c r="C880" i="7"/>
  <c r="B884" i="6"/>
  <c r="C86" i="13"/>
  <c r="B877" i="7"/>
  <c r="K93" i="14"/>
  <c r="K87" i="14"/>
  <c r="K86" i="14"/>
  <c r="K85" i="14"/>
  <c r="K84" i="14"/>
  <c r="F886" i="6"/>
  <c r="F884" i="6"/>
  <c r="F883" i="6"/>
  <c r="F882" i="6"/>
  <c r="H857" i="7"/>
  <c r="J857" i="7" s="1"/>
  <c r="L857" i="7" s="1"/>
  <c r="Q857" i="7" s="1"/>
  <c r="H856" i="7"/>
  <c r="J856" i="7" s="1"/>
  <c r="L856" i="7" s="1"/>
  <c r="Q856" i="7" s="1"/>
  <c r="H855" i="7"/>
  <c r="J855" i="7" s="1"/>
  <c r="L855" i="7" s="1"/>
  <c r="Q855" i="7" s="1"/>
  <c r="P871" i="7"/>
  <c r="C5" i="10"/>
  <c r="F713" i="6"/>
  <c r="F714" i="6"/>
  <c r="E715" i="6"/>
  <c r="F716" i="6"/>
  <c r="B717" i="6"/>
  <c r="F717" i="6"/>
  <c r="F718" i="6"/>
  <c r="F719" i="6"/>
  <c r="B720" i="6"/>
  <c r="E720" i="6"/>
  <c r="B728" i="6"/>
  <c r="B729" i="6"/>
  <c r="F729" i="6"/>
  <c r="F730" i="6"/>
  <c r="F731" i="6"/>
  <c r="F734" i="6"/>
  <c r="F735" i="6"/>
  <c r="F736" i="6"/>
  <c r="F737" i="6"/>
  <c r="F738" i="6"/>
  <c r="E740" i="6"/>
  <c r="F741" i="6"/>
  <c r="F742" i="6"/>
  <c r="F743" i="6"/>
  <c r="F744" i="6"/>
  <c r="F745" i="6"/>
  <c r="F746" i="6"/>
  <c r="F748" i="6"/>
  <c r="F749" i="6"/>
  <c r="F756" i="6"/>
  <c r="F758" i="6"/>
  <c r="F759" i="6"/>
  <c r="F760" i="6"/>
  <c r="F762" i="6"/>
  <c r="F763" i="6"/>
  <c r="F764" i="6"/>
  <c r="F765" i="6"/>
  <c r="F766" i="6"/>
  <c r="F768" i="6"/>
  <c r="F769" i="6"/>
  <c r="F770" i="6"/>
  <c r="F771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7" i="6"/>
  <c r="F788" i="6"/>
  <c r="F789" i="6"/>
  <c r="E790" i="6"/>
  <c r="F791" i="6"/>
  <c r="F792" i="6"/>
  <c r="F793" i="6"/>
  <c r="B794" i="6"/>
  <c r="F794" i="6"/>
  <c r="F795" i="6"/>
  <c r="F796" i="6"/>
  <c r="F800" i="6"/>
  <c r="F801" i="6"/>
  <c r="F803" i="6"/>
  <c r="F804" i="6"/>
  <c r="F805" i="6"/>
  <c r="F806" i="6"/>
  <c r="F807" i="6"/>
  <c r="F808" i="6"/>
  <c r="F809" i="6"/>
  <c r="F811" i="6"/>
  <c r="F812" i="6"/>
  <c r="F813" i="6"/>
  <c r="F814" i="6"/>
  <c r="F815" i="6"/>
  <c r="F819" i="6"/>
  <c r="F820" i="6"/>
  <c r="F821" i="6"/>
  <c r="F822" i="6"/>
  <c r="F823" i="6"/>
  <c r="B824" i="6"/>
  <c r="F824" i="6"/>
  <c r="F825" i="6"/>
  <c r="F826" i="6"/>
  <c r="F830" i="6"/>
  <c r="F831" i="6"/>
  <c r="B832" i="6"/>
  <c r="F832" i="6"/>
  <c r="F833" i="6"/>
  <c r="B834" i="6"/>
  <c r="F834" i="6"/>
  <c r="B835" i="6"/>
  <c r="F835" i="6"/>
  <c r="F836" i="6"/>
  <c r="F837" i="6"/>
  <c r="F840" i="6"/>
  <c r="F843" i="6"/>
  <c r="F845" i="6"/>
  <c r="B846" i="6"/>
  <c r="F846" i="6"/>
  <c r="F847" i="6"/>
  <c r="E851" i="6"/>
  <c r="F852" i="6"/>
  <c r="F853" i="6"/>
  <c r="F854" i="6"/>
  <c r="E108" i="2"/>
  <c r="C33" i="8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P842" i="7"/>
  <c r="K94" i="14"/>
  <c r="K83" i="14"/>
  <c r="K82" i="14"/>
  <c r="K81" i="14"/>
  <c r="K80" i="14"/>
  <c r="H346" i="14"/>
  <c r="H345" i="14"/>
  <c r="H344" i="14"/>
  <c r="H127" i="14"/>
  <c r="K127" i="14" s="1"/>
  <c r="H126" i="14"/>
  <c r="K126" i="14" s="1"/>
  <c r="H125" i="14"/>
  <c r="K125" i="14" s="1"/>
  <c r="H124" i="14"/>
  <c r="K124" i="14" s="1"/>
  <c r="H123" i="14"/>
  <c r="K123" i="14" s="1"/>
  <c r="H122" i="14"/>
  <c r="K122" i="14" s="1"/>
  <c r="K121" i="14"/>
  <c r="K120" i="14"/>
  <c r="K119" i="14"/>
  <c r="K118" i="14"/>
  <c r="K117" i="14"/>
  <c r="K116" i="14"/>
  <c r="K115" i="14"/>
  <c r="K114" i="14"/>
  <c r="H383" i="14"/>
  <c r="H382" i="14"/>
  <c r="H381" i="14"/>
  <c r="K105" i="14"/>
  <c r="C833" i="7"/>
  <c r="C828" i="7"/>
  <c r="C81" i="13"/>
  <c r="K220" i="14"/>
  <c r="C818" i="7"/>
  <c r="H138" i="14"/>
  <c r="H137" i="14"/>
  <c r="H136" i="14"/>
  <c r="C812" i="7"/>
  <c r="D158" i="14"/>
  <c r="C811" i="7"/>
  <c r="H213" i="14"/>
  <c r="K213" i="14" s="1"/>
  <c r="H212" i="14"/>
  <c r="K212" i="14" s="1"/>
  <c r="K211" i="14"/>
  <c r="K210" i="14"/>
  <c r="K209" i="14"/>
  <c r="K208" i="14"/>
  <c r="K207" i="14"/>
  <c r="L206" i="14"/>
  <c r="K206" i="14"/>
  <c r="H157" i="14"/>
  <c r="C805" i="7"/>
  <c r="K74" i="14"/>
  <c r="K73" i="14"/>
  <c r="K72" i="14"/>
  <c r="K71" i="14"/>
  <c r="K70" i="14"/>
  <c r="K69" i="14"/>
  <c r="K68" i="14"/>
  <c r="K67" i="14"/>
  <c r="H254" i="14"/>
  <c r="H233" i="14"/>
  <c r="K233" i="14" s="1"/>
  <c r="H232" i="14"/>
  <c r="K232" i="14" s="1"/>
  <c r="H231" i="14"/>
  <c r="K231" i="14" s="1"/>
  <c r="H230" i="14"/>
  <c r="K230" i="14" s="1"/>
  <c r="H229" i="14"/>
  <c r="K229" i="14" s="1"/>
  <c r="H228" i="14"/>
  <c r="K228" i="14" s="1"/>
  <c r="H227" i="14"/>
  <c r="K227" i="14" s="1"/>
  <c r="H226" i="14"/>
  <c r="K226" i="14" s="1"/>
  <c r="H225" i="14"/>
  <c r="K225" i="14" s="1"/>
  <c r="K224" i="14"/>
  <c r="K223" i="14"/>
  <c r="K222" i="14"/>
  <c r="K221" i="14"/>
  <c r="C802" i="7"/>
  <c r="H17" i="11"/>
  <c r="H16" i="11"/>
  <c r="H269" i="14"/>
  <c r="H267" i="14"/>
  <c r="K24" i="14"/>
  <c r="K23" i="14"/>
  <c r="K22" i="14"/>
  <c r="H45" i="14"/>
  <c r="H44" i="14"/>
  <c r="H43" i="14"/>
  <c r="H42" i="14"/>
  <c r="H41" i="14"/>
  <c r="H40" i="14"/>
  <c r="H39" i="14"/>
  <c r="H38" i="14"/>
  <c r="H37" i="14"/>
  <c r="K21" i="14"/>
  <c r="G3" i="7"/>
  <c r="H4" i="7"/>
  <c r="J4" i="7"/>
  <c r="L4" i="7"/>
  <c r="H5" i="7"/>
  <c r="J5" i="7"/>
  <c r="L5" i="7"/>
  <c r="H6" i="7"/>
  <c r="J6" i="7"/>
  <c r="L6" i="7"/>
  <c r="H7" i="7"/>
  <c r="J7" i="7"/>
  <c r="L7" i="7"/>
  <c r="H8" i="7"/>
  <c r="J8" i="7"/>
  <c r="L8" i="7"/>
  <c r="H9" i="7"/>
  <c r="J9" i="7"/>
  <c r="L9" i="7"/>
  <c r="H10" i="7"/>
  <c r="J10" i="7"/>
  <c r="L10" i="7"/>
  <c r="H11" i="7"/>
  <c r="J11" i="7"/>
  <c r="L11" i="7"/>
  <c r="H12" i="7"/>
  <c r="J12" i="7"/>
  <c r="L12" i="7"/>
  <c r="H13" i="7"/>
  <c r="J13" i="7"/>
  <c r="L13" i="7"/>
  <c r="H14" i="7"/>
  <c r="J14" i="7"/>
  <c r="L14" i="7"/>
  <c r="C15" i="7"/>
  <c r="H15" i="7"/>
  <c r="J15" i="7"/>
  <c r="L15" i="7"/>
  <c r="C16" i="7"/>
  <c r="H16" i="7"/>
  <c r="J16" i="7"/>
  <c r="L16" i="7"/>
  <c r="H17" i="7"/>
  <c r="J17" i="7"/>
  <c r="L17" i="7"/>
  <c r="H18" i="7"/>
  <c r="J18" i="7"/>
  <c r="L18" i="7"/>
  <c r="H19" i="7"/>
  <c r="J19" i="7"/>
  <c r="L19" i="7"/>
  <c r="H20" i="7"/>
  <c r="J20" i="7"/>
  <c r="L20" i="7"/>
  <c r="H21" i="7"/>
  <c r="J21" i="7"/>
  <c r="L21" i="7"/>
  <c r="H22" i="7"/>
  <c r="J22" i="7"/>
  <c r="L22" i="7"/>
  <c r="H23" i="7"/>
  <c r="J23" i="7"/>
  <c r="L23" i="7"/>
  <c r="C24" i="7"/>
  <c r="H24" i="7"/>
  <c r="J24" i="7"/>
  <c r="L24" i="7"/>
  <c r="H25" i="7"/>
  <c r="J25" i="7"/>
  <c r="L25" i="7"/>
  <c r="H26" i="7"/>
  <c r="J26" i="7"/>
  <c r="L26" i="7"/>
  <c r="H27" i="7"/>
  <c r="J27" i="7"/>
  <c r="L27" i="7"/>
  <c r="C28" i="7"/>
  <c r="H28" i="7"/>
  <c r="J28" i="7"/>
  <c r="L28" i="7"/>
  <c r="H29" i="7"/>
  <c r="J29" i="7"/>
  <c r="L29" i="7"/>
  <c r="H30" i="7"/>
  <c r="J30" i="7"/>
  <c r="L30" i="7"/>
  <c r="H31" i="7"/>
  <c r="J31" i="7"/>
  <c r="L31" i="7"/>
  <c r="H32" i="7"/>
  <c r="J32" i="7"/>
  <c r="L32" i="7"/>
  <c r="H33" i="7"/>
  <c r="J33" i="7"/>
  <c r="L33" i="7"/>
  <c r="H34" i="7"/>
  <c r="J34" i="7"/>
  <c r="L34" i="7"/>
  <c r="C35" i="7"/>
  <c r="H35" i="7"/>
  <c r="J35" i="7"/>
  <c r="L35" i="7"/>
  <c r="H36" i="7"/>
  <c r="J36" i="7"/>
  <c r="L36" i="7"/>
  <c r="H37" i="7"/>
  <c r="J37" i="7"/>
  <c r="L37" i="7"/>
  <c r="C38" i="7"/>
  <c r="H38" i="7"/>
  <c r="J38" i="7"/>
  <c r="L38" i="7"/>
  <c r="C39" i="7"/>
  <c r="H39" i="7"/>
  <c r="J39" i="7"/>
  <c r="L39" i="7"/>
  <c r="C40" i="7"/>
  <c r="H40" i="7"/>
  <c r="J40" i="7"/>
  <c r="L40" i="7"/>
  <c r="C41" i="7"/>
  <c r="H41" i="7"/>
  <c r="J41" i="7"/>
  <c r="L41" i="7"/>
  <c r="H42" i="7"/>
  <c r="J42" i="7"/>
  <c r="L42" i="7"/>
  <c r="H43" i="7"/>
  <c r="J43" i="7"/>
  <c r="L43" i="7"/>
  <c r="H44" i="7"/>
  <c r="J44" i="7"/>
  <c r="L44" i="7"/>
  <c r="H45" i="7"/>
  <c r="J45" i="7"/>
  <c r="L45" i="7"/>
  <c r="H46" i="7"/>
  <c r="J46" i="7"/>
  <c r="L46" i="7"/>
  <c r="H47" i="7"/>
  <c r="J47" i="7"/>
  <c r="L47" i="7"/>
  <c r="C48" i="7"/>
  <c r="H48" i="7"/>
  <c r="J48" i="7"/>
  <c r="L48" i="7"/>
  <c r="H49" i="7"/>
  <c r="J49" i="7"/>
  <c r="L49" i="7"/>
  <c r="H50" i="7"/>
  <c r="J50" i="7"/>
  <c r="L50" i="7"/>
  <c r="H51" i="7"/>
  <c r="J51" i="7"/>
  <c r="L51" i="7"/>
  <c r="H52" i="7"/>
  <c r="J52" i="7"/>
  <c r="L52" i="7"/>
  <c r="H53" i="7"/>
  <c r="J53" i="7"/>
  <c r="L53" i="7"/>
  <c r="H54" i="7"/>
  <c r="J54" i="7"/>
  <c r="L54" i="7"/>
  <c r="C55" i="7"/>
  <c r="H55" i="7"/>
  <c r="J55" i="7"/>
  <c r="L55" i="7"/>
  <c r="H56" i="7"/>
  <c r="J56" i="7"/>
  <c r="L56" i="7"/>
  <c r="C57" i="7"/>
  <c r="H57" i="7"/>
  <c r="J57" i="7"/>
  <c r="L57" i="7"/>
  <c r="H58" i="7"/>
  <c r="J58" i="7"/>
  <c r="L58" i="7"/>
  <c r="H59" i="7"/>
  <c r="J59" i="7"/>
  <c r="L59" i="7"/>
  <c r="C60" i="7"/>
  <c r="H60" i="7"/>
  <c r="J60" i="7"/>
  <c r="L60" i="7"/>
  <c r="C61" i="7"/>
  <c r="H61" i="7"/>
  <c r="J61" i="7"/>
  <c r="L61" i="7"/>
  <c r="C62" i="7"/>
  <c r="H62" i="7"/>
  <c r="J62" i="7"/>
  <c r="L62" i="7"/>
  <c r="C63" i="7"/>
  <c r="H63" i="7"/>
  <c r="J63" i="7"/>
  <c r="L63" i="7"/>
  <c r="H64" i="7"/>
  <c r="J64" i="7"/>
  <c r="L64" i="7"/>
  <c r="H65" i="7"/>
  <c r="J65" i="7"/>
  <c r="L65" i="7"/>
  <c r="C66" i="7"/>
  <c r="H66" i="7"/>
  <c r="J66" i="7"/>
  <c r="L66" i="7"/>
  <c r="H67" i="7"/>
  <c r="J67" i="7"/>
  <c r="L67" i="7"/>
  <c r="H68" i="7"/>
  <c r="J68" i="7"/>
  <c r="L68" i="7"/>
  <c r="H69" i="7"/>
  <c r="J69" i="7"/>
  <c r="L69" i="7"/>
  <c r="H70" i="7"/>
  <c r="J70" i="7"/>
  <c r="L70" i="7"/>
  <c r="C71" i="7"/>
  <c r="H71" i="7"/>
  <c r="J71" i="7"/>
  <c r="L71" i="7"/>
  <c r="C72" i="7"/>
  <c r="H72" i="7"/>
  <c r="J72" i="7"/>
  <c r="L72" i="7"/>
  <c r="C73" i="7"/>
  <c r="H73" i="7"/>
  <c r="J73" i="7"/>
  <c r="L73" i="7"/>
  <c r="H74" i="7"/>
  <c r="J74" i="7"/>
  <c r="L74" i="7"/>
  <c r="H75" i="7"/>
  <c r="J75" i="7"/>
  <c r="L75" i="7"/>
  <c r="H76" i="7"/>
  <c r="J76" i="7"/>
  <c r="L76" i="7"/>
  <c r="H77" i="7"/>
  <c r="J77" i="7"/>
  <c r="L77" i="7"/>
  <c r="H78" i="7"/>
  <c r="J78" i="7"/>
  <c r="L78" i="7"/>
  <c r="H79" i="7"/>
  <c r="J79" i="7"/>
  <c r="L79" i="7"/>
  <c r="B80" i="7"/>
  <c r="H80" i="7"/>
  <c r="J80" i="7"/>
  <c r="L80" i="7"/>
  <c r="H81" i="7"/>
  <c r="J81" i="7"/>
  <c r="L81" i="7"/>
  <c r="H82" i="7"/>
  <c r="J82" i="7"/>
  <c r="L82" i="7"/>
  <c r="C83" i="7"/>
  <c r="H83" i="7"/>
  <c r="J83" i="7"/>
  <c r="L83" i="7"/>
  <c r="C84" i="7"/>
  <c r="H84" i="7"/>
  <c r="J84" i="7"/>
  <c r="L84" i="7"/>
  <c r="H85" i="7"/>
  <c r="J85" i="7"/>
  <c r="L85" i="7"/>
  <c r="H86" i="7"/>
  <c r="J86" i="7"/>
  <c r="L86" i="7"/>
  <c r="H87" i="7"/>
  <c r="J87" i="7"/>
  <c r="L87" i="7"/>
  <c r="H88" i="7"/>
  <c r="J88" i="7"/>
  <c r="L88" i="7"/>
  <c r="H89" i="7"/>
  <c r="J89" i="7"/>
  <c r="L89" i="7"/>
  <c r="H90" i="7"/>
  <c r="J90" i="7"/>
  <c r="L90" i="7"/>
  <c r="H91" i="7"/>
  <c r="J91" i="7"/>
  <c r="L91" i="7"/>
  <c r="H92" i="7"/>
  <c r="J92" i="7"/>
  <c r="L92" i="7"/>
  <c r="H93" i="7"/>
  <c r="J93" i="7"/>
  <c r="L93" i="7"/>
  <c r="H94" i="7"/>
  <c r="J94" i="7"/>
  <c r="L94" i="7"/>
  <c r="H95" i="7"/>
  <c r="J95" i="7"/>
  <c r="L95" i="7"/>
  <c r="C96" i="7"/>
  <c r="H96" i="7"/>
  <c r="J96" i="7"/>
  <c r="L96" i="7"/>
  <c r="H97" i="7"/>
  <c r="J97" i="7"/>
  <c r="L97" i="7"/>
  <c r="H98" i="7"/>
  <c r="J98" i="7"/>
  <c r="L98" i="7"/>
  <c r="H99" i="7"/>
  <c r="J99" i="7"/>
  <c r="L99" i="7"/>
  <c r="H100" i="7"/>
  <c r="J100" i="7"/>
  <c r="L100" i="7"/>
  <c r="H101" i="7"/>
  <c r="J101" i="7"/>
  <c r="L101" i="7"/>
  <c r="H102" i="7"/>
  <c r="J102" i="7"/>
  <c r="L102" i="7"/>
  <c r="H103" i="7"/>
  <c r="J103" i="7"/>
  <c r="L103" i="7"/>
  <c r="C104" i="7"/>
  <c r="H104" i="7"/>
  <c r="J104" i="7"/>
  <c r="L104" i="7"/>
  <c r="H105" i="7"/>
  <c r="J105" i="7"/>
  <c r="L105" i="7"/>
  <c r="H106" i="7"/>
  <c r="J106" i="7"/>
  <c r="L106" i="7"/>
  <c r="H107" i="7"/>
  <c r="J107" i="7"/>
  <c r="L107" i="7"/>
  <c r="H108" i="7"/>
  <c r="J108" i="7"/>
  <c r="L108" i="7"/>
  <c r="H109" i="7"/>
  <c r="J109" i="7"/>
  <c r="L109" i="7"/>
  <c r="H110" i="7"/>
  <c r="J110" i="7"/>
  <c r="L110" i="7"/>
  <c r="C111" i="7"/>
  <c r="H111" i="7"/>
  <c r="J111" i="7"/>
  <c r="L111" i="7"/>
  <c r="H112" i="7"/>
  <c r="J112" i="7"/>
  <c r="L112" i="7"/>
  <c r="H113" i="7"/>
  <c r="J113" i="7"/>
  <c r="L113" i="7"/>
  <c r="H114" i="7"/>
  <c r="J114" i="7"/>
  <c r="L114" i="7"/>
  <c r="H115" i="7"/>
  <c r="J115" i="7"/>
  <c r="L115" i="7"/>
  <c r="H116" i="7"/>
  <c r="J116" i="7"/>
  <c r="L116" i="7"/>
  <c r="H117" i="7"/>
  <c r="J117" i="7"/>
  <c r="L117" i="7"/>
  <c r="H118" i="7"/>
  <c r="J118" i="7"/>
  <c r="L118" i="7"/>
  <c r="H119" i="7"/>
  <c r="J119" i="7"/>
  <c r="L119" i="7"/>
  <c r="H120" i="7"/>
  <c r="J120" i="7"/>
  <c r="L120" i="7"/>
  <c r="H121" i="7"/>
  <c r="J121" i="7"/>
  <c r="L121" i="7"/>
  <c r="H122" i="7"/>
  <c r="J122" i="7"/>
  <c r="L122" i="7"/>
  <c r="H123" i="7"/>
  <c r="J123" i="7"/>
  <c r="L123" i="7"/>
  <c r="H124" i="7"/>
  <c r="J124" i="7"/>
  <c r="L124" i="7"/>
  <c r="H125" i="7"/>
  <c r="J125" i="7"/>
  <c r="L125" i="7"/>
  <c r="H126" i="7"/>
  <c r="J126" i="7"/>
  <c r="L126" i="7"/>
  <c r="H127" i="7"/>
  <c r="J127" i="7"/>
  <c r="L127" i="7"/>
  <c r="H128" i="7"/>
  <c r="J128" i="7"/>
  <c r="L128" i="7"/>
  <c r="H129" i="7"/>
  <c r="J129" i="7"/>
  <c r="L129" i="7"/>
  <c r="H130" i="7"/>
  <c r="J130" i="7"/>
  <c r="L130" i="7"/>
  <c r="H131" i="7"/>
  <c r="J131" i="7"/>
  <c r="L131" i="7"/>
  <c r="H132" i="7"/>
  <c r="J132" i="7"/>
  <c r="L132" i="7"/>
  <c r="H133" i="7"/>
  <c r="J133" i="7"/>
  <c r="L133" i="7"/>
  <c r="H134" i="7"/>
  <c r="J134" i="7"/>
  <c r="L134" i="7"/>
  <c r="H135" i="7"/>
  <c r="J135" i="7"/>
  <c r="L135" i="7"/>
  <c r="H136" i="7"/>
  <c r="J136" i="7"/>
  <c r="L136" i="7"/>
  <c r="H137" i="7"/>
  <c r="J137" i="7"/>
  <c r="L137" i="7"/>
  <c r="H138" i="7"/>
  <c r="J138" i="7"/>
  <c r="L138" i="7"/>
  <c r="C139" i="7"/>
  <c r="H139" i="7"/>
  <c r="J139" i="7"/>
  <c r="L139" i="7"/>
  <c r="C140" i="7"/>
  <c r="H140" i="7"/>
  <c r="J140" i="7"/>
  <c r="L140" i="7"/>
  <c r="H141" i="7"/>
  <c r="J141" i="7"/>
  <c r="L141" i="7"/>
  <c r="H142" i="7"/>
  <c r="J142" i="7"/>
  <c r="L142" i="7"/>
  <c r="H143" i="7"/>
  <c r="J143" i="7"/>
  <c r="L143" i="7"/>
  <c r="H144" i="7"/>
  <c r="J144" i="7"/>
  <c r="L144" i="7"/>
  <c r="H145" i="7"/>
  <c r="J145" i="7"/>
  <c r="L145" i="7"/>
  <c r="H146" i="7"/>
  <c r="J146" i="7"/>
  <c r="L146" i="7"/>
  <c r="H147" i="7"/>
  <c r="J147" i="7"/>
  <c r="L147" i="7"/>
  <c r="H148" i="7"/>
  <c r="J148" i="7"/>
  <c r="L148" i="7"/>
  <c r="H149" i="7"/>
  <c r="J149" i="7"/>
  <c r="L149" i="7"/>
  <c r="H150" i="7"/>
  <c r="J150" i="7"/>
  <c r="L150" i="7"/>
  <c r="H151" i="7"/>
  <c r="J151" i="7"/>
  <c r="L151" i="7"/>
  <c r="H152" i="7"/>
  <c r="J152" i="7"/>
  <c r="L152" i="7"/>
  <c r="H153" i="7"/>
  <c r="J153" i="7"/>
  <c r="L153" i="7"/>
  <c r="H154" i="7"/>
  <c r="J154" i="7"/>
  <c r="L154" i="7"/>
  <c r="H155" i="7"/>
  <c r="J155" i="7"/>
  <c r="L155" i="7"/>
  <c r="H156" i="7"/>
  <c r="J156" i="7"/>
  <c r="L156" i="7"/>
  <c r="H157" i="7"/>
  <c r="J157" i="7"/>
  <c r="L157" i="7"/>
  <c r="H158" i="7"/>
  <c r="J158" i="7"/>
  <c r="L158" i="7"/>
  <c r="H159" i="7"/>
  <c r="J159" i="7"/>
  <c r="L159" i="7"/>
  <c r="H160" i="7"/>
  <c r="J160" i="7"/>
  <c r="L160" i="7"/>
  <c r="H161" i="7"/>
  <c r="J161" i="7"/>
  <c r="L161" i="7"/>
  <c r="H162" i="7"/>
  <c r="J162" i="7"/>
  <c r="L162" i="7"/>
  <c r="H163" i="7"/>
  <c r="J163" i="7"/>
  <c r="L163" i="7"/>
  <c r="C164" i="7"/>
  <c r="H164" i="7"/>
  <c r="J164" i="7"/>
  <c r="L164" i="7"/>
  <c r="H165" i="7"/>
  <c r="J165" i="7"/>
  <c r="L165" i="7"/>
  <c r="C166" i="7"/>
  <c r="H166" i="7"/>
  <c r="J166" i="7"/>
  <c r="L166" i="7"/>
  <c r="C167" i="7"/>
  <c r="H167" i="7"/>
  <c r="J167" i="7"/>
  <c r="L167" i="7"/>
  <c r="C168" i="7"/>
  <c r="H168" i="7"/>
  <c r="J168" i="7"/>
  <c r="L168" i="7"/>
  <c r="C169" i="7"/>
  <c r="H169" i="7"/>
  <c r="J169" i="7"/>
  <c r="L169" i="7"/>
  <c r="H170" i="7"/>
  <c r="J170" i="7"/>
  <c r="L170" i="7"/>
  <c r="H171" i="7"/>
  <c r="J171" i="7"/>
  <c r="L171" i="7"/>
  <c r="H172" i="7"/>
  <c r="J172" i="7"/>
  <c r="L172" i="7"/>
  <c r="H173" i="7"/>
  <c r="J173" i="7"/>
  <c r="L173" i="7"/>
  <c r="H174" i="7"/>
  <c r="J174" i="7"/>
  <c r="L174" i="7"/>
  <c r="H175" i="7"/>
  <c r="J175" i="7"/>
  <c r="L175" i="7"/>
  <c r="H176" i="7"/>
  <c r="J176" i="7"/>
  <c r="L176" i="7"/>
  <c r="H177" i="7"/>
  <c r="J177" i="7"/>
  <c r="L177" i="7"/>
  <c r="H178" i="7"/>
  <c r="J178" i="7"/>
  <c r="L178" i="7"/>
  <c r="H179" i="7"/>
  <c r="J179" i="7"/>
  <c r="L179" i="7"/>
  <c r="C180" i="7"/>
  <c r="J180" i="7"/>
  <c r="L180" i="7"/>
  <c r="H181" i="7"/>
  <c r="J181" i="7"/>
  <c r="L181" i="7"/>
  <c r="H182" i="7"/>
  <c r="J182" i="7"/>
  <c r="L182" i="7"/>
  <c r="H183" i="7"/>
  <c r="J183" i="7"/>
  <c r="L183" i="7"/>
  <c r="H184" i="7"/>
  <c r="J184" i="7"/>
  <c r="L184" i="7"/>
  <c r="H185" i="7"/>
  <c r="J185" i="7"/>
  <c r="L185" i="7"/>
  <c r="H186" i="7"/>
  <c r="J186" i="7"/>
  <c r="L186" i="7"/>
  <c r="H187" i="7"/>
  <c r="J187" i="7"/>
  <c r="L187" i="7"/>
  <c r="H188" i="7"/>
  <c r="J188" i="7"/>
  <c r="L188" i="7"/>
  <c r="H189" i="7"/>
  <c r="J189" i="7"/>
  <c r="L189" i="7"/>
  <c r="H190" i="7"/>
  <c r="J190" i="7"/>
  <c r="L190" i="7"/>
  <c r="H191" i="7"/>
  <c r="J191" i="7"/>
  <c r="L191" i="7"/>
  <c r="H192" i="7"/>
  <c r="J192" i="7"/>
  <c r="L192" i="7"/>
  <c r="H193" i="7"/>
  <c r="J193" i="7"/>
  <c r="L193" i="7"/>
  <c r="H194" i="7"/>
  <c r="J194" i="7"/>
  <c r="L194" i="7"/>
  <c r="H195" i="7"/>
  <c r="J195" i="7"/>
  <c r="L195" i="7"/>
  <c r="H196" i="7"/>
  <c r="J196" i="7"/>
  <c r="L196" i="7"/>
  <c r="H197" i="7"/>
  <c r="J197" i="7"/>
  <c r="L197" i="7"/>
  <c r="H198" i="7"/>
  <c r="J198" i="7"/>
  <c r="L198" i="7"/>
  <c r="C199" i="7"/>
  <c r="H199" i="7"/>
  <c r="J199" i="7"/>
  <c r="L199" i="7"/>
  <c r="H200" i="7"/>
  <c r="J200" i="7"/>
  <c r="L200" i="7"/>
  <c r="H201" i="7"/>
  <c r="J201" i="7"/>
  <c r="L201" i="7"/>
  <c r="H202" i="7"/>
  <c r="J202" i="7"/>
  <c r="L202" i="7"/>
  <c r="H203" i="7"/>
  <c r="J203" i="7"/>
  <c r="L203" i="7"/>
  <c r="H204" i="7"/>
  <c r="J204" i="7"/>
  <c r="L204" i="7"/>
  <c r="H205" i="7"/>
  <c r="J205" i="7"/>
  <c r="L205" i="7"/>
  <c r="H206" i="7"/>
  <c r="J206" i="7"/>
  <c r="L206" i="7"/>
  <c r="H207" i="7"/>
  <c r="J207" i="7"/>
  <c r="L207" i="7"/>
  <c r="H208" i="7"/>
  <c r="J208" i="7"/>
  <c r="L208" i="7"/>
  <c r="H209" i="7"/>
  <c r="J209" i="7"/>
  <c r="L209" i="7"/>
  <c r="H210" i="7"/>
  <c r="J210" i="7"/>
  <c r="L210" i="7"/>
  <c r="H211" i="7"/>
  <c r="J211" i="7"/>
  <c r="L211" i="7"/>
  <c r="C212" i="7"/>
  <c r="H212" i="7"/>
  <c r="J212" i="7"/>
  <c r="L212" i="7"/>
  <c r="H213" i="7"/>
  <c r="J213" i="7"/>
  <c r="L213" i="7"/>
  <c r="H214" i="7"/>
  <c r="J214" i="7"/>
  <c r="L214" i="7"/>
  <c r="H215" i="7"/>
  <c r="J215" i="7"/>
  <c r="L215" i="7"/>
  <c r="H216" i="7"/>
  <c r="J216" i="7"/>
  <c r="L216" i="7"/>
  <c r="H217" i="7"/>
  <c r="J217" i="7"/>
  <c r="L217" i="7"/>
  <c r="H218" i="7"/>
  <c r="J218" i="7"/>
  <c r="L218" i="7"/>
  <c r="H219" i="7"/>
  <c r="J219" i="7"/>
  <c r="L219" i="7"/>
  <c r="H220" i="7"/>
  <c r="J220" i="7"/>
  <c r="L220" i="7"/>
  <c r="H221" i="7"/>
  <c r="J221" i="7"/>
  <c r="L221" i="7"/>
  <c r="H222" i="7"/>
  <c r="J222" i="7"/>
  <c r="L222" i="7"/>
  <c r="H223" i="7"/>
  <c r="J223" i="7"/>
  <c r="L223" i="7"/>
  <c r="H224" i="7"/>
  <c r="J224" i="7"/>
  <c r="L224" i="7"/>
  <c r="H225" i="7"/>
  <c r="J225" i="7"/>
  <c r="L225" i="7"/>
  <c r="H226" i="7"/>
  <c r="J226" i="7"/>
  <c r="L226" i="7"/>
  <c r="H227" i="7"/>
  <c r="J227" i="7"/>
  <c r="L227" i="7"/>
  <c r="H228" i="7"/>
  <c r="J228" i="7"/>
  <c r="L228" i="7"/>
  <c r="H229" i="7"/>
  <c r="J229" i="7"/>
  <c r="L229" i="7"/>
  <c r="H230" i="7"/>
  <c r="J230" i="7"/>
  <c r="L230" i="7"/>
  <c r="H231" i="7"/>
  <c r="J231" i="7"/>
  <c r="L231" i="7"/>
  <c r="H232" i="7"/>
  <c r="J232" i="7"/>
  <c r="L232" i="7"/>
  <c r="H233" i="7"/>
  <c r="J233" i="7"/>
  <c r="L233" i="7"/>
  <c r="H234" i="7"/>
  <c r="J234" i="7"/>
  <c r="L234" i="7"/>
  <c r="H235" i="7"/>
  <c r="J235" i="7"/>
  <c r="L235" i="7"/>
  <c r="H236" i="7"/>
  <c r="J236" i="7"/>
  <c r="L236" i="7"/>
  <c r="H237" i="7"/>
  <c r="J237" i="7"/>
  <c r="L237" i="7"/>
  <c r="H238" i="7"/>
  <c r="J238" i="7"/>
  <c r="L238" i="7"/>
  <c r="H239" i="7"/>
  <c r="J239" i="7"/>
  <c r="L239" i="7"/>
  <c r="H240" i="7"/>
  <c r="J240" i="7"/>
  <c r="L240" i="7"/>
  <c r="H241" i="7"/>
  <c r="J241" i="7"/>
  <c r="L241" i="7"/>
  <c r="H242" i="7"/>
  <c r="J242" i="7"/>
  <c r="L242" i="7"/>
  <c r="H243" i="7"/>
  <c r="J243" i="7"/>
  <c r="L243" i="7"/>
  <c r="C244" i="7"/>
  <c r="H244" i="7"/>
  <c r="J244" i="7"/>
  <c r="L244" i="7"/>
  <c r="H245" i="7"/>
  <c r="J245" i="7"/>
  <c r="L245" i="7"/>
  <c r="H246" i="7"/>
  <c r="J246" i="7"/>
  <c r="L246" i="7"/>
  <c r="H247" i="7"/>
  <c r="J247" i="7"/>
  <c r="L247" i="7"/>
  <c r="H248" i="7"/>
  <c r="J248" i="7"/>
  <c r="L248" i="7"/>
  <c r="H249" i="7"/>
  <c r="J249" i="7"/>
  <c r="L249" i="7"/>
  <c r="H250" i="7"/>
  <c r="J250" i="7"/>
  <c r="L250" i="7"/>
  <c r="H251" i="7"/>
  <c r="J251" i="7"/>
  <c r="L251" i="7"/>
  <c r="H252" i="7"/>
  <c r="J252" i="7"/>
  <c r="L252" i="7"/>
  <c r="H253" i="7"/>
  <c r="J253" i="7"/>
  <c r="L253" i="7"/>
  <c r="H254" i="7"/>
  <c r="J254" i="7"/>
  <c r="L254" i="7"/>
  <c r="H255" i="7"/>
  <c r="J255" i="7"/>
  <c r="L255" i="7"/>
  <c r="H256" i="7"/>
  <c r="J256" i="7"/>
  <c r="L256" i="7"/>
  <c r="H257" i="7"/>
  <c r="J257" i="7"/>
  <c r="L257" i="7"/>
  <c r="H258" i="7"/>
  <c r="J258" i="7"/>
  <c r="L258" i="7"/>
  <c r="H259" i="7"/>
  <c r="J259" i="7"/>
  <c r="L259" i="7"/>
  <c r="H260" i="7"/>
  <c r="J260" i="7"/>
  <c r="L260" i="7"/>
  <c r="H261" i="7"/>
  <c r="J261" i="7"/>
  <c r="L261" i="7"/>
  <c r="H262" i="7"/>
  <c r="J262" i="7"/>
  <c r="L262" i="7"/>
  <c r="H263" i="7"/>
  <c r="J263" i="7"/>
  <c r="L263" i="7"/>
  <c r="H264" i="7"/>
  <c r="J264" i="7"/>
  <c r="L264" i="7"/>
  <c r="H265" i="7"/>
  <c r="J265" i="7"/>
  <c r="L265" i="7"/>
  <c r="H266" i="7"/>
  <c r="J266" i="7"/>
  <c r="L266" i="7"/>
  <c r="H267" i="7"/>
  <c r="J267" i="7"/>
  <c r="L267" i="7"/>
  <c r="C268" i="7"/>
  <c r="H268" i="7"/>
  <c r="J268" i="7"/>
  <c r="L268" i="7"/>
  <c r="H269" i="7"/>
  <c r="J269" i="7"/>
  <c r="L269" i="7"/>
  <c r="H270" i="7"/>
  <c r="J270" i="7"/>
  <c r="L270" i="7"/>
  <c r="B271" i="7"/>
  <c r="H271" i="7"/>
  <c r="J271" i="7"/>
  <c r="L271" i="7"/>
  <c r="C272" i="7"/>
  <c r="H272" i="7"/>
  <c r="J272" i="7"/>
  <c r="L272" i="7"/>
  <c r="H273" i="7"/>
  <c r="J273" i="7"/>
  <c r="L273" i="7"/>
  <c r="H274" i="7"/>
  <c r="J274" i="7"/>
  <c r="L274" i="7"/>
  <c r="H275" i="7"/>
  <c r="J275" i="7"/>
  <c r="L275" i="7"/>
  <c r="H276" i="7"/>
  <c r="J276" i="7"/>
  <c r="L276" i="7"/>
  <c r="H277" i="7"/>
  <c r="J277" i="7"/>
  <c r="L277" i="7"/>
  <c r="H278" i="7"/>
  <c r="J278" i="7"/>
  <c r="L278" i="7"/>
  <c r="H279" i="7"/>
  <c r="J279" i="7"/>
  <c r="L279" i="7"/>
  <c r="H280" i="7"/>
  <c r="J280" i="7"/>
  <c r="L280" i="7"/>
  <c r="H281" i="7"/>
  <c r="J281" i="7"/>
  <c r="L281" i="7"/>
  <c r="H282" i="7"/>
  <c r="J282" i="7"/>
  <c r="L282" i="7"/>
  <c r="H283" i="7"/>
  <c r="J283" i="7"/>
  <c r="L283" i="7"/>
  <c r="H284" i="7"/>
  <c r="J284" i="7"/>
  <c r="L284" i="7"/>
  <c r="H285" i="7"/>
  <c r="J285" i="7"/>
  <c r="L285" i="7"/>
  <c r="H286" i="7"/>
  <c r="J286" i="7"/>
  <c r="L286" i="7"/>
  <c r="C287" i="7"/>
  <c r="H287" i="7"/>
  <c r="J287" i="7"/>
  <c r="L287" i="7"/>
  <c r="H288" i="7"/>
  <c r="J288" i="7"/>
  <c r="L288" i="7"/>
  <c r="C289" i="7"/>
  <c r="H289" i="7"/>
  <c r="J289" i="7"/>
  <c r="L289" i="7"/>
  <c r="H290" i="7"/>
  <c r="J290" i="7"/>
  <c r="L290" i="7"/>
  <c r="H291" i="7"/>
  <c r="J291" i="7"/>
  <c r="L291" i="7"/>
  <c r="H292" i="7"/>
  <c r="J292" i="7"/>
  <c r="L292" i="7"/>
  <c r="H293" i="7"/>
  <c r="J293" i="7"/>
  <c r="L293" i="7"/>
  <c r="H294" i="7"/>
  <c r="J294" i="7"/>
  <c r="L294" i="7"/>
  <c r="H295" i="7"/>
  <c r="J295" i="7"/>
  <c r="L295" i="7"/>
  <c r="H296" i="7"/>
  <c r="J296" i="7"/>
  <c r="L296" i="7"/>
  <c r="H297" i="7"/>
  <c r="J297" i="7"/>
  <c r="L297" i="7"/>
  <c r="H298" i="7"/>
  <c r="J298" i="7"/>
  <c r="L298" i="7"/>
  <c r="H299" i="7"/>
  <c r="J299" i="7"/>
  <c r="L299" i="7"/>
  <c r="H300" i="7"/>
  <c r="J300" i="7"/>
  <c r="L300" i="7"/>
  <c r="H301" i="7"/>
  <c r="J301" i="7"/>
  <c r="L301" i="7"/>
  <c r="H302" i="7"/>
  <c r="J302" i="7"/>
  <c r="L302" i="7"/>
  <c r="H303" i="7"/>
  <c r="J303" i="7"/>
  <c r="L303" i="7"/>
  <c r="H306" i="7"/>
  <c r="J306" i="7"/>
  <c r="L306" i="7"/>
  <c r="H307" i="7"/>
  <c r="J307" i="7"/>
  <c r="L307" i="7"/>
  <c r="H308" i="7"/>
  <c r="J308" i="7"/>
  <c r="L308" i="7"/>
  <c r="H309" i="7"/>
  <c r="J309" i="7"/>
  <c r="L309" i="7"/>
  <c r="H310" i="7"/>
  <c r="J310" i="7"/>
  <c r="L310" i="7"/>
  <c r="H311" i="7"/>
  <c r="J311" i="7"/>
  <c r="L311" i="7"/>
  <c r="H312" i="7"/>
  <c r="J312" i="7"/>
  <c r="L312" i="7"/>
  <c r="H313" i="7"/>
  <c r="J313" i="7"/>
  <c r="L313" i="7"/>
  <c r="H314" i="7"/>
  <c r="J314" i="7"/>
  <c r="L314" i="7"/>
  <c r="H315" i="7"/>
  <c r="J315" i="7"/>
  <c r="L315" i="7"/>
  <c r="H316" i="7"/>
  <c r="J316" i="7"/>
  <c r="L316" i="7"/>
  <c r="C317" i="7"/>
  <c r="H317" i="7"/>
  <c r="J317" i="7"/>
  <c r="L317" i="7"/>
  <c r="H318" i="7"/>
  <c r="J318" i="7"/>
  <c r="L318" i="7"/>
  <c r="H319" i="7"/>
  <c r="J319" i="7"/>
  <c r="L319" i="7"/>
  <c r="H320" i="7"/>
  <c r="J320" i="7"/>
  <c r="L320" i="7"/>
  <c r="C321" i="7"/>
  <c r="H321" i="7"/>
  <c r="J321" i="7"/>
  <c r="L321" i="7"/>
  <c r="H322" i="7"/>
  <c r="J322" i="7"/>
  <c r="L322" i="7"/>
  <c r="H323" i="7"/>
  <c r="J323" i="7"/>
  <c r="L323" i="7"/>
  <c r="H324" i="7"/>
  <c r="J324" i="7"/>
  <c r="L324" i="7"/>
  <c r="H325" i="7"/>
  <c r="J325" i="7"/>
  <c r="L325" i="7"/>
  <c r="H326" i="7"/>
  <c r="J326" i="7"/>
  <c r="L326" i="7"/>
  <c r="H327" i="7"/>
  <c r="J327" i="7"/>
  <c r="L327" i="7"/>
  <c r="H328" i="7"/>
  <c r="J328" i="7"/>
  <c r="L328" i="7"/>
  <c r="H329" i="7"/>
  <c r="J329" i="7"/>
  <c r="L329" i="7"/>
  <c r="H330" i="7"/>
  <c r="J330" i="7"/>
  <c r="L330" i="7"/>
  <c r="H331" i="7"/>
  <c r="J331" i="7"/>
  <c r="L331" i="7"/>
  <c r="H332" i="7"/>
  <c r="J332" i="7"/>
  <c r="L332" i="7"/>
  <c r="C333" i="7"/>
  <c r="H333" i="7"/>
  <c r="J333" i="7"/>
  <c r="L333" i="7"/>
  <c r="H334" i="7"/>
  <c r="J334" i="7"/>
  <c r="L334" i="7"/>
  <c r="H335" i="7"/>
  <c r="J335" i="7"/>
  <c r="L335" i="7"/>
  <c r="H336" i="7"/>
  <c r="J336" i="7"/>
  <c r="L336" i="7"/>
  <c r="H337" i="7"/>
  <c r="J337" i="7"/>
  <c r="L337" i="7"/>
  <c r="H338" i="7"/>
  <c r="J338" i="7"/>
  <c r="L338" i="7"/>
  <c r="H339" i="7"/>
  <c r="J339" i="7"/>
  <c r="L339" i="7"/>
  <c r="H340" i="7"/>
  <c r="J340" i="7"/>
  <c r="L340" i="7"/>
  <c r="H341" i="7"/>
  <c r="J341" i="7"/>
  <c r="L341" i="7"/>
  <c r="H342" i="7"/>
  <c r="J342" i="7"/>
  <c r="L342" i="7"/>
  <c r="C343" i="7"/>
  <c r="H343" i="7"/>
  <c r="J343" i="7"/>
  <c r="L343" i="7"/>
  <c r="H344" i="7"/>
  <c r="J344" i="7"/>
  <c r="L344" i="7"/>
  <c r="H345" i="7"/>
  <c r="J345" i="7"/>
  <c r="L345" i="7"/>
  <c r="H346" i="7"/>
  <c r="J346" i="7"/>
  <c r="L346" i="7"/>
  <c r="C347" i="7"/>
  <c r="H347" i="7"/>
  <c r="J347" i="7"/>
  <c r="L347" i="7"/>
  <c r="H348" i="7"/>
  <c r="J348" i="7"/>
  <c r="L348" i="7"/>
  <c r="H349" i="7"/>
  <c r="J349" i="7"/>
  <c r="L349" i="7"/>
  <c r="H350" i="7"/>
  <c r="J350" i="7"/>
  <c r="L350" i="7"/>
  <c r="H351" i="7"/>
  <c r="J351" i="7"/>
  <c r="L351" i="7"/>
  <c r="H352" i="7"/>
  <c r="J352" i="7"/>
  <c r="L352" i="7"/>
  <c r="H353" i="7"/>
  <c r="J353" i="7"/>
  <c r="L353" i="7"/>
  <c r="H354" i="7"/>
  <c r="J354" i="7"/>
  <c r="L354" i="7"/>
  <c r="H355" i="7"/>
  <c r="J355" i="7"/>
  <c r="L355" i="7"/>
  <c r="H356" i="7"/>
  <c r="J356" i="7"/>
  <c r="L356" i="7"/>
  <c r="H357" i="7"/>
  <c r="J357" i="7"/>
  <c r="L357" i="7"/>
  <c r="H358" i="7"/>
  <c r="J358" i="7"/>
  <c r="L358" i="7"/>
  <c r="H359" i="7"/>
  <c r="J359" i="7"/>
  <c r="L359" i="7"/>
  <c r="H360" i="7"/>
  <c r="J360" i="7"/>
  <c r="L360" i="7"/>
  <c r="H361" i="7"/>
  <c r="J361" i="7"/>
  <c r="L361" i="7"/>
  <c r="H362" i="7"/>
  <c r="J362" i="7"/>
  <c r="L362" i="7"/>
  <c r="H363" i="7"/>
  <c r="J363" i="7"/>
  <c r="L363" i="7"/>
  <c r="H364" i="7"/>
  <c r="J364" i="7"/>
  <c r="L364" i="7"/>
  <c r="H365" i="7"/>
  <c r="J365" i="7"/>
  <c r="L365" i="7"/>
  <c r="H366" i="7"/>
  <c r="J366" i="7"/>
  <c r="L366" i="7"/>
  <c r="C367" i="7"/>
  <c r="H367" i="7"/>
  <c r="J367" i="7"/>
  <c r="L367" i="7"/>
  <c r="H368" i="7"/>
  <c r="J368" i="7"/>
  <c r="L368" i="7"/>
  <c r="H369" i="7"/>
  <c r="J369" i="7"/>
  <c r="L369" i="7"/>
  <c r="H370" i="7"/>
  <c r="J370" i="7"/>
  <c r="L370" i="7"/>
  <c r="H371" i="7"/>
  <c r="J371" i="7"/>
  <c r="L371" i="7"/>
  <c r="B372" i="7"/>
  <c r="H372" i="7"/>
  <c r="J372" i="7"/>
  <c r="L372" i="7"/>
  <c r="H373" i="7"/>
  <c r="J373" i="7"/>
  <c r="L373" i="7"/>
  <c r="H374" i="7"/>
  <c r="J374" i="7"/>
  <c r="L374" i="7"/>
  <c r="C375" i="7"/>
  <c r="H375" i="7"/>
  <c r="J375" i="7"/>
  <c r="L375" i="7"/>
  <c r="H376" i="7"/>
  <c r="J376" i="7"/>
  <c r="L376" i="7"/>
  <c r="H377" i="7"/>
  <c r="J377" i="7"/>
  <c r="L377" i="7"/>
  <c r="C378" i="7"/>
  <c r="H378" i="7"/>
  <c r="J378" i="7"/>
  <c r="L378" i="7"/>
  <c r="F379" i="7"/>
  <c r="F3" i="7" s="1"/>
  <c r="H379" i="7"/>
  <c r="J379" i="7"/>
  <c r="L379" i="7"/>
  <c r="H380" i="7"/>
  <c r="J380" i="7"/>
  <c r="L380" i="7"/>
  <c r="J381" i="7"/>
  <c r="L381" i="7"/>
  <c r="H382" i="7"/>
  <c r="J382" i="7"/>
  <c r="L382" i="7"/>
  <c r="H383" i="7"/>
  <c r="J383" i="7"/>
  <c r="L383" i="7"/>
  <c r="H384" i="7"/>
  <c r="J384" i="7"/>
  <c r="L384" i="7"/>
  <c r="H385" i="7"/>
  <c r="J385" i="7"/>
  <c r="L385" i="7"/>
  <c r="H386" i="7"/>
  <c r="J386" i="7"/>
  <c r="L386" i="7"/>
  <c r="H387" i="7"/>
  <c r="J387" i="7"/>
  <c r="L387" i="7"/>
  <c r="H388" i="7"/>
  <c r="J388" i="7"/>
  <c r="L388" i="7"/>
  <c r="H389" i="7"/>
  <c r="J389" i="7"/>
  <c r="L389" i="7"/>
  <c r="H390" i="7"/>
  <c r="J390" i="7"/>
  <c r="L390" i="7"/>
  <c r="H391" i="7"/>
  <c r="J391" i="7"/>
  <c r="L391" i="7"/>
  <c r="H392" i="7"/>
  <c r="J392" i="7"/>
  <c r="L392" i="7"/>
  <c r="H393" i="7"/>
  <c r="J393" i="7"/>
  <c r="L393" i="7"/>
  <c r="H394" i="7"/>
  <c r="J394" i="7"/>
  <c r="L394" i="7"/>
  <c r="H395" i="7"/>
  <c r="J395" i="7"/>
  <c r="L395" i="7"/>
  <c r="H396" i="7"/>
  <c r="J396" i="7"/>
  <c r="L396" i="7"/>
  <c r="H397" i="7"/>
  <c r="J397" i="7"/>
  <c r="L397" i="7"/>
  <c r="H398" i="7"/>
  <c r="J398" i="7"/>
  <c r="L398" i="7"/>
  <c r="H399" i="7"/>
  <c r="J399" i="7"/>
  <c r="L399" i="7"/>
  <c r="M399" i="7"/>
  <c r="H400" i="7"/>
  <c r="J400" i="7"/>
  <c r="L400" i="7"/>
  <c r="H401" i="7"/>
  <c r="J401" i="7"/>
  <c r="L401" i="7"/>
  <c r="H402" i="7"/>
  <c r="J402" i="7"/>
  <c r="L402" i="7"/>
  <c r="H403" i="7"/>
  <c r="J403" i="7"/>
  <c r="L403" i="7"/>
  <c r="H404" i="7"/>
  <c r="J404" i="7"/>
  <c r="L404" i="7"/>
  <c r="H405" i="7"/>
  <c r="J405" i="7"/>
  <c r="L405" i="7"/>
  <c r="H406" i="7"/>
  <c r="J406" i="7"/>
  <c r="L406" i="7"/>
  <c r="H407" i="7"/>
  <c r="J407" i="7"/>
  <c r="L407" i="7"/>
  <c r="H408" i="7"/>
  <c r="J408" i="7"/>
  <c r="L408" i="7"/>
  <c r="H409" i="7"/>
  <c r="J409" i="7"/>
  <c r="L409" i="7"/>
  <c r="H410" i="7"/>
  <c r="J410" i="7"/>
  <c r="L410" i="7"/>
  <c r="H411" i="7"/>
  <c r="J411" i="7"/>
  <c r="L411" i="7"/>
  <c r="H412" i="7"/>
  <c r="J412" i="7"/>
  <c r="L412" i="7"/>
  <c r="H413" i="7"/>
  <c r="J413" i="7"/>
  <c r="L413" i="7"/>
  <c r="H414" i="7"/>
  <c r="J414" i="7"/>
  <c r="L414" i="7"/>
  <c r="H415" i="7"/>
  <c r="J415" i="7"/>
  <c r="L415" i="7"/>
  <c r="H416" i="7"/>
  <c r="J416" i="7"/>
  <c r="L416" i="7"/>
  <c r="H417" i="7"/>
  <c r="J417" i="7"/>
  <c r="L417" i="7"/>
  <c r="H418" i="7"/>
  <c r="J418" i="7"/>
  <c r="L418" i="7"/>
  <c r="H419" i="7"/>
  <c r="J419" i="7"/>
  <c r="L419" i="7"/>
  <c r="H420" i="7"/>
  <c r="J420" i="7"/>
  <c r="L420" i="7"/>
  <c r="H421" i="7"/>
  <c r="J421" i="7"/>
  <c r="L421" i="7"/>
  <c r="H422" i="7"/>
  <c r="J422" i="7"/>
  <c r="L422" i="7"/>
  <c r="H423" i="7"/>
  <c r="J423" i="7"/>
  <c r="L423" i="7"/>
  <c r="H424" i="7"/>
  <c r="J424" i="7"/>
  <c r="L424" i="7"/>
  <c r="H425" i="7"/>
  <c r="J425" i="7"/>
  <c r="L425" i="7"/>
  <c r="C426" i="7"/>
  <c r="H426" i="7"/>
  <c r="J426" i="7"/>
  <c r="L426" i="7"/>
  <c r="H427" i="7"/>
  <c r="J427" i="7"/>
  <c r="L427" i="7"/>
  <c r="H428" i="7"/>
  <c r="J428" i="7"/>
  <c r="L428" i="7"/>
  <c r="H429" i="7"/>
  <c r="J429" i="7"/>
  <c r="L429" i="7"/>
  <c r="H430" i="7"/>
  <c r="J430" i="7"/>
  <c r="L430" i="7"/>
  <c r="H431" i="7"/>
  <c r="J431" i="7"/>
  <c r="L431" i="7"/>
  <c r="H432" i="7"/>
  <c r="J432" i="7"/>
  <c r="L432" i="7"/>
  <c r="H433" i="7"/>
  <c r="J433" i="7"/>
  <c r="L433" i="7"/>
  <c r="C434" i="7"/>
  <c r="H434" i="7"/>
  <c r="J434" i="7"/>
  <c r="L434" i="7"/>
  <c r="H435" i="7"/>
  <c r="J435" i="7"/>
  <c r="L435" i="7"/>
  <c r="H436" i="7"/>
  <c r="J436" i="7"/>
  <c r="L436" i="7"/>
  <c r="H437" i="7"/>
  <c r="J437" i="7"/>
  <c r="L437" i="7"/>
  <c r="H438" i="7"/>
  <c r="J438" i="7"/>
  <c r="L438" i="7"/>
  <c r="H439" i="7"/>
  <c r="J439" i="7"/>
  <c r="L439" i="7"/>
  <c r="H440" i="7"/>
  <c r="J440" i="7"/>
  <c r="L440" i="7"/>
  <c r="H441" i="7"/>
  <c r="J441" i="7"/>
  <c r="L441" i="7"/>
  <c r="H442" i="7"/>
  <c r="J442" i="7"/>
  <c r="L442" i="7"/>
  <c r="H443" i="7"/>
  <c r="J443" i="7"/>
  <c r="L443" i="7"/>
  <c r="H444" i="7"/>
  <c r="J444" i="7"/>
  <c r="L444" i="7"/>
  <c r="H445" i="7"/>
  <c r="J445" i="7"/>
  <c r="L445" i="7"/>
  <c r="C446" i="7"/>
  <c r="H446" i="7"/>
  <c r="J446" i="7"/>
  <c r="L446" i="7"/>
  <c r="H447" i="7"/>
  <c r="J447" i="7"/>
  <c r="L447" i="7"/>
  <c r="H448" i="7"/>
  <c r="J448" i="7"/>
  <c r="L448" i="7"/>
  <c r="H449" i="7"/>
  <c r="J449" i="7"/>
  <c r="L449" i="7"/>
  <c r="H450" i="7"/>
  <c r="J450" i="7"/>
  <c r="L450" i="7"/>
  <c r="C451" i="7"/>
  <c r="H451" i="7"/>
  <c r="J451" i="7"/>
  <c r="L451" i="7"/>
  <c r="H452" i="7"/>
  <c r="J452" i="7"/>
  <c r="L452" i="7"/>
  <c r="H453" i="7"/>
  <c r="J453" i="7"/>
  <c r="L453" i="7"/>
  <c r="H454" i="7"/>
  <c r="J454" i="7"/>
  <c r="L454" i="7"/>
  <c r="H455" i="7"/>
  <c r="J455" i="7"/>
  <c r="L455" i="7"/>
  <c r="C456" i="7"/>
  <c r="H456" i="7"/>
  <c r="J456" i="7"/>
  <c r="L456" i="7"/>
  <c r="H457" i="7"/>
  <c r="J457" i="7"/>
  <c r="L457" i="7"/>
  <c r="H458" i="7"/>
  <c r="J458" i="7"/>
  <c r="L458" i="7"/>
  <c r="H459" i="7"/>
  <c r="J459" i="7"/>
  <c r="L459" i="7"/>
  <c r="H460" i="7"/>
  <c r="J460" i="7"/>
  <c r="L460" i="7"/>
  <c r="H461" i="7"/>
  <c r="J461" i="7"/>
  <c r="L461" i="7"/>
  <c r="H462" i="7"/>
  <c r="J462" i="7"/>
  <c r="L462" i="7"/>
  <c r="C463" i="7"/>
  <c r="H463" i="7"/>
  <c r="J463" i="7"/>
  <c r="L463" i="7"/>
  <c r="H464" i="7"/>
  <c r="J464" i="7"/>
  <c r="L464" i="7"/>
  <c r="H465" i="7"/>
  <c r="J465" i="7"/>
  <c r="L465" i="7"/>
  <c r="H466" i="7"/>
  <c r="J466" i="7"/>
  <c r="L466" i="7"/>
  <c r="H467" i="7"/>
  <c r="J467" i="7"/>
  <c r="L467" i="7"/>
  <c r="H468" i="7"/>
  <c r="J468" i="7"/>
  <c r="L468" i="7"/>
  <c r="H469" i="7"/>
  <c r="J469" i="7"/>
  <c r="L469" i="7"/>
  <c r="C470" i="7"/>
  <c r="H470" i="7"/>
  <c r="J470" i="7"/>
  <c r="L470" i="7"/>
  <c r="H471" i="7"/>
  <c r="J471" i="7"/>
  <c r="L471" i="7"/>
  <c r="H472" i="7"/>
  <c r="J472" i="7"/>
  <c r="L472" i="7"/>
  <c r="H473" i="7"/>
  <c r="J473" i="7"/>
  <c r="L473" i="7"/>
  <c r="H474" i="7"/>
  <c r="J474" i="7"/>
  <c r="L474" i="7"/>
  <c r="H475" i="7"/>
  <c r="J475" i="7"/>
  <c r="L475" i="7"/>
  <c r="C476" i="7"/>
  <c r="H476" i="7"/>
  <c r="J476" i="7"/>
  <c r="L476" i="7"/>
  <c r="H477" i="7"/>
  <c r="J477" i="7"/>
  <c r="L477" i="7"/>
  <c r="H478" i="7"/>
  <c r="J478" i="7"/>
  <c r="L478" i="7"/>
  <c r="H479" i="7"/>
  <c r="J479" i="7"/>
  <c r="L479" i="7"/>
  <c r="H480" i="7"/>
  <c r="J480" i="7"/>
  <c r="L480" i="7"/>
  <c r="H481" i="7"/>
  <c r="J481" i="7"/>
  <c r="L481" i="7"/>
  <c r="C482" i="7"/>
  <c r="H482" i="7"/>
  <c r="J482" i="7"/>
  <c r="L482" i="7"/>
  <c r="H483" i="7"/>
  <c r="J483" i="7"/>
  <c r="L483" i="7"/>
  <c r="H484" i="7"/>
  <c r="J484" i="7"/>
  <c r="L484" i="7"/>
  <c r="H485" i="7"/>
  <c r="J485" i="7"/>
  <c r="L485" i="7"/>
  <c r="H486" i="7"/>
  <c r="J486" i="7"/>
  <c r="L486" i="7"/>
  <c r="H487" i="7"/>
  <c r="J487" i="7"/>
  <c r="L487" i="7"/>
  <c r="H488" i="7"/>
  <c r="J488" i="7"/>
  <c r="L488" i="7"/>
  <c r="C489" i="7"/>
  <c r="H489" i="7"/>
  <c r="J489" i="7"/>
  <c r="L489" i="7"/>
  <c r="H490" i="7"/>
  <c r="J490" i="7"/>
  <c r="L490" i="7"/>
  <c r="H491" i="7"/>
  <c r="J491" i="7"/>
  <c r="L491" i="7"/>
  <c r="B492" i="7"/>
  <c r="H492" i="7"/>
  <c r="J492" i="7"/>
  <c r="L492" i="7"/>
  <c r="C493" i="7"/>
  <c r="H493" i="7"/>
  <c r="J493" i="7"/>
  <c r="L493" i="7"/>
  <c r="H494" i="7"/>
  <c r="J494" i="7"/>
  <c r="L494" i="7"/>
  <c r="C495" i="7"/>
  <c r="H495" i="7"/>
  <c r="J495" i="7"/>
  <c r="L495" i="7"/>
  <c r="H496" i="7"/>
  <c r="J496" i="7"/>
  <c r="L496" i="7"/>
  <c r="C497" i="7"/>
  <c r="H497" i="7"/>
  <c r="J497" i="7"/>
  <c r="L497" i="7"/>
  <c r="C498" i="7"/>
  <c r="H498" i="7"/>
  <c r="J498" i="7"/>
  <c r="L498" i="7"/>
  <c r="H499" i="7"/>
  <c r="J499" i="7"/>
  <c r="L499" i="7"/>
  <c r="C500" i="7"/>
  <c r="H500" i="7"/>
  <c r="J500" i="7"/>
  <c r="L500" i="7"/>
  <c r="H501" i="7"/>
  <c r="J501" i="7"/>
  <c r="L501" i="7"/>
  <c r="C502" i="7"/>
  <c r="H502" i="7"/>
  <c r="J502" i="7"/>
  <c r="L502" i="7"/>
  <c r="H503" i="7"/>
  <c r="J503" i="7"/>
  <c r="L503" i="7"/>
  <c r="H504" i="7"/>
  <c r="J504" i="7"/>
  <c r="L504" i="7"/>
  <c r="C505" i="7"/>
  <c r="H505" i="7"/>
  <c r="J505" i="7"/>
  <c r="L505" i="7"/>
  <c r="H506" i="7"/>
  <c r="J506" i="7"/>
  <c r="L506" i="7"/>
  <c r="H507" i="7"/>
  <c r="J507" i="7"/>
  <c r="L507" i="7"/>
  <c r="C508" i="7"/>
  <c r="H508" i="7"/>
  <c r="J508" i="7"/>
  <c r="L508" i="7"/>
  <c r="H509" i="7"/>
  <c r="J509" i="7"/>
  <c r="L509" i="7"/>
  <c r="C510" i="7"/>
  <c r="H510" i="7"/>
  <c r="J510" i="7"/>
  <c r="L510" i="7"/>
  <c r="H511" i="7"/>
  <c r="J511" i="7"/>
  <c r="L511" i="7"/>
  <c r="H512" i="7"/>
  <c r="J512" i="7"/>
  <c r="L512" i="7"/>
  <c r="H513" i="7"/>
  <c r="J513" i="7"/>
  <c r="L513" i="7"/>
  <c r="H514" i="7"/>
  <c r="J514" i="7"/>
  <c r="L514" i="7"/>
  <c r="C515" i="7"/>
  <c r="H515" i="7"/>
  <c r="J515" i="7"/>
  <c r="L515" i="7"/>
  <c r="H516" i="7"/>
  <c r="J516" i="7"/>
  <c r="L516" i="7"/>
  <c r="H517" i="7"/>
  <c r="J517" i="7"/>
  <c r="L517" i="7"/>
  <c r="H518" i="7"/>
  <c r="J518" i="7"/>
  <c r="L518" i="7"/>
  <c r="H519" i="7"/>
  <c r="J519" i="7"/>
  <c r="L519" i="7"/>
  <c r="J520" i="7"/>
  <c r="L520" i="7"/>
  <c r="H521" i="7"/>
  <c r="J521" i="7"/>
  <c r="L521" i="7"/>
  <c r="H522" i="7"/>
  <c r="J522" i="7"/>
  <c r="L522" i="7"/>
  <c r="H523" i="7"/>
  <c r="J523" i="7"/>
  <c r="L523" i="7"/>
  <c r="C524" i="7"/>
  <c r="H524" i="7"/>
  <c r="J524" i="7"/>
  <c r="L524" i="7"/>
  <c r="H525" i="7"/>
  <c r="J525" i="7"/>
  <c r="L525" i="7"/>
  <c r="H526" i="7"/>
  <c r="J526" i="7"/>
  <c r="L526" i="7"/>
  <c r="H527" i="7"/>
  <c r="J527" i="7"/>
  <c r="L527" i="7"/>
  <c r="H528" i="7"/>
  <c r="J528" i="7"/>
  <c r="L528" i="7"/>
  <c r="H529" i="7"/>
  <c r="J529" i="7"/>
  <c r="L529" i="7"/>
  <c r="C530" i="7"/>
  <c r="H530" i="7"/>
  <c r="J530" i="7"/>
  <c r="L530" i="7"/>
  <c r="H531" i="7"/>
  <c r="J531" i="7"/>
  <c r="L531" i="7"/>
  <c r="H532" i="7"/>
  <c r="J532" i="7"/>
  <c r="L532" i="7"/>
  <c r="C533" i="7"/>
  <c r="H533" i="7"/>
  <c r="J533" i="7"/>
  <c r="L533" i="7"/>
  <c r="H534" i="7"/>
  <c r="J534" i="7"/>
  <c r="L534" i="7"/>
  <c r="H535" i="7"/>
  <c r="J535" i="7"/>
  <c r="L535" i="7"/>
  <c r="H536" i="7"/>
  <c r="J536" i="7"/>
  <c r="L536" i="7"/>
  <c r="H537" i="7"/>
  <c r="J537" i="7"/>
  <c r="L537" i="7"/>
  <c r="H538" i="7"/>
  <c r="J538" i="7"/>
  <c r="L538" i="7"/>
  <c r="H539" i="7"/>
  <c r="J539" i="7"/>
  <c r="L539" i="7"/>
  <c r="H540" i="7"/>
  <c r="J540" i="7"/>
  <c r="L540" i="7"/>
  <c r="H541" i="7"/>
  <c r="J541" i="7"/>
  <c r="L541" i="7"/>
  <c r="C542" i="7"/>
  <c r="H542" i="7"/>
  <c r="J542" i="7"/>
  <c r="L542" i="7"/>
  <c r="H543" i="7"/>
  <c r="J543" i="7"/>
  <c r="L543" i="7"/>
  <c r="H544" i="7"/>
  <c r="J544" i="7"/>
  <c r="L544" i="7"/>
  <c r="H545" i="7"/>
  <c r="J545" i="7"/>
  <c r="L545" i="7"/>
  <c r="H546" i="7"/>
  <c r="J546" i="7"/>
  <c r="L546" i="7"/>
  <c r="H547" i="7"/>
  <c r="J547" i="7"/>
  <c r="L547" i="7"/>
  <c r="H548" i="7"/>
  <c r="J548" i="7"/>
  <c r="L548" i="7"/>
  <c r="H549" i="7"/>
  <c r="J549" i="7"/>
  <c r="L549" i="7"/>
  <c r="H550" i="7"/>
  <c r="J550" i="7"/>
  <c r="L550" i="7"/>
  <c r="H551" i="7"/>
  <c r="J551" i="7"/>
  <c r="L551" i="7"/>
  <c r="H552" i="7"/>
  <c r="J552" i="7"/>
  <c r="L552" i="7"/>
  <c r="H553" i="7"/>
  <c r="J553" i="7"/>
  <c r="L553" i="7"/>
  <c r="H554" i="7"/>
  <c r="J554" i="7"/>
  <c r="L554" i="7"/>
  <c r="H555" i="7"/>
  <c r="J555" i="7"/>
  <c r="L555" i="7"/>
  <c r="C556" i="7"/>
  <c r="H556" i="7"/>
  <c r="J556" i="7"/>
  <c r="L556" i="7"/>
  <c r="H557" i="7"/>
  <c r="J557" i="7"/>
  <c r="L557" i="7"/>
  <c r="H558" i="7"/>
  <c r="J558" i="7"/>
  <c r="L558" i="7"/>
  <c r="H559" i="7"/>
  <c r="J559" i="7"/>
  <c r="L559" i="7"/>
  <c r="C560" i="7"/>
  <c r="H560" i="7"/>
  <c r="J560" i="7"/>
  <c r="L560" i="7"/>
  <c r="H561" i="7"/>
  <c r="J561" i="7"/>
  <c r="L561" i="7"/>
  <c r="H562" i="7"/>
  <c r="J562" i="7"/>
  <c r="L562" i="7"/>
  <c r="H563" i="7"/>
  <c r="J563" i="7"/>
  <c r="L563" i="7"/>
  <c r="H564" i="7"/>
  <c r="J564" i="7"/>
  <c r="L564" i="7"/>
  <c r="C565" i="7"/>
  <c r="H565" i="7"/>
  <c r="J565" i="7"/>
  <c r="L565" i="7"/>
  <c r="H566" i="7"/>
  <c r="J566" i="7"/>
  <c r="L566" i="7"/>
  <c r="C567" i="7"/>
  <c r="H567" i="7"/>
  <c r="J567" i="7"/>
  <c r="L567" i="7"/>
  <c r="H568" i="7"/>
  <c r="J568" i="7"/>
  <c r="L568" i="7"/>
  <c r="C569" i="7"/>
  <c r="H569" i="7"/>
  <c r="J569" i="7"/>
  <c r="L569" i="7"/>
  <c r="H570" i="7"/>
  <c r="J570" i="7"/>
  <c r="L570" i="7"/>
  <c r="H571" i="7"/>
  <c r="J571" i="7"/>
  <c r="L571" i="7"/>
  <c r="H572" i="7"/>
  <c r="J572" i="7"/>
  <c r="L572" i="7"/>
  <c r="H573" i="7"/>
  <c r="J573" i="7"/>
  <c r="L573" i="7"/>
  <c r="H574" i="7"/>
  <c r="J574" i="7"/>
  <c r="L574" i="7"/>
  <c r="C575" i="7"/>
  <c r="H575" i="7"/>
  <c r="J575" i="7"/>
  <c r="L575" i="7"/>
  <c r="H576" i="7"/>
  <c r="J576" i="7"/>
  <c r="L576" i="7"/>
  <c r="H577" i="7"/>
  <c r="J577" i="7"/>
  <c r="L577" i="7"/>
  <c r="C578" i="7"/>
  <c r="H578" i="7"/>
  <c r="J578" i="7"/>
  <c r="L578" i="7"/>
  <c r="H579" i="7"/>
  <c r="J579" i="7"/>
  <c r="L579" i="7"/>
  <c r="H580" i="7"/>
  <c r="J580" i="7"/>
  <c r="L580" i="7"/>
  <c r="C581" i="7"/>
  <c r="H581" i="7"/>
  <c r="J581" i="7"/>
  <c r="L581" i="7"/>
  <c r="C582" i="7"/>
  <c r="H582" i="7"/>
  <c r="J582" i="7"/>
  <c r="L582" i="7"/>
  <c r="C583" i="7"/>
  <c r="H583" i="7"/>
  <c r="J583" i="7"/>
  <c r="L583" i="7"/>
  <c r="H584" i="7"/>
  <c r="J584" i="7"/>
  <c r="L584" i="7"/>
  <c r="H585" i="7"/>
  <c r="J585" i="7"/>
  <c r="L585" i="7"/>
  <c r="H586" i="7"/>
  <c r="J586" i="7"/>
  <c r="L586" i="7"/>
  <c r="H587" i="7"/>
  <c r="J587" i="7"/>
  <c r="L587" i="7"/>
  <c r="C588" i="7"/>
  <c r="H588" i="7"/>
  <c r="J588" i="7"/>
  <c r="L588" i="7"/>
  <c r="H589" i="7"/>
  <c r="J589" i="7"/>
  <c r="L589" i="7"/>
  <c r="H590" i="7"/>
  <c r="J590" i="7"/>
  <c r="L590" i="7"/>
  <c r="H591" i="7"/>
  <c r="J591" i="7"/>
  <c r="L591" i="7"/>
  <c r="H592" i="7"/>
  <c r="J592" i="7"/>
  <c r="L592" i="7"/>
  <c r="H593" i="7"/>
  <c r="J593" i="7"/>
  <c r="L593" i="7"/>
  <c r="H594" i="7"/>
  <c r="J594" i="7"/>
  <c r="L594" i="7"/>
  <c r="H595" i="7"/>
  <c r="J595" i="7"/>
  <c r="L595" i="7"/>
  <c r="H596" i="7"/>
  <c r="J596" i="7"/>
  <c r="L596" i="7"/>
  <c r="H597" i="7"/>
  <c r="J597" i="7"/>
  <c r="L597" i="7"/>
  <c r="H598" i="7"/>
  <c r="J598" i="7"/>
  <c r="L598" i="7"/>
  <c r="C599" i="7"/>
  <c r="H599" i="7"/>
  <c r="J599" i="7"/>
  <c r="L599" i="7"/>
  <c r="H600" i="7"/>
  <c r="J600" i="7"/>
  <c r="L600" i="7"/>
  <c r="H601" i="7"/>
  <c r="J601" i="7"/>
  <c r="L601" i="7"/>
  <c r="H602" i="7"/>
  <c r="J602" i="7"/>
  <c r="L602" i="7"/>
  <c r="H603" i="7"/>
  <c r="J603" i="7"/>
  <c r="L603" i="7"/>
  <c r="H604" i="7"/>
  <c r="J604" i="7"/>
  <c r="L604" i="7"/>
  <c r="C605" i="7"/>
  <c r="H605" i="7"/>
  <c r="J605" i="7"/>
  <c r="L605" i="7"/>
  <c r="H606" i="7"/>
  <c r="J606" i="7"/>
  <c r="L606" i="7"/>
  <c r="H607" i="7"/>
  <c r="J607" i="7"/>
  <c r="L607" i="7"/>
  <c r="C608" i="7"/>
  <c r="H608" i="7"/>
  <c r="J608" i="7"/>
  <c r="L608" i="7"/>
  <c r="H609" i="7"/>
  <c r="J609" i="7"/>
  <c r="L609" i="7"/>
  <c r="H610" i="7"/>
  <c r="J610" i="7"/>
  <c r="L610" i="7"/>
  <c r="H611" i="7"/>
  <c r="J611" i="7"/>
  <c r="L611" i="7"/>
  <c r="H612" i="7"/>
  <c r="J612" i="7"/>
  <c r="L612" i="7"/>
  <c r="H613" i="7"/>
  <c r="J613" i="7"/>
  <c r="L613" i="7"/>
  <c r="H614" i="7"/>
  <c r="J614" i="7"/>
  <c r="L614" i="7"/>
  <c r="C615" i="7"/>
  <c r="H615" i="7"/>
  <c r="J615" i="7"/>
  <c r="L615" i="7"/>
  <c r="H616" i="7"/>
  <c r="J616" i="7"/>
  <c r="L616" i="7"/>
  <c r="H617" i="7"/>
  <c r="J617" i="7"/>
  <c r="L617" i="7"/>
  <c r="H618" i="7"/>
  <c r="J618" i="7"/>
  <c r="L618" i="7"/>
  <c r="C619" i="7"/>
  <c r="H619" i="7"/>
  <c r="J619" i="7"/>
  <c r="L619" i="7"/>
  <c r="H620" i="7"/>
  <c r="J620" i="7"/>
  <c r="L620" i="7"/>
  <c r="H621" i="7"/>
  <c r="J621" i="7"/>
  <c r="L621" i="7"/>
  <c r="H622" i="7"/>
  <c r="J622" i="7"/>
  <c r="L622" i="7"/>
  <c r="H623" i="7"/>
  <c r="J623" i="7"/>
  <c r="L623" i="7"/>
  <c r="H624" i="7"/>
  <c r="J624" i="7"/>
  <c r="L624" i="7"/>
  <c r="H625" i="7"/>
  <c r="J625" i="7"/>
  <c r="L625" i="7"/>
  <c r="H626" i="7"/>
  <c r="J626" i="7"/>
  <c r="L626" i="7"/>
  <c r="H627" i="7"/>
  <c r="J627" i="7"/>
  <c r="L627" i="7"/>
  <c r="H628" i="7"/>
  <c r="J628" i="7"/>
  <c r="L628" i="7"/>
  <c r="H629" i="7"/>
  <c r="J629" i="7"/>
  <c r="L629" i="7"/>
  <c r="H630" i="7"/>
  <c r="J630" i="7"/>
  <c r="L630" i="7"/>
  <c r="H631" i="7"/>
  <c r="J631" i="7"/>
  <c r="L631" i="7"/>
  <c r="H632" i="7"/>
  <c r="J632" i="7"/>
  <c r="L632" i="7"/>
  <c r="H633" i="7"/>
  <c r="J633" i="7"/>
  <c r="L633" i="7"/>
  <c r="H634" i="7"/>
  <c r="J634" i="7"/>
  <c r="L634" i="7"/>
  <c r="H635" i="7"/>
  <c r="J635" i="7"/>
  <c r="L635" i="7"/>
  <c r="C636" i="7"/>
  <c r="H636" i="7"/>
  <c r="J636" i="7"/>
  <c r="L636" i="7"/>
  <c r="H637" i="7"/>
  <c r="J637" i="7"/>
  <c r="L637" i="7"/>
  <c r="H638" i="7"/>
  <c r="J638" i="7"/>
  <c r="L638" i="7"/>
  <c r="H639" i="7"/>
  <c r="J639" i="7"/>
  <c r="L639" i="7"/>
  <c r="H640" i="7"/>
  <c r="J640" i="7"/>
  <c r="L640" i="7"/>
  <c r="H641" i="7"/>
  <c r="J641" i="7"/>
  <c r="L641" i="7"/>
  <c r="C643" i="7"/>
  <c r="H643" i="7"/>
  <c r="J643" i="7"/>
  <c r="L643" i="7"/>
  <c r="C644" i="7"/>
  <c r="H644" i="7"/>
  <c r="J644" i="7"/>
  <c r="L644" i="7"/>
  <c r="H645" i="7"/>
  <c r="J645" i="7"/>
  <c r="L645" i="7"/>
  <c r="H646" i="7"/>
  <c r="J646" i="7"/>
  <c r="L646" i="7"/>
  <c r="H647" i="7"/>
  <c r="J647" i="7"/>
  <c r="L647" i="7"/>
  <c r="H648" i="7"/>
  <c r="J648" i="7"/>
  <c r="L648" i="7"/>
  <c r="H649" i="7"/>
  <c r="J649" i="7"/>
  <c r="L649" i="7"/>
  <c r="H650" i="7"/>
  <c r="J650" i="7"/>
  <c r="L650" i="7"/>
  <c r="H651" i="7"/>
  <c r="J651" i="7"/>
  <c r="L651" i="7"/>
  <c r="H652" i="7"/>
  <c r="J652" i="7"/>
  <c r="L652" i="7"/>
  <c r="H653" i="7"/>
  <c r="J653" i="7"/>
  <c r="L653" i="7"/>
  <c r="H654" i="7"/>
  <c r="J654" i="7"/>
  <c r="L654" i="7"/>
  <c r="H655" i="7"/>
  <c r="J655" i="7"/>
  <c r="L655" i="7"/>
  <c r="H656" i="7"/>
  <c r="J656" i="7"/>
  <c r="L656" i="7"/>
  <c r="H657" i="7"/>
  <c r="J657" i="7"/>
  <c r="L657" i="7"/>
  <c r="H658" i="7"/>
  <c r="J658" i="7"/>
  <c r="L658" i="7"/>
  <c r="H659" i="7"/>
  <c r="J659" i="7"/>
  <c r="L659" i="7"/>
  <c r="H660" i="7"/>
  <c r="J660" i="7"/>
  <c r="L660" i="7"/>
  <c r="H661" i="7"/>
  <c r="J661" i="7"/>
  <c r="L661" i="7"/>
  <c r="H662" i="7"/>
  <c r="J662" i="7"/>
  <c r="L662" i="7"/>
  <c r="H663" i="7"/>
  <c r="J663" i="7"/>
  <c r="L663" i="7"/>
  <c r="H664" i="7"/>
  <c r="J664" i="7"/>
  <c r="L664" i="7"/>
  <c r="H665" i="7"/>
  <c r="J665" i="7"/>
  <c r="L665" i="7"/>
  <c r="H666" i="7"/>
  <c r="J666" i="7"/>
  <c r="L666" i="7"/>
  <c r="H667" i="7"/>
  <c r="J667" i="7"/>
  <c r="L667" i="7"/>
  <c r="H668" i="7"/>
  <c r="J668" i="7"/>
  <c r="L668" i="7"/>
  <c r="H669" i="7"/>
  <c r="J669" i="7"/>
  <c r="L669" i="7"/>
  <c r="C670" i="7"/>
  <c r="H670" i="7"/>
  <c r="J670" i="7"/>
  <c r="L670" i="7"/>
  <c r="H671" i="7"/>
  <c r="J671" i="7"/>
  <c r="L671" i="7"/>
  <c r="H672" i="7"/>
  <c r="J672" i="7"/>
  <c r="L672" i="7"/>
  <c r="H673" i="7"/>
  <c r="J673" i="7"/>
  <c r="L673" i="7"/>
  <c r="H674" i="7"/>
  <c r="J674" i="7"/>
  <c r="L674" i="7"/>
  <c r="H675" i="7"/>
  <c r="J675" i="7"/>
  <c r="L675" i="7"/>
  <c r="H676" i="7"/>
  <c r="J676" i="7"/>
  <c r="L676" i="7"/>
  <c r="C677" i="7"/>
  <c r="H677" i="7"/>
  <c r="J677" i="7"/>
  <c r="L677" i="7"/>
  <c r="H678" i="7"/>
  <c r="J678" i="7"/>
  <c r="L678" i="7"/>
  <c r="H679" i="7"/>
  <c r="J679" i="7"/>
  <c r="L679" i="7"/>
  <c r="H680" i="7"/>
  <c r="J680" i="7"/>
  <c r="L680" i="7"/>
  <c r="C681" i="7"/>
  <c r="H681" i="7"/>
  <c r="J681" i="7"/>
  <c r="L681" i="7"/>
  <c r="H682" i="7"/>
  <c r="J682" i="7"/>
  <c r="L682" i="7"/>
  <c r="H683" i="7"/>
  <c r="J683" i="7"/>
  <c r="L683" i="7"/>
  <c r="H684" i="7"/>
  <c r="J684" i="7"/>
  <c r="L684" i="7"/>
  <c r="H685" i="7"/>
  <c r="J685" i="7"/>
  <c r="L685" i="7"/>
  <c r="H686" i="7"/>
  <c r="J686" i="7"/>
  <c r="L686" i="7"/>
  <c r="H687" i="7"/>
  <c r="J687" i="7"/>
  <c r="L687" i="7"/>
  <c r="H688" i="7"/>
  <c r="J688" i="7"/>
  <c r="L688" i="7"/>
  <c r="H689" i="7"/>
  <c r="J689" i="7"/>
  <c r="L689" i="7"/>
  <c r="H690" i="7"/>
  <c r="J690" i="7"/>
  <c r="L690" i="7"/>
  <c r="H691" i="7"/>
  <c r="J691" i="7"/>
  <c r="L691" i="7"/>
  <c r="H692" i="7"/>
  <c r="J692" i="7"/>
  <c r="L692" i="7"/>
  <c r="H693" i="7"/>
  <c r="J693" i="7"/>
  <c r="L693" i="7"/>
  <c r="H694" i="7"/>
  <c r="J694" i="7"/>
  <c r="L694" i="7"/>
  <c r="H695" i="7"/>
  <c r="J695" i="7"/>
  <c r="L695" i="7"/>
  <c r="H696" i="7"/>
  <c r="J696" i="7"/>
  <c r="L696" i="7"/>
  <c r="H697" i="7"/>
  <c r="J697" i="7"/>
  <c r="L697" i="7"/>
  <c r="H698" i="7"/>
  <c r="J698" i="7"/>
  <c r="L698" i="7"/>
  <c r="H699" i="7"/>
  <c r="J699" i="7"/>
  <c r="L699" i="7"/>
  <c r="H700" i="7"/>
  <c r="J700" i="7"/>
  <c r="L700" i="7"/>
  <c r="H701" i="7"/>
  <c r="J701" i="7"/>
  <c r="L701" i="7"/>
  <c r="C702" i="7"/>
  <c r="H702" i="7"/>
  <c r="J702" i="7"/>
  <c r="L702" i="7"/>
  <c r="H703" i="7"/>
  <c r="J703" i="7"/>
  <c r="L703" i="7"/>
  <c r="H704" i="7"/>
  <c r="J704" i="7"/>
  <c r="L704" i="7"/>
  <c r="H705" i="7"/>
  <c r="J705" i="7"/>
  <c r="L705" i="7"/>
  <c r="H706" i="7"/>
  <c r="J706" i="7"/>
  <c r="L706" i="7"/>
  <c r="H707" i="7"/>
  <c r="J707" i="7"/>
  <c r="L707" i="7"/>
  <c r="H708" i="7"/>
  <c r="J708" i="7"/>
  <c r="L708" i="7"/>
  <c r="H709" i="7"/>
  <c r="J709" i="7"/>
  <c r="L709" i="7"/>
  <c r="H710" i="7"/>
  <c r="J710" i="7"/>
  <c r="L710" i="7"/>
  <c r="H711" i="7"/>
  <c r="J711" i="7"/>
  <c r="L711" i="7"/>
  <c r="H712" i="7"/>
  <c r="J712" i="7"/>
  <c r="L712" i="7"/>
  <c r="H713" i="7"/>
  <c r="J713" i="7"/>
  <c r="L713" i="7"/>
  <c r="H714" i="7"/>
  <c r="J714" i="7"/>
  <c r="L714" i="7"/>
  <c r="H715" i="7"/>
  <c r="J715" i="7"/>
  <c r="L715" i="7"/>
  <c r="H716" i="7"/>
  <c r="J716" i="7"/>
  <c r="L716" i="7"/>
  <c r="H717" i="7"/>
  <c r="J717" i="7"/>
  <c r="L717" i="7"/>
  <c r="H718" i="7"/>
  <c r="J718" i="7"/>
  <c r="L718" i="7"/>
  <c r="H719" i="7"/>
  <c r="J719" i="7"/>
  <c r="L719" i="7"/>
  <c r="H720" i="7"/>
  <c r="J720" i="7"/>
  <c r="L720" i="7"/>
  <c r="H721" i="7"/>
  <c r="J721" i="7"/>
  <c r="L721" i="7"/>
  <c r="H722" i="7"/>
  <c r="J722" i="7"/>
  <c r="L722" i="7"/>
  <c r="H723" i="7"/>
  <c r="J723" i="7"/>
  <c r="L723" i="7"/>
  <c r="H724" i="7"/>
  <c r="J724" i="7"/>
  <c r="L724" i="7"/>
  <c r="H725" i="7"/>
  <c r="J725" i="7"/>
  <c r="L725" i="7"/>
  <c r="H726" i="7"/>
  <c r="J726" i="7"/>
  <c r="L726" i="7"/>
  <c r="H727" i="7"/>
  <c r="J727" i="7"/>
  <c r="L727" i="7"/>
  <c r="H728" i="7"/>
  <c r="J728" i="7"/>
  <c r="L728" i="7"/>
  <c r="H729" i="7"/>
  <c r="J729" i="7"/>
  <c r="L729" i="7"/>
  <c r="H730" i="7"/>
  <c r="J730" i="7"/>
  <c r="L730" i="7"/>
  <c r="C731" i="7"/>
  <c r="H731" i="7"/>
  <c r="J731" i="7"/>
  <c r="L731" i="7"/>
  <c r="C732" i="7"/>
  <c r="H732" i="7"/>
  <c r="J732" i="7"/>
  <c r="L732" i="7"/>
  <c r="H733" i="7"/>
  <c r="J733" i="7"/>
  <c r="L733" i="7"/>
  <c r="H734" i="7"/>
  <c r="J734" i="7"/>
  <c r="L734" i="7"/>
  <c r="H735" i="7"/>
  <c r="J735" i="7"/>
  <c r="L735" i="7"/>
  <c r="H736" i="7"/>
  <c r="J736" i="7"/>
  <c r="L736" i="7"/>
  <c r="C737" i="7"/>
  <c r="H737" i="7"/>
  <c r="J737" i="7"/>
  <c r="L737" i="7"/>
  <c r="H738" i="7"/>
  <c r="J738" i="7"/>
  <c r="L738" i="7"/>
  <c r="C739" i="7"/>
  <c r="H739" i="7"/>
  <c r="J739" i="7"/>
  <c r="L739" i="7"/>
  <c r="H740" i="7"/>
  <c r="J740" i="7"/>
  <c r="L740" i="7"/>
  <c r="H741" i="7"/>
  <c r="J741" i="7"/>
  <c r="L741" i="7"/>
  <c r="H742" i="7"/>
  <c r="J742" i="7"/>
  <c r="L742" i="7"/>
  <c r="H743" i="7"/>
  <c r="J743" i="7"/>
  <c r="L743" i="7"/>
  <c r="H744" i="7"/>
  <c r="J744" i="7"/>
  <c r="L744" i="7"/>
  <c r="H745" i="7"/>
  <c r="J745" i="7"/>
  <c r="L745" i="7"/>
  <c r="H746" i="7"/>
  <c r="J746" i="7"/>
  <c r="L746" i="7"/>
  <c r="H747" i="7"/>
  <c r="J747" i="7"/>
  <c r="L747" i="7"/>
  <c r="H748" i="7"/>
  <c r="J748" i="7"/>
  <c r="L748" i="7"/>
  <c r="H749" i="7"/>
  <c r="J749" i="7"/>
  <c r="L749" i="7"/>
  <c r="H750" i="7"/>
  <c r="J750" i="7"/>
  <c r="L750" i="7"/>
  <c r="H751" i="7"/>
  <c r="J751" i="7"/>
  <c r="L751" i="7"/>
  <c r="H752" i="7"/>
  <c r="J752" i="7"/>
  <c r="L752" i="7"/>
  <c r="H753" i="7"/>
  <c r="J753" i="7"/>
  <c r="L753" i="7"/>
  <c r="H754" i="7"/>
  <c r="J754" i="7"/>
  <c r="L754" i="7"/>
  <c r="H755" i="7"/>
  <c r="J755" i="7"/>
  <c r="L755" i="7"/>
  <c r="H756" i="7"/>
  <c r="J756" i="7"/>
  <c r="L756" i="7"/>
  <c r="H757" i="7"/>
  <c r="J757" i="7"/>
  <c r="L757" i="7"/>
  <c r="H758" i="7"/>
  <c r="J758" i="7"/>
  <c r="L758" i="7"/>
  <c r="H759" i="7"/>
  <c r="J759" i="7"/>
  <c r="L759" i="7"/>
  <c r="C760" i="7"/>
  <c r="H760" i="7"/>
  <c r="J760" i="7"/>
  <c r="L760" i="7"/>
  <c r="H761" i="7"/>
  <c r="J761" i="7"/>
  <c r="L761" i="7"/>
  <c r="H762" i="7"/>
  <c r="J762" i="7"/>
  <c r="L762" i="7"/>
  <c r="H763" i="7"/>
  <c r="J763" i="7"/>
  <c r="L763" i="7"/>
  <c r="H764" i="7"/>
  <c r="J764" i="7"/>
  <c r="L764" i="7"/>
  <c r="H765" i="7"/>
  <c r="J765" i="7"/>
  <c r="L765" i="7"/>
  <c r="H766" i="7"/>
  <c r="J766" i="7"/>
  <c r="L766" i="7"/>
  <c r="H767" i="7"/>
  <c r="J767" i="7"/>
  <c r="L767" i="7"/>
  <c r="H768" i="7"/>
  <c r="J768" i="7"/>
  <c r="L768" i="7"/>
  <c r="H769" i="7"/>
  <c r="J769" i="7"/>
  <c r="L769" i="7"/>
  <c r="H770" i="7"/>
  <c r="J770" i="7"/>
  <c r="L770" i="7"/>
  <c r="H771" i="7"/>
  <c r="J771" i="7"/>
  <c r="L771" i="7"/>
  <c r="H772" i="7"/>
  <c r="J772" i="7"/>
  <c r="L772" i="7"/>
  <c r="C773" i="7"/>
  <c r="H773" i="7"/>
  <c r="J773" i="7"/>
  <c r="L773" i="7"/>
  <c r="H774" i="7"/>
  <c r="J774" i="7"/>
  <c r="L774" i="7"/>
  <c r="H775" i="7"/>
  <c r="J775" i="7"/>
  <c r="L775" i="7"/>
  <c r="H776" i="7"/>
  <c r="J776" i="7"/>
  <c r="L776" i="7"/>
  <c r="H777" i="7"/>
  <c r="J777" i="7"/>
  <c r="L777" i="7"/>
  <c r="H778" i="7"/>
  <c r="J778" i="7"/>
  <c r="L778" i="7"/>
  <c r="H779" i="7"/>
  <c r="J779" i="7"/>
  <c r="L779" i="7"/>
  <c r="H780" i="7"/>
  <c r="J780" i="7"/>
  <c r="L780" i="7"/>
  <c r="H781" i="7"/>
  <c r="J781" i="7"/>
  <c r="L781" i="7"/>
  <c r="H782" i="7"/>
  <c r="J782" i="7"/>
  <c r="L782" i="7"/>
  <c r="H783" i="7"/>
  <c r="J783" i="7"/>
  <c r="L783" i="7"/>
  <c r="H784" i="7"/>
  <c r="J784" i="7"/>
  <c r="L784" i="7"/>
  <c r="C785" i="7"/>
  <c r="H785" i="7"/>
  <c r="J785" i="7"/>
  <c r="L785" i="7"/>
  <c r="H786" i="7"/>
  <c r="J786" i="7"/>
  <c r="L786" i="7"/>
  <c r="H787" i="7"/>
  <c r="J787" i="7"/>
  <c r="L787" i="7"/>
  <c r="H788" i="7"/>
  <c r="J788" i="7"/>
  <c r="L788" i="7"/>
  <c r="H789" i="7"/>
  <c r="J789" i="7"/>
  <c r="L789" i="7"/>
  <c r="H790" i="7"/>
  <c r="J790" i="7"/>
  <c r="L790" i="7"/>
  <c r="H791" i="7"/>
  <c r="J791" i="7"/>
  <c r="L791" i="7"/>
  <c r="H792" i="7"/>
  <c r="J792" i="7"/>
  <c r="L792" i="7"/>
  <c r="H793" i="7"/>
  <c r="J793" i="7"/>
  <c r="L793" i="7"/>
  <c r="H794" i="7"/>
  <c r="J794" i="7"/>
  <c r="L794" i="7"/>
  <c r="C795" i="7"/>
  <c r="L795" i="7"/>
  <c r="H796" i="7"/>
  <c r="J796" i="7"/>
  <c r="L796" i="7"/>
  <c r="H797" i="7"/>
  <c r="J797" i="7"/>
  <c r="L797" i="7"/>
  <c r="H798" i="7"/>
  <c r="J798" i="7"/>
  <c r="L798" i="7"/>
  <c r="H272" i="14"/>
  <c r="H271" i="14"/>
  <c r="H270" i="14"/>
  <c r="D157" i="14"/>
  <c r="H165" i="14"/>
  <c r="H164" i="14"/>
  <c r="H163" i="14"/>
  <c r="H162" i="14"/>
  <c r="H161" i="14"/>
  <c r="H160" i="14"/>
  <c r="K165" i="14"/>
  <c r="K164" i="14"/>
  <c r="K163" i="14"/>
  <c r="K162" i="14"/>
  <c r="K161" i="14"/>
  <c r="K171" i="14"/>
  <c r="E102" i="2"/>
  <c r="H139" i="14"/>
  <c r="K187" i="14"/>
  <c r="P767" i="7"/>
  <c r="P732" i="7"/>
  <c r="L12" i="15"/>
  <c r="L11" i="15"/>
  <c r="J12" i="15"/>
  <c r="J11" i="15"/>
  <c r="P737" i="7"/>
  <c r="L36" i="1"/>
  <c r="K36" i="1"/>
  <c r="J36" i="1"/>
  <c r="I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B13" i="2"/>
  <c r="T3" i="5"/>
  <c r="S3" i="5"/>
  <c r="R2" i="5"/>
  <c r="D13" i="2" s="1"/>
  <c r="B71" i="2"/>
  <c r="B70" i="2"/>
  <c r="F3" i="15"/>
  <c r="O3" i="15"/>
  <c r="E3" i="15"/>
  <c r="N4" i="15"/>
  <c r="N5" i="15"/>
  <c r="B6" i="15"/>
  <c r="N6" i="15"/>
  <c r="B7" i="15"/>
  <c r="N7" i="15"/>
  <c r="B8" i="15"/>
  <c r="N8" i="15"/>
  <c r="B9" i="15"/>
  <c r="N9" i="15"/>
  <c r="B10" i="15"/>
  <c r="N10" i="15"/>
  <c r="B11" i="15"/>
  <c r="N11" i="15"/>
  <c r="B12" i="15"/>
  <c r="N12" i="15"/>
  <c r="B13" i="15"/>
  <c r="J13" i="15"/>
  <c r="L13" i="15"/>
  <c r="N13" i="15"/>
  <c r="B14" i="15"/>
  <c r="J14" i="15"/>
  <c r="L14" i="15"/>
  <c r="N14" i="15"/>
  <c r="B15" i="15"/>
  <c r="J15" i="15"/>
  <c r="L15" i="15"/>
  <c r="N15" i="15"/>
  <c r="B16" i="15"/>
  <c r="J16" i="15"/>
  <c r="L16" i="15"/>
  <c r="N16" i="15"/>
  <c r="D17" i="15"/>
  <c r="C18" i="15"/>
  <c r="D20" i="15"/>
  <c r="C21" i="15"/>
  <c r="D21" i="15"/>
  <c r="J3" i="5"/>
  <c r="H368" i="14"/>
  <c r="H177" i="14"/>
  <c r="F709" i="6"/>
  <c r="F710" i="6"/>
  <c r="F712" i="6"/>
  <c r="C76" i="13"/>
  <c r="J29" i="15"/>
  <c r="G29" i="15" s="1"/>
  <c r="H198" i="14"/>
  <c r="H197" i="14"/>
  <c r="H196" i="14"/>
  <c r="H195" i="14"/>
  <c r="H194" i="14"/>
  <c r="K192" i="14"/>
  <c r="K62" i="14"/>
  <c r="K61" i="14"/>
  <c r="K60" i="14"/>
  <c r="H106" i="14"/>
  <c r="K106" i="14" s="1"/>
  <c r="K75" i="14"/>
  <c r="K66" i="14"/>
  <c r="K65" i="14"/>
  <c r="K64" i="14"/>
  <c r="K63" i="14"/>
  <c r="K59" i="14"/>
  <c r="K58" i="14" s="1"/>
  <c r="B669" i="6"/>
  <c r="H563" i="14"/>
  <c r="H562" i="14"/>
  <c r="H561" i="14"/>
  <c r="H560" i="14"/>
  <c r="E663" i="6"/>
  <c r="B659" i="6"/>
  <c r="B658" i="6"/>
  <c r="P647" i="7"/>
  <c r="H577" i="14"/>
  <c r="H576" i="14"/>
  <c r="H575" i="14"/>
  <c r="H574" i="14"/>
  <c r="H573" i="14"/>
  <c r="H549" i="14"/>
  <c r="H548" i="14"/>
  <c r="H547" i="14"/>
  <c r="H536" i="14"/>
  <c r="H535" i="14"/>
  <c r="H534" i="14"/>
  <c r="H9" i="11"/>
  <c r="H8" i="11"/>
  <c r="H7" i="11"/>
  <c r="H6" i="11"/>
  <c r="H5" i="11"/>
  <c r="B654" i="6"/>
  <c r="H369" i="14"/>
  <c r="P632" i="7"/>
  <c r="F643" i="6"/>
  <c r="E630" i="6"/>
  <c r="H387" i="14"/>
  <c r="H386" i="14"/>
  <c r="H385" i="14"/>
  <c r="H384" i="14"/>
  <c r="H460" i="14"/>
  <c r="H459" i="14"/>
  <c r="P609" i="7"/>
  <c r="H152" i="14"/>
  <c r="H151" i="14"/>
  <c r="H150" i="14"/>
  <c r="H149" i="14"/>
  <c r="H148" i="14"/>
  <c r="H147" i="14"/>
  <c r="H146" i="14"/>
  <c r="H145" i="14"/>
  <c r="H144" i="14"/>
  <c r="H142" i="14"/>
  <c r="H446" i="14"/>
  <c r="E618" i="6"/>
  <c r="K394" i="14"/>
  <c r="B607" i="6"/>
  <c r="B610" i="6"/>
  <c r="H447" i="14"/>
  <c r="B74" i="13"/>
  <c r="K42" i="14"/>
  <c r="K41" i="14"/>
  <c r="K40" i="14"/>
  <c r="K39" i="14"/>
  <c r="K38" i="14"/>
  <c r="K37" i="14"/>
  <c r="K36" i="14"/>
  <c r="K367" i="14"/>
  <c r="C73" i="13"/>
  <c r="C72" i="13"/>
  <c r="P584" i="7"/>
  <c r="B587" i="6"/>
  <c r="B576" i="6"/>
  <c r="D186" i="14"/>
  <c r="B70" i="13"/>
  <c r="F573" i="6"/>
  <c r="B562" i="6"/>
  <c r="I3" i="5"/>
  <c r="H2" i="5"/>
  <c r="C69" i="13"/>
  <c r="C35" i="8"/>
  <c r="C34" i="8"/>
  <c r="B561" i="6"/>
  <c r="B559" i="6"/>
  <c r="E3" i="16"/>
  <c r="B17" i="2"/>
  <c r="B5" i="16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H4" i="16"/>
  <c r="G3" i="16"/>
  <c r="I4" i="16" s="1"/>
  <c r="D3" i="16"/>
  <c r="I3" i="16" s="1"/>
  <c r="I7" i="16" s="1"/>
  <c r="G21" i="2" s="1"/>
  <c r="E568" i="6"/>
  <c r="P515" i="7"/>
  <c r="H502" i="14"/>
  <c r="H501" i="14"/>
  <c r="H500" i="14"/>
  <c r="K174" i="14"/>
  <c r="C64" i="13"/>
  <c r="H665" i="14"/>
  <c r="P529" i="7"/>
  <c r="P525" i="7"/>
  <c r="B526" i="6"/>
  <c r="P518" i="7"/>
  <c r="P510" i="7"/>
  <c r="C61" i="13"/>
  <c r="C60" i="13"/>
  <c r="D135" i="14"/>
  <c r="H612" i="14"/>
  <c r="H611" i="14"/>
  <c r="H610" i="14"/>
  <c r="H609" i="14"/>
  <c r="H608" i="14"/>
  <c r="H607" i="14"/>
  <c r="H606" i="14"/>
  <c r="H605" i="14"/>
  <c r="H579" i="14"/>
  <c r="H578" i="14"/>
  <c r="H450" i="14"/>
  <c r="H449" i="14"/>
  <c r="H448" i="14"/>
  <c r="H257" i="14"/>
  <c r="H256" i="14"/>
  <c r="H255" i="14"/>
  <c r="L29" i="15"/>
  <c r="J28" i="15"/>
  <c r="G28" i="15" s="1"/>
  <c r="H639" i="14"/>
  <c r="H287" i="14"/>
  <c r="H617" i="14"/>
  <c r="H616" i="14"/>
  <c r="H615" i="14"/>
  <c r="H614" i="14"/>
  <c r="H613" i="14"/>
  <c r="H464" i="14"/>
  <c r="H463" i="14"/>
  <c r="H462" i="14"/>
  <c r="H461" i="14"/>
  <c r="K257" i="14"/>
  <c r="K256" i="14"/>
  <c r="H261" i="14"/>
  <c r="K261" i="14" s="1"/>
  <c r="H260" i="14"/>
  <c r="K260" i="14" s="1"/>
  <c r="H259" i="14"/>
  <c r="K259" i="14" s="1"/>
  <c r="H258" i="14"/>
  <c r="K258" i="14" s="1"/>
  <c r="B57" i="13"/>
  <c r="C56" i="13"/>
  <c r="J37" i="15"/>
  <c r="L37" i="15" s="1"/>
  <c r="J36" i="15"/>
  <c r="L36" i="15" s="1"/>
  <c r="J35" i="15"/>
  <c r="L35" i="15" s="1"/>
  <c r="J34" i="15"/>
  <c r="L34" i="15" s="1"/>
  <c r="J33" i="15"/>
  <c r="L33" i="15" s="1"/>
  <c r="J32" i="15"/>
  <c r="L32" i="15" s="1"/>
  <c r="J31" i="15"/>
  <c r="L31" i="15" s="1"/>
  <c r="J30" i="15"/>
  <c r="L30" i="15" s="1"/>
  <c r="G37" i="15"/>
  <c r="G36" i="15"/>
  <c r="G35" i="15"/>
  <c r="G34" i="15"/>
  <c r="G33" i="15"/>
  <c r="G32" i="15"/>
  <c r="G31" i="15"/>
  <c r="G30" i="15"/>
  <c r="H733" i="14"/>
  <c r="H732" i="14"/>
  <c r="H731" i="14"/>
  <c r="H730" i="14"/>
  <c r="H595" i="14"/>
  <c r="H594" i="14"/>
  <c r="H593" i="14"/>
  <c r="H592" i="14"/>
  <c r="H591" i="14"/>
  <c r="H590" i="14"/>
  <c r="H589" i="14"/>
  <c r="H588" i="14"/>
  <c r="H587" i="14"/>
  <c r="H586" i="14"/>
  <c r="C55" i="13"/>
  <c r="B54" i="13"/>
  <c r="H566" i="14"/>
  <c r="H565" i="14"/>
  <c r="H564" i="14"/>
  <c r="H375" i="14"/>
  <c r="H374" i="14"/>
  <c r="H373" i="14"/>
  <c r="H372" i="14"/>
  <c r="H371" i="14"/>
  <c r="H370" i="14"/>
  <c r="F4" i="11"/>
  <c r="K4" i="14"/>
  <c r="K34" i="14"/>
  <c r="K33" i="14"/>
  <c r="K32" i="14"/>
  <c r="K31" i="14"/>
  <c r="K30" i="14"/>
  <c r="K29" i="14"/>
  <c r="K28" i="14"/>
  <c r="K27" i="14"/>
  <c r="K26" i="14"/>
  <c r="K25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H723" i="14"/>
  <c r="K723" i="14" s="1"/>
  <c r="H722" i="14"/>
  <c r="K722" i="14" s="1"/>
  <c r="H721" i="14"/>
  <c r="K721" i="14" s="1"/>
  <c r="H720" i="14"/>
  <c r="K720" i="14" s="1"/>
  <c r="H719" i="14"/>
  <c r="K719" i="14" s="1"/>
  <c r="H718" i="14"/>
  <c r="K718" i="14" s="1"/>
  <c r="H717" i="14"/>
  <c r="K717" i="14" s="1"/>
  <c r="H704" i="14"/>
  <c r="H362" i="14"/>
  <c r="H361" i="14"/>
  <c r="H360" i="14"/>
  <c r="H359" i="14"/>
  <c r="H353" i="14"/>
  <c r="L220" i="14"/>
  <c r="K157" i="14"/>
  <c r="K160" i="14"/>
  <c r="K159" i="14"/>
  <c r="K158" i="14"/>
  <c r="B487" i="6"/>
  <c r="J38" i="15"/>
  <c r="H695" i="14"/>
  <c r="H694" i="14"/>
  <c r="H693" i="14"/>
  <c r="H692" i="14"/>
  <c r="H691" i="14"/>
  <c r="H654" i="14"/>
  <c r="H653" i="14"/>
  <c r="H652" i="14"/>
  <c r="H628" i="14"/>
  <c r="H627" i="14"/>
  <c r="H626" i="14"/>
  <c r="H630" i="14"/>
  <c r="K630" i="14" s="1"/>
  <c r="H629" i="14"/>
  <c r="K629" i="14" s="1"/>
  <c r="K628" i="14"/>
  <c r="K627" i="14"/>
  <c r="L626" i="14"/>
  <c r="K626" i="14"/>
  <c r="K614" i="14"/>
  <c r="K613" i="14"/>
  <c r="H620" i="14"/>
  <c r="K620" i="14" s="1"/>
  <c r="H619" i="14"/>
  <c r="K619" i="14" s="1"/>
  <c r="H618" i="14"/>
  <c r="K618" i="14" s="1"/>
  <c r="K617" i="14"/>
  <c r="K616" i="14"/>
  <c r="K615" i="14"/>
  <c r="H599" i="14"/>
  <c r="K599" i="14" s="1"/>
  <c r="H598" i="14"/>
  <c r="K598" i="14" s="1"/>
  <c r="H597" i="14"/>
  <c r="K597" i="14" s="1"/>
  <c r="H596" i="14"/>
  <c r="K596" i="14" s="1"/>
  <c r="K595" i="14"/>
  <c r="K594" i="14"/>
  <c r="K510" i="14"/>
  <c r="K509" i="14"/>
  <c r="B30" i="15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J40" i="15"/>
  <c r="L40" i="15" s="1"/>
  <c r="J39" i="15"/>
  <c r="L39" i="15" s="1"/>
  <c r="L38" i="15"/>
  <c r="O28" i="15"/>
  <c r="E27" i="15"/>
  <c r="P27" i="15" s="1"/>
  <c r="C52" i="13"/>
  <c r="B51" i="13"/>
  <c r="H681" i="14"/>
  <c r="H680" i="14"/>
  <c r="H679" i="14"/>
  <c r="H678" i="14"/>
  <c r="H669" i="14"/>
  <c r="H668" i="14"/>
  <c r="H667" i="14"/>
  <c r="H666" i="14"/>
  <c r="E480" i="6"/>
  <c r="K44" i="14"/>
  <c r="K43" i="14"/>
  <c r="H537" i="14"/>
  <c r="P465" i="7"/>
  <c r="P464" i="7"/>
  <c r="P463" i="7"/>
  <c r="B48" i="13"/>
  <c r="K562" i="14"/>
  <c r="K561" i="14"/>
  <c r="K560" i="14"/>
  <c r="K547" i="14"/>
  <c r="H552" i="14"/>
  <c r="K552" i="14" s="1"/>
  <c r="H551" i="14"/>
  <c r="K551" i="14" s="1"/>
  <c r="H550" i="14"/>
  <c r="K550" i="14" s="1"/>
  <c r="K549" i="14"/>
  <c r="K548" i="14"/>
  <c r="E474" i="6"/>
  <c r="K269" i="14"/>
  <c r="K268" i="14"/>
  <c r="K267" i="14"/>
  <c r="K189" i="14"/>
  <c r="K188" i="14"/>
  <c r="K193" i="14"/>
  <c r="K191" i="14"/>
  <c r="K190" i="14"/>
  <c r="K112" i="14"/>
  <c r="K113" i="14"/>
  <c r="C47" i="13"/>
  <c r="K429" i="14"/>
  <c r="K281" i="14"/>
  <c r="K280" i="14"/>
  <c r="K279" i="14"/>
  <c r="P455" i="7"/>
  <c r="P454" i="7"/>
  <c r="H9" i="1"/>
  <c r="K458" i="14"/>
  <c r="K457" i="14"/>
  <c r="K45" i="14"/>
  <c r="B454" i="6"/>
  <c r="B453" i="6"/>
  <c r="E459" i="6"/>
  <c r="B43" i="13"/>
  <c r="P447" i="7"/>
  <c r="D15" i="2"/>
  <c r="P441" i="7"/>
  <c r="P440" i="7"/>
  <c r="C41" i="13"/>
  <c r="P443" i="7"/>
  <c r="H413" i="14"/>
  <c r="K413" i="14" s="1"/>
  <c r="H412" i="14"/>
  <c r="K412" i="14" s="1"/>
  <c r="K411" i="14"/>
  <c r="K410" i="14"/>
  <c r="K409" i="14"/>
  <c r="L408" i="14"/>
  <c r="K408" i="14"/>
  <c r="K359" i="14"/>
  <c r="K358" i="14"/>
  <c r="K357" i="14"/>
  <c r="K356" i="14"/>
  <c r="K355" i="14"/>
  <c r="K361" i="14"/>
  <c r="K360" i="14"/>
  <c r="L354" i="14"/>
  <c r="H477" i="14"/>
  <c r="H401" i="14"/>
  <c r="H400" i="14"/>
  <c r="B428" i="6"/>
  <c r="B426" i="6"/>
  <c r="C39" i="13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P379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P398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E36" i="1"/>
  <c r="K284" i="14"/>
  <c r="K283" i="14"/>
  <c r="K282" i="14"/>
  <c r="L279" i="14"/>
  <c r="H300" i="14"/>
  <c r="H795" i="14"/>
  <c r="H783" i="14"/>
  <c r="H782" i="14"/>
  <c r="H769" i="14"/>
  <c r="H756" i="14"/>
  <c r="H744" i="14"/>
  <c r="H743" i="14"/>
  <c r="H640" i="14"/>
  <c r="H513" i="14"/>
  <c r="H512" i="14"/>
  <c r="K496" i="14"/>
  <c r="H288" i="14"/>
  <c r="C36" i="13"/>
  <c r="H46" i="14"/>
  <c r="B68" i="2"/>
  <c r="B67" i="2"/>
  <c r="H868" i="14"/>
  <c r="K868" i="14" s="1"/>
  <c r="H867" i="14"/>
  <c r="K867" i="14" s="1"/>
  <c r="H866" i="14"/>
  <c r="K866" i="14" s="1"/>
  <c r="H865" i="14"/>
  <c r="K865" i="14" s="1"/>
  <c r="H864" i="14"/>
  <c r="K864" i="14" s="1"/>
  <c r="H863" i="14"/>
  <c r="K863" i="14" s="1"/>
  <c r="H862" i="14"/>
  <c r="K862" i="14" s="1"/>
  <c r="H861" i="14"/>
  <c r="K861" i="14" s="1"/>
  <c r="L860" i="14"/>
  <c r="H860" i="14"/>
  <c r="D859" i="14"/>
  <c r="M859" i="14" s="1"/>
  <c r="H855" i="14"/>
  <c r="K855" i="14" s="1"/>
  <c r="H854" i="14"/>
  <c r="K854" i="14" s="1"/>
  <c r="H853" i="14"/>
  <c r="K853" i="14" s="1"/>
  <c r="H852" i="14"/>
  <c r="K852" i="14" s="1"/>
  <c r="H851" i="14"/>
  <c r="K851" i="14" s="1"/>
  <c r="H850" i="14"/>
  <c r="K850" i="14" s="1"/>
  <c r="H849" i="14"/>
  <c r="K849" i="14" s="1"/>
  <c r="H848" i="14"/>
  <c r="K848" i="14" s="1"/>
  <c r="L847" i="14"/>
  <c r="H847" i="14"/>
  <c r="D846" i="14"/>
  <c r="M846" i="14" s="1"/>
  <c r="B66" i="2"/>
  <c r="B65" i="2"/>
  <c r="B64" i="2"/>
  <c r="B63" i="2"/>
  <c r="B62" i="2"/>
  <c r="F405" i="6"/>
  <c r="B3" i="7" l="1"/>
  <c r="C3" i="7"/>
  <c r="N3" i="15"/>
  <c r="D18" i="15" s="1"/>
  <c r="L3" i="15"/>
  <c r="J3" i="15"/>
  <c r="D17" i="2"/>
  <c r="L28" i="15"/>
  <c r="K508" i="14"/>
  <c r="H366" i="14"/>
  <c r="H3" i="14"/>
  <c r="K5" i="14"/>
  <c r="J27" i="15"/>
  <c r="L27" i="15"/>
  <c r="N31" i="15"/>
  <c r="N32" i="15"/>
  <c r="N33" i="15"/>
  <c r="N34" i="15"/>
  <c r="N35" i="15"/>
  <c r="N36" i="15"/>
  <c r="N37" i="15"/>
  <c r="N38" i="15"/>
  <c r="G38" i="15"/>
  <c r="N39" i="15"/>
  <c r="G39" i="15"/>
  <c r="N40" i="15"/>
  <c r="G40" i="15"/>
  <c r="N30" i="15"/>
  <c r="N29" i="15"/>
  <c r="G27" i="15"/>
  <c r="N28" i="15"/>
  <c r="K354" i="14"/>
  <c r="K847" i="14"/>
  <c r="K846" i="14" s="1"/>
  <c r="M847" i="14" s="1"/>
  <c r="M848" i="14" s="1"/>
  <c r="D67" i="2" s="1"/>
  <c r="H846" i="14"/>
  <c r="K860" i="14"/>
  <c r="K859" i="14" s="1"/>
  <c r="M860" i="14" s="1"/>
  <c r="M861" i="14" s="1"/>
  <c r="D68" i="2" s="1"/>
  <c r="H859" i="14"/>
  <c r="F403" i="6"/>
  <c r="E403" i="6"/>
  <c r="B403" i="6"/>
  <c r="C35" i="13"/>
  <c r="C34" i="13"/>
  <c r="C33" i="13"/>
  <c r="B397" i="6"/>
  <c r="E103" i="2"/>
  <c r="H821" i="14"/>
  <c r="H808" i="14"/>
  <c r="H705" i="14"/>
  <c r="H706" i="14"/>
  <c r="F391" i="6"/>
  <c r="K285" i="14"/>
  <c r="K286" i="14"/>
  <c r="K46" i="14"/>
  <c r="B389" i="6"/>
  <c r="C31" i="13"/>
  <c r="B30" i="13"/>
  <c r="K323" i="14"/>
  <c r="E384" i="6"/>
  <c r="C29" i="13"/>
  <c r="H842" i="14"/>
  <c r="K842" i="14" s="1"/>
  <c r="H841" i="14"/>
  <c r="K841" i="14" s="1"/>
  <c r="H840" i="14"/>
  <c r="K840" i="14" s="1"/>
  <c r="H839" i="14"/>
  <c r="K839" i="14" s="1"/>
  <c r="H838" i="14"/>
  <c r="K838" i="14" s="1"/>
  <c r="H837" i="14"/>
  <c r="K837" i="14" s="1"/>
  <c r="H836" i="14"/>
  <c r="K836" i="14" s="1"/>
  <c r="H835" i="14"/>
  <c r="K835" i="14" s="1"/>
  <c r="L834" i="14"/>
  <c r="H834" i="14"/>
  <c r="D833" i="14"/>
  <c r="M833" i="14" s="1"/>
  <c r="H829" i="14"/>
  <c r="K829" i="14" s="1"/>
  <c r="H828" i="14"/>
  <c r="K828" i="14" s="1"/>
  <c r="H827" i="14"/>
  <c r="K827" i="14" s="1"/>
  <c r="H826" i="14"/>
  <c r="K826" i="14" s="1"/>
  <c r="H825" i="14"/>
  <c r="K825" i="14" s="1"/>
  <c r="H824" i="14"/>
  <c r="K824" i="14" s="1"/>
  <c r="H823" i="14"/>
  <c r="K823" i="14" s="1"/>
  <c r="H822" i="14"/>
  <c r="K822" i="14" s="1"/>
  <c r="L821" i="14"/>
  <c r="K821" i="14"/>
  <c r="K820" i="14"/>
  <c r="M821" i="14" s="1"/>
  <c r="D820" i="14"/>
  <c r="M820" i="14" s="1"/>
  <c r="M822" i="14" s="1"/>
  <c r="D65" i="2" s="1"/>
  <c r="H816" i="14"/>
  <c r="K816" i="14" s="1"/>
  <c r="H815" i="14"/>
  <c r="K815" i="14" s="1"/>
  <c r="H814" i="14"/>
  <c r="K814" i="14" s="1"/>
  <c r="H813" i="14"/>
  <c r="K813" i="14" s="1"/>
  <c r="H812" i="14"/>
  <c r="K812" i="14" s="1"/>
  <c r="H811" i="14"/>
  <c r="K811" i="14" s="1"/>
  <c r="H810" i="14"/>
  <c r="K810" i="14" s="1"/>
  <c r="H809" i="14"/>
  <c r="K809" i="14" s="1"/>
  <c r="L808" i="14"/>
  <c r="K808" i="14"/>
  <c r="K807" i="14"/>
  <c r="M808" i="14" s="1"/>
  <c r="D807" i="14"/>
  <c r="M807" i="14" s="1"/>
  <c r="M809" i="14" s="1"/>
  <c r="D64" i="2" s="1"/>
  <c r="H803" i="14"/>
  <c r="K803" i="14" s="1"/>
  <c r="H802" i="14"/>
  <c r="K802" i="14" s="1"/>
  <c r="H801" i="14"/>
  <c r="K801" i="14" s="1"/>
  <c r="H800" i="14"/>
  <c r="K800" i="14" s="1"/>
  <c r="H799" i="14"/>
  <c r="K799" i="14" s="1"/>
  <c r="H798" i="14"/>
  <c r="K798" i="14" s="1"/>
  <c r="H797" i="14"/>
  <c r="K797" i="14" s="1"/>
  <c r="H796" i="14"/>
  <c r="L795" i="14"/>
  <c r="K795" i="14"/>
  <c r="D794" i="14"/>
  <c r="M794" i="14" s="1"/>
  <c r="H790" i="14"/>
  <c r="K790" i="14" s="1"/>
  <c r="H789" i="14"/>
  <c r="K789" i="14" s="1"/>
  <c r="H788" i="14"/>
  <c r="K788" i="14" s="1"/>
  <c r="H787" i="14"/>
  <c r="K787" i="14" s="1"/>
  <c r="H786" i="14"/>
  <c r="K786" i="14" s="1"/>
  <c r="H785" i="14"/>
  <c r="K785" i="14" s="1"/>
  <c r="H784" i="14"/>
  <c r="K783" i="14"/>
  <c r="L782" i="14"/>
  <c r="K782" i="14"/>
  <c r="D781" i="14"/>
  <c r="M781" i="14" s="1"/>
  <c r="B61" i="2"/>
  <c r="B60" i="2"/>
  <c r="B59" i="2"/>
  <c r="B58" i="2"/>
  <c r="B57" i="2"/>
  <c r="B56" i="2"/>
  <c r="B55" i="2"/>
  <c r="B54" i="2"/>
  <c r="B53" i="2"/>
  <c r="B52" i="2"/>
  <c r="B51" i="2"/>
  <c r="B50" i="2"/>
  <c r="H777" i="14"/>
  <c r="K777" i="14" s="1"/>
  <c r="H776" i="14"/>
  <c r="K776" i="14" s="1"/>
  <c r="H775" i="14"/>
  <c r="K775" i="14" s="1"/>
  <c r="H774" i="14"/>
  <c r="K774" i="14" s="1"/>
  <c r="H773" i="14"/>
  <c r="K773" i="14" s="1"/>
  <c r="H772" i="14"/>
  <c r="K772" i="14" s="1"/>
  <c r="H771" i="14"/>
  <c r="K771" i="14" s="1"/>
  <c r="H770" i="14"/>
  <c r="L769" i="14"/>
  <c r="K769" i="14"/>
  <c r="D768" i="14"/>
  <c r="M768" i="14" s="1"/>
  <c r="H764" i="14"/>
  <c r="K764" i="14" s="1"/>
  <c r="H763" i="14"/>
  <c r="K763" i="14" s="1"/>
  <c r="H762" i="14"/>
  <c r="K762" i="14" s="1"/>
  <c r="H761" i="14"/>
  <c r="K761" i="14" s="1"/>
  <c r="H760" i="14"/>
  <c r="K760" i="14" s="1"/>
  <c r="H759" i="14"/>
  <c r="K759" i="14" s="1"/>
  <c r="H758" i="14"/>
  <c r="K758" i="14" s="1"/>
  <c r="H757" i="14"/>
  <c r="L756" i="14"/>
  <c r="K756" i="14"/>
  <c r="D755" i="14"/>
  <c r="M755" i="14" s="1"/>
  <c r="H751" i="14"/>
  <c r="K751" i="14" s="1"/>
  <c r="H750" i="14"/>
  <c r="K750" i="14" s="1"/>
  <c r="H749" i="14"/>
  <c r="K749" i="14" s="1"/>
  <c r="H748" i="14"/>
  <c r="K748" i="14" s="1"/>
  <c r="H747" i="14"/>
  <c r="K747" i="14" s="1"/>
  <c r="H746" i="14"/>
  <c r="K746" i="14" s="1"/>
  <c r="H745" i="14"/>
  <c r="K744" i="14"/>
  <c r="L743" i="14"/>
  <c r="K743" i="14"/>
  <c r="D742" i="14"/>
  <c r="M742" i="14" s="1"/>
  <c r="H738" i="14"/>
  <c r="K738" i="14" s="1"/>
  <c r="H737" i="14"/>
  <c r="K737" i="14" s="1"/>
  <c r="H736" i="14"/>
  <c r="K736" i="14" s="1"/>
  <c r="H735" i="14"/>
  <c r="K735" i="14" s="1"/>
  <c r="H734" i="14"/>
  <c r="K734" i="14" s="1"/>
  <c r="K733" i="14"/>
  <c r="K732" i="14"/>
  <c r="K731" i="14"/>
  <c r="L730" i="14"/>
  <c r="K730" i="14"/>
  <c r="K729" i="14"/>
  <c r="M730" i="14" s="1"/>
  <c r="D729" i="14"/>
  <c r="M729" i="14" s="1"/>
  <c r="M731" i="14" s="1"/>
  <c r="D58" i="2" s="1"/>
  <c r="H725" i="14"/>
  <c r="K725" i="14" s="1"/>
  <c r="H724" i="14"/>
  <c r="K724" i="14" s="1"/>
  <c r="L717" i="14"/>
  <c r="D716" i="14"/>
  <c r="M716" i="14" s="1"/>
  <c r="H712" i="14"/>
  <c r="K712" i="14" s="1"/>
  <c r="H711" i="14"/>
  <c r="K711" i="14" s="1"/>
  <c r="H710" i="14"/>
  <c r="K710" i="14" s="1"/>
  <c r="H709" i="14"/>
  <c r="K709" i="14" s="1"/>
  <c r="H708" i="14"/>
  <c r="K708" i="14" s="1"/>
  <c r="H707" i="14"/>
  <c r="K707" i="14" s="1"/>
  <c r="K706" i="14"/>
  <c r="K705" i="14"/>
  <c r="L704" i="14"/>
  <c r="K704" i="14"/>
  <c r="K703" i="14"/>
  <c r="M704" i="14" s="1"/>
  <c r="D703" i="14"/>
  <c r="M703" i="14" s="1"/>
  <c r="M705" i="14" s="1"/>
  <c r="D56" i="2" s="1"/>
  <c r="H699" i="14"/>
  <c r="K699" i="14" s="1"/>
  <c r="H698" i="14"/>
  <c r="K698" i="14" s="1"/>
  <c r="H697" i="14"/>
  <c r="K697" i="14" s="1"/>
  <c r="H696" i="14"/>
  <c r="K696" i="14" s="1"/>
  <c r="K695" i="14"/>
  <c r="K694" i="14"/>
  <c r="K693" i="14"/>
  <c r="K692" i="14"/>
  <c r="L691" i="14"/>
  <c r="K691" i="14"/>
  <c r="K690" i="14"/>
  <c r="M691" i="14" s="1"/>
  <c r="D690" i="14"/>
  <c r="M690" i="14" s="1"/>
  <c r="M692" i="14" s="1"/>
  <c r="D55" i="2" s="1"/>
  <c r="H686" i="14"/>
  <c r="K686" i="14" s="1"/>
  <c r="H685" i="14"/>
  <c r="K685" i="14" s="1"/>
  <c r="H684" i="14"/>
  <c r="K684" i="14" s="1"/>
  <c r="H683" i="14"/>
  <c r="K683" i="14" s="1"/>
  <c r="H682" i="14"/>
  <c r="K682" i="14" s="1"/>
  <c r="K681" i="14"/>
  <c r="K680" i="14"/>
  <c r="L678" i="14"/>
  <c r="K678" i="14"/>
  <c r="D677" i="14"/>
  <c r="M677" i="14" s="1"/>
  <c r="H673" i="14"/>
  <c r="K673" i="14" s="1"/>
  <c r="H672" i="14"/>
  <c r="K672" i="14" s="1"/>
  <c r="H671" i="14"/>
  <c r="K671" i="14" s="1"/>
  <c r="H670" i="14"/>
  <c r="K670" i="14" s="1"/>
  <c r="K669" i="14"/>
  <c r="K668" i="14"/>
  <c r="K667" i="14"/>
  <c r="K666" i="14"/>
  <c r="L665" i="14"/>
  <c r="K665" i="14"/>
  <c r="K664" i="14"/>
  <c r="M665" i="14" s="1"/>
  <c r="D664" i="14"/>
  <c r="M664" i="14" s="1"/>
  <c r="M666" i="14" s="1"/>
  <c r="D53" i="2" s="1"/>
  <c r="H660" i="14"/>
  <c r="K660" i="14" s="1"/>
  <c r="H659" i="14"/>
  <c r="K659" i="14" s="1"/>
  <c r="H658" i="14"/>
  <c r="K658" i="14" s="1"/>
  <c r="H657" i="14"/>
  <c r="K657" i="14" s="1"/>
  <c r="H656" i="14"/>
  <c r="K656" i="14" s="1"/>
  <c r="H655" i="14"/>
  <c r="K655" i="14" s="1"/>
  <c r="K654" i="14"/>
  <c r="L652" i="14"/>
  <c r="K652" i="14"/>
  <c r="D651" i="14"/>
  <c r="M651" i="14" s="1"/>
  <c r="H647" i="14"/>
  <c r="K647" i="14" s="1"/>
  <c r="H646" i="14"/>
  <c r="K646" i="14" s="1"/>
  <c r="H645" i="14"/>
  <c r="K645" i="14" s="1"/>
  <c r="H644" i="14"/>
  <c r="K644" i="14" s="1"/>
  <c r="H643" i="14"/>
  <c r="K643" i="14" s="1"/>
  <c r="H642" i="14"/>
  <c r="K642" i="14" s="1"/>
  <c r="H641" i="14"/>
  <c r="K641" i="14" s="1"/>
  <c r="K640" i="14"/>
  <c r="L639" i="14"/>
  <c r="K639" i="14"/>
  <c r="K638" i="14"/>
  <c r="M639" i="14" s="1"/>
  <c r="D638" i="14"/>
  <c r="M638" i="14" s="1"/>
  <c r="M640" i="14" s="1"/>
  <c r="D51" i="2" s="1"/>
  <c r="H634" i="14"/>
  <c r="K634" i="14" s="1"/>
  <c r="H633" i="14"/>
  <c r="K633" i="14" s="1"/>
  <c r="H632" i="14"/>
  <c r="K632" i="14" s="1"/>
  <c r="H631" i="14"/>
  <c r="K631" i="14" s="1"/>
  <c r="K625" i="14"/>
  <c r="M626" i="14" s="1"/>
  <c r="D625" i="14"/>
  <c r="M625" i="14" s="1"/>
  <c r="D604" i="14"/>
  <c r="D585" i="14"/>
  <c r="B46" i="2"/>
  <c r="B28" i="13"/>
  <c r="F378" i="6"/>
  <c r="C26" i="13"/>
  <c r="C25" i="13"/>
  <c r="B357" i="6"/>
  <c r="D322" i="14"/>
  <c r="L171" i="14"/>
  <c r="F36" i="1"/>
  <c r="G36" i="1"/>
  <c r="F352" i="6"/>
  <c r="B344" i="6"/>
  <c r="E346" i="6"/>
  <c r="D19" i="15" l="1"/>
  <c r="D71" i="2" s="1"/>
  <c r="D22" i="15"/>
  <c r="E70" i="2" s="1"/>
  <c r="M627" i="14"/>
  <c r="D50" i="2" s="1"/>
  <c r="N27" i="15"/>
  <c r="P28" i="15" s="1"/>
  <c r="P29" i="15" s="1"/>
  <c r="E69" i="2" s="1"/>
  <c r="K716" i="14"/>
  <c r="M717" i="14" s="1"/>
  <c r="M718" i="14" s="1"/>
  <c r="D57" i="2" s="1"/>
  <c r="H716" i="14"/>
  <c r="K745" i="14"/>
  <c r="K742" i="14" s="1"/>
  <c r="M743" i="14" s="1"/>
  <c r="M744" i="14" s="1"/>
  <c r="D59" i="2" s="1"/>
  <c r="H742" i="14"/>
  <c r="K757" i="14"/>
  <c r="K755" i="14" s="1"/>
  <c r="M756" i="14" s="1"/>
  <c r="M757" i="14" s="1"/>
  <c r="D60" i="2" s="1"/>
  <c r="H755" i="14"/>
  <c r="K770" i="14"/>
  <c r="K768" i="14" s="1"/>
  <c r="M769" i="14" s="1"/>
  <c r="M770" i="14" s="1"/>
  <c r="D61" i="2" s="1"/>
  <c r="H768" i="14"/>
  <c r="K784" i="14"/>
  <c r="K781" i="14" s="1"/>
  <c r="M782" i="14" s="1"/>
  <c r="M783" i="14" s="1"/>
  <c r="D62" i="2" s="1"/>
  <c r="H781" i="14"/>
  <c r="K796" i="14"/>
  <c r="K794" i="14" s="1"/>
  <c r="M795" i="14" s="1"/>
  <c r="M796" i="14" s="1"/>
  <c r="D63" i="2" s="1"/>
  <c r="H794" i="14"/>
  <c r="K834" i="14"/>
  <c r="K833" i="14" s="1"/>
  <c r="M834" i="14" s="1"/>
  <c r="M835" i="14" s="1"/>
  <c r="D66" i="2" s="1"/>
  <c r="H833" i="14"/>
  <c r="H690" i="14"/>
  <c r="H703" i="14"/>
  <c r="H807" i="14"/>
  <c r="H820" i="14"/>
  <c r="H729" i="14"/>
  <c r="K653" i="14"/>
  <c r="K651" i="14" s="1"/>
  <c r="M652" i="14" s="1"/>
  <c r="M653" i="14" s="1"/>
  <c r="D52" i="2" s="1"/>
  <c r="H651" i="14"/>
  <c r="K679" i="14"/>
  <c r="K677" i="14" s="1"/>
  <c r="M678" i="14" s="1"/>
  <c r="M679" i="14" s="1"/>
  <c r="D54" i="2" s="1"/>
  <c r="H677" i="14"/>
  <c r="H625" i="14"/>
  <c r="H664" i="14"/>
  <c r="H638" i="14"/>
  <c r="F339" i="6"/>
  <c r="F337" i="6"/>
  <c r="B334" i="6"/>
  <c r="F329" i="6"/>
  <c r="E327" i="6"/>
  <c r="F321" i="6"/>
  <c r="F320" i="6"/>
  <c r="B160" i="6" l="1"/>
  <c r="B165" i="6"/>
  <c r="B173" i="6"/>
  <c r="B209" i="6"/>
  <c r="B210" i="6"/>
  <c r="B259" i="6"/>
  <c r="B260" i="6"/>
  <c r="B273" i="6"/>
  <c r="B301" i="6"/>
  <c r="F158" i="6"/>
  <c r="F159" i="6"/>
  <c r="F160" i="6"/>
  <c r="E167" i="6"/>
  <c r="E169" i="6"/>
  <c r="E182" i="6"/>
  <c r="E183" i="6"/>
  <c r="E190" i="6"/>
  <c r="E198" i="6"/>
  <c r="E213" i="6"/>
  <c r="E234" i="6"/>
  <c r="E255" i="6"/>
  <c r="E291" i="6"/>
  <c r="E307" i="6"/>
  <c r="F165" i="6"/>
  <c r="F166" i="6"/>
  <c r="F168" i="6"/>
  <c r="F170" i="6"/>
  <c r="F171" i="6"/>
  <c r="F172" i="6"/>
  <c r="F173" i="6"/>
  <c r="F174" i="6"/>
  <c r="F175" i="6"/>
  <c r="F177" i="6"/>
  <c r="F178" i="6"/>
  <c r="F179" i="6"/>
  <c r="F180" i="6"/>
  <c r="F181" i="6"/>
  <c r="F184" i="6"/>
  <c r="F185" i="6"/>
  <c r="F186" i="6"/>
  <c r="F187" i="6"/>
  <c r="F188" i="6"/>
  <c r="F192" i="6"/>
  <c r="F193" i="6"/>
  <c r="F194" i="6"/>
  <c r="F195" i="6"/>
  <c r="F196" i="6"/>
  <c r="F197" i="6"/>
  <c r="F199" i="6"/>
  <c r="F200" i="6"/>
  <c r="F201" i="6"/>
  <c r="F202" i="6"/>
  <c r="F203" i="6"/>
  <c r="F204" i="6"/>
  <c r="F205" i="6"/>
  <c r="F206" i="6"/>
  <c r="F208" i="6"/>
  <c r="F209" i="6"/>
  <c r="F210" i="6"/>
  <c r="F211" i="6"/>
  <c r="F212" i="6"/>
  <c r="F214" i="6"/>
  <c r="F215" i="6"/>
  <c r="F216" i="6"/>
  <c r="F217" i="6"/>
  <c r="F222" i="6"/>
  <c r="F223" i="6"/>
  <c r="F224" i="6"/>
  <c r="F225" i="6"/>
  <c r="F226" i="6"/>
  <c r="F227" i="6"/>
  <c r="F228" i="6"/>
  <c r="F229" i="6"/>
  <c r="F230" i="6"/>
  <c r="F231" i="6"/>
  <c r="F235" i="6"/>
  <c r="F236" i="6"/>
  <c r="F237" i="6"/>
  <c r="F238" i="6"/>
  <c r="F239" i="6"/>
  <c r="F241" i="6"/>
  <c r="F242" i="6"/>
  <c r="F243" i="6"/>
  <c r="F244" i="6"/>
  <c r="F245" i="6"/>
  <c r="F248" i="6"/>
  <c r="F249" i="6"/>
  <c r="F250" i="6"/>
  <c r="F251" i="6"/>
  <c r="F253" i="6"/>
  <c r="F258" i="6"/>
  <c r="F259" i="6"/>
  <c r="F260" i="6"/>
  <c r="F261" i="6"/>
  <c r="F262" i="6"/>
  <c r="F263" i="6"/>
  <c r="F264" i="6"/>
  <c r="F266" i="6"/>
  <c r="F267" i="6"/>
  <c r="F272" i="6"/>
  <c r="F273" i="6"/>
  <c r="F274" i="6"/>
  <c r="F275" i="6"/>
  <c r="F277" i="6"/>
  <c r="F279" i="6"/>
  <c r="F280" i="6"/>
  <c r="F281" i="6"/>
  <c r="F286" i="6"/>
  <c r="F287" i="6"/>
  <c r="F288" i="6"/>
  <c r="F289" i="6"/>
  <c r="F295" i="6"/>
  <c r="F296" i="6"/>
  <c r="F297" i="6"/>
  <c r="F298" i="6"/>
  <c r="F300" i="6"/>
  <c r="F302" i="6"/>
  <c r="F303" i="6"/>
  <c r="F304" i="6"/>
  <c r="F305" i="6"/>
  <c r="F306" i="6"/>
  <c r="F161" i="6"/>
  <c r="D2" i="8"/>
  <c r="H3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H10" i="11"/>
  <c r="C36" i="1"/>
  <c r="C43" i="1" s="1"/>
  <c r="C22" i="13"/>
  <c r="H487" i="14"/>
  <c r="K487" i="14" s="1"/>
  <c r="H486" i="14"/>
  <c r="K486" i="14" s="1"/>
  <c r="H485" i="14"/>
  <c r="K485" i="14" s="1"/>
  <c r="H484" i="14"/>
  <c r="K484" i="14" s="1"/>
  <c r="H483" i="14"/>
  <c r="K483" i="14" s="1"/>
  <c r="H482" i="14"/>
  <c r="K482" i="14" s="1"/>
  <c r="H481" i="14"/>
  <c r="K481" i="14" s="1"/>
  <c r="H480" i="14"/>
  <c r="K480" i="14" s="1"/>
  <c r="H479" i="14"/>
  <c r="H478" i="14"/>
  <c r="K477" i="14"/>
  <c r="K136" i="14"/>
  <c r="H312" i="14"/>
  <c r="K312" i="14" s="1"/>
  <c r="H311" i="14"/>
  <c r="K311" i="14" s="1"/>
  <c r="H310" i="14"/>
  <c r="K310" i="14" s="1"/>
  <c r="H309" i="14"/>
  <c r="K309" i="14" s="1"/>
  <c r="H308" i="14"/>
  <c r="K308" i="14" s="1"/>
  <c r="H307" i="14"/>
  <c r="K307" i="14" s="1"/>
  <c r="K298" i="14"/>
  <c r="K296" i="14"/>
  <c r="K381" i="14"/>
  <c r="H416" i="14"/>
  <c r="H415" i="14"/>
  <c r="H414" i="14"/>
  <c r="K459" i="14"/>
  <c r="H422" i="14"/>
  <c r="H421" i="14"/>
  <c r="K421" i="14" s="1"/>
  <c r="H420" i="14"/>
  <c r="K420" i="14" s="1"/>
  <c r="H419" i="14"/>
  <c r="K419" i="14" s="1"/>
  <c r="H418" i="14"/>
  <c r="K418" i="14" s="1"/>
  <c r="H417" i="14"/>
  <c r="K417" i="14" s="1"/>
  <c r="K416" i="14"/>
  <c r="H236" i="14"/>
  <c r="K236" i="14" s="1"/>
  <c r="H235" i="14"/>
  <c r="K235" i="14" s="1"/>
  <c r="H234" i="14"/>
  <c r="K234" i="14" s="1"/>
  <c r="K198" i="14"/>
  <c r="K197" i="14"/>
  <c r="K196" i="14"/>
  <c r="K195" i="14"/>
  <c r="C21" i="13"/>
  <c r="B20" i="13"/>
  <c r="C18" i="13"/>
  <c r="C17" i="13"/>
  <c r="C15" i="13"/>
  <c r="H317" i="14"/>
  <c r="H316" i="14"/>
  <c r="K316" i="14" s="1"/>
  <c r="H315" i="14"/>
  <c r="K315" i="14" s="1"/>
  <c r="H314" i="14"/>
  <c r="K314" i="14" s="1"/>
  <c r="H313" i="14"/>
  <c r="K313" i="14" s="1"/>
  <c r="H306" i="14"/>
  <c r="K306" i="14" s="1"/>
  <c r="H305" i="14"/>
  <c r="K305" i="14" s="1"/>
  <c r="H304" i="14"/>
  <c r="K304" i="14" s="1"/>
  <c r="H303" i="14"/>
  <c r="K303" i="14" s="1"/>
  <c r="C14" i="13"/>
  <c r="C11" i="5"/>
  <c r="E11" i="5"/>
  <c r="B11" i="5" s="1"/>
  <c r="D11" i="5"/>
  <c r="B15" i="5" s="1"/>
  <c r="B17" i="5" s="1"/>
  <c r="E10" i="2" s="1"/>
  <c r="P231" i="7"/>
  <c r="K395" i="14"/>
  <c r="B12" i="13"/>
  <c r="C12" i="13"/>
  <c r="P201" i="7"/>
  <c r="C11" i="13"/>
  <c r="C10" i="13"/>
  <c r="H129" i="14"/>
  <c r="K129" i="14" s="1"/>
  <c r="H128" i="14"/>
  <c r="K128" i="14" s="1"/>
  <c r="C9" i="13"/>
  <c r="K176" i="14"/>
  <c r="K175" i="14"/>
  <c r="B8" i="13"/>
  <c r="P177" i="7"/>
  <c r="C7" i="13"/>
  <c r="B6" i="13"/>
  <c r="D494" i="14"/>
  <c r="K444" i="14"/>
  <c r="F1287" i="6"/>
  <c r="F1286" i="6"/>
  <c r="F1285" i="6"/>
  <c r="F1284" i="6"/>
  <c r="F1283" i="6"/>
  <c r="F1282" i="6"/>
  <c r="F1281" i="6"/>
  <c r="F1280" i="6"/>
  <c r="F1279" i="6"/>
  <c r="F1278" i="6"/>
  <c r="F1277" i="6"/>
  <c r="F1276" i="6"/>
  <c r="F1275" i="6"/>
  <c r="F1274" i="6"/>
  <c r="F1273" i="6"/>
  <c r="F1272" i="6"/>
  <c r="F1271" i="6"/>
  <c r="F1270" i="6"/>
  <c r="F1269" i="6"/>
  <c r="F1268" i="6"/>
  <c r="F1267" i="6"/>
  <c r="F1266" i="6"/>
  <c r="F1265" i="6"/>
  <c r="F1264" i="6"/>
  <c r="F1263" i="6"/>
  <c r="F1262" i="6"/>
  <c r="F1261" i="6"/>
  <c r="F1260" i="6"/>
  <c r="F1259" i="6"/>
  <c r="F1258" i="6"/>
  <c r="F1257" i="6"/>
  <c r="F1256" i="6"/>
  <c r="F1255" i="6"/>
  <c r="F1254" i="6"/>
  <c r="F1253" i="6"/>
  <c r="F1252" i="6"/>
  <c r="F1251" i="6"/>
  <c r="F1250" i="6"/>
  <c r="F1249" i="6"/>
  <c r="F1248" i="6"/>
  <c r="F1247" i="6"/>
  <c r="F1246" i="6"/>
  <c r="F1245" i="6"/>
  <c r="F1244" i="6"/>
  <c r="F1243" i="6"/>
  <c r="F1242" i="6"/>
  <c r="F1241" i="6"/>
  <c r="F1240" i="6"/>
  <c r="F1239" i="6"/>
  <c r="F1238" i="6"/>
  <c r="F1237" i="6"/>
  <c r="F1236" i="6"/>
  <c r="F1235" i="6"/>
  <c r="F1234" i="6"/>
  <c r="F1233" i="6"/>
  <c r="F1232" i="6"/>
  <c r="F1231" i="6"/>
  <c r="F1230" i="6"/>
  <c r="F1229" i="6"/>
  <c r="F1228" i="6"/>
  <c r="F1227" i="6"/>
  <c r="F1226" i="6"/>
  <c r="F1225" i="6"/>
  <c r="F1224" i="6"/>
  <c r="F1223" i="6"/>
  <c r="F1222" i="6"/>
  <c r="F1221" i="6"/>
  <c r="F1220" i="6"/>
  <c r="F1219" i="6"/>
  <c r="F1218" i="6"/>
  <c r="F1217" i="6"/>
  <c r="F1216" i="6"/>
  <c r="F1215" i="6"/>
  <c r="F1214" i="6"/>
  <c r="F1213" i="6"/>
  <c r="F1212" i="6"/>
  <c r="F1211" i="6"/>
  <c r="F1210" i="6"/>
  <c r="F1209" i="6"/>
  <c r="F1208" i="6"/>
  <c r="F1207" i="6"/>
  <c r="F1206" i="6"/>
  <c r="F1205" i="6"/>
  <c r="F1204" i="6"/>
  <c r="F1203" i="6"/>
  <c r="F1202" i="6"/>
  <c r="F1201" i="6"/>
  <c r="F1200" i="6"/>
  <c r="F1199" i="6"/>
  <c r="F1198" i="6"/>
  <c r="F1197" i="6"/>
  <c r="F1196" i="6"/>
  <c r="F1195" i="6"/>
  <c r="F1194" i="6"/>
  <c r="F1193" i="6"/>
  <c r="F1192" i="6"/>
  <c r="F1191" i="6"/>
  <c r="F1190" i="6"/>
  <c r="F1189" i="6"/>
  <c r="F1188" i="6"/>
  <c r="F1187" i="6"/>
  <c r="F1186" i="6"/>
  <c r="F1185" i="6"/>
  <c r="F1184" i="6"/>
  <c r="F1183" i="6"/>
  <c r="F1182" i="6"/>
  <c r="F1181" i="6"/>
  <c r="F1180" i="6"/>
  <c r="F1179" i="6"/>
  <c r="F1178" i="6"/>
  <c r="F1177" i="6"/>
  <c r="F1176" i="6"/>
  <c r="F1175" i="6"/>
  <c r="F1174" i="6"/>
  <c r="F1173" i="6"/>
  <c r="F1172" i="6"/>
  <c r="F1171" i="6"/>
  <c r="F1170" i="6"/>
  <c r="F1169" i="6"/>
  <c r="F1168" i="6"/>
  <c r="F1167" i="6"/>
  <c r="F1166" i="6"/>
  <c r="F1165" i="6"/>
  <c r="F1164" i="6"/>
  <c r="F1163" i="6"/>
  <c r="F1162" i="6"/>
  <c r="F1161" i="6"/>
  <c r="F1160" i="6"/>
  <c r="F1159" i="6"/>
  <c r="F1158" i="6"/>
  <c r="F1157" i="6"/>
  <c r="F1156" i="6"/>
  <c r="F1155" i="6"/>
  <c r="F1154" i="6"/>
  <c r="F1153" i="6"/>
  <c r="F1152" i="6"/>
  <c r="F1151" i="6"/>
  <c r="F1150" i="6"/>
  <c r="F1149" i="6"/>
  <c r="F1148" i="6"/>
  <c r="F1147" i="6"/>
  <c r="F1146" i="6"/>
  <c r="F1145" i="6"/>
  <c r="F1144" i="6"/>
  <c r="F1143" i="6"/>
  <c r="F1142" i="6"/>
  <c r="F1141" i="6"/>
  <c r="F1140" i="6"/>
  <c r="F1139" i="6"/>
  <c r="F1138" i="6"/>
  <c r="F1137" i="6"/>
  <c r="F1136" i="6"/>
  <c r="F1135" i="6"/>
  <c r="F1134" i="6"/>
  <c r="F1133" i="6"/>
  <c r="F1132" i="6"/>
  <c r="F1131" i="6"/>
  <c r="F1130" i="6"/>
  <c r="F1129" i="6"/>
  <c r="F1128" i="6"/>
  <c r="F1127" i="6"/>
  <c r="F1126" i="6"/>
  <c r="F1125" i="6"/>
  <c r="F1124" i="6"/>
  <c r="F1123" i="6"/>
  <c r="F1122" i="6"/>
  <c r="F1121" i="6"/>
  <c r="F1120" i="6"/>
  <c r="F1119" i="6"/>
  <c r="F1118" i="6"/>
  <c r="F1117" i="6"/>
  <c r="F1116" i="6"/>
  <c r="F1115" i="6"/>
  <c r="F1114" i="6"/>
  <c r="F1113" i="6"/>
  <c r="F1112" i="6"/>
  <c r="F1111" i="6"/>
  <c r="F1110" i="6"/>
  <c r="F1109" i="6"/>
  <c r="F1108" i="6"/>
  <c r="F1107" i="6"/>
  <c r="F1106" i="6"/>
  <c r="F1105" i="6"/>
  <c r="F1104" i="6"/>
  <c r="F1103" i="6"/>
  <c r="F1102" i="6"/>
  <c r="F1101" i="6"/>
  <c r="F1100" i="6"/>
  <c r="F1099" i="6"/>
  <c r="F1098" i="6"/>
  <c r="F1097" i="6"/>
  <c r="F1096" i="6"/>
  <c r="F1095" i="6"/>
  <c r="F1094" i="6"/>
  <c r="F1093" i="6"/>
  <c r="F1092" i="6"/>
  <c r="F1091" i="6"/>
  <c r="F1090" i="6"/>
  <c r="F1089" i="6"/>
  <c r="F1088" i="6"/>
  <c r="F1087" i="6"/>
  <c r="F1086" i="6"/>
  <c r="F1085" i="6"/>
  <c r="F1084" i="6"/>
  <c r="F1083" i="6"/>
  <c r="F1082" i="6"/>
  <c r="F1081" i="6"/>
  <c r="F1080" i="6"/>
  <c r="F1079" i="6"/>
  <c r="F1078" i="6"/>
  <c r="F1077" i="6"/>
  <c r="F1076" i="6"/>
  <c r="F1075" i="6"/>
  <c r="F1074" i="6"/>
  <c r="F1073" i="6"/>
  <c r="F1072" i="6"/>
  <c r="F1071" i="6"/>
  <c r="F1070" i="6"/>
  <c r="F1069" i="6"/>
  <c r="F1068" i="6"/>
  <c r="F1067" i="6"/>
  <c r="F1066" i="6"/>
  <c r="F1065" i="6"/>
  <c r="F1064" i="6"/>
  <c r="F1063" i="6"/>
  <c r="F1062" i="6"/>
  <c r="F1061" i="6"/>
  <c r="F1060" i="6"/>
  <c r="F1059" i="6"/>
  <c r="F1058" i="6"/>
  <c r="F1057" i="6"/>
  <c r="F1056" i="6"/>
  <c r="F1055" i="6"/>
  <c r="F1054" i="6"/>
  <c r="F1053" i="6"/>
  <c r="F1052" i="6"/>
  <c r="F1051" i="6"/>
  <c r="F1050" i="6"/>
  <c r="F1049" i="6"/>
  <c r="F1048" i="6"/>
  <c r="F1045" i="6"/>
  <c r="F1044" i="6"/>
  <c r="F1043" i="6"/>
  <c r="F1040" i="6"/>
  <c r="F1039" i="6"/>
  <c r="F1038" i="6"/>
  <c r="F1037" i="6"/>
  <c r="F1036" i="6"/>
  <c r="F1021" i="6"/>
  <c r="F1020" i="6"/>
  <c r="F1019" i="6"/>
  <c r="F1018" i="6"/>
  <c r="F1017" i="6"/>
  <c r="F1016" i="6"/>
  <c r="F1015" i="6"/>
  <c r="F1014" i="6"/>
  <c r="F1013" i="6"/>
  <c r="F1012" i="6"/>
  <c r="F1011" i="6"/>
  <c r="F1008" i="6"/>
  <c r="F1007" i="6"/>
  <c r="F1006" i="6"/>
  <c r="F1005" i="6"/>
  <c r="F1004" i="6"/>
  <c r="F1003" i="6"/>
  <c r="F1001" i="6"/>
  <c r="F1000" i="6"/>
  <c r="F999" i="6"/>
  <c r="F998" i="6"/>
  <c r="F997" i="6"/>
  <c r="F996" i="6"/>
  <c r="F993" i="6"/>
  <c r="F992" i="6"/>
  <c r="F991" i="6"/>
  <c r="F990" i="6"/>
  <c r="F989" i="6"/>
  <c r="F988" i="6"/>
  <c r="F987" i="6"/>
  <c r="F986" i="6"/>
  <c r="F985" i="6"/>
  <c r="F982" i="6"/>
  <c r="F981" i="6"/>
  <c r="F980" i="6"/>
  <c r="F979" i="6"/>
  <c r="F977" i="6"/>
  <c r="F976" i="6"/>
  <c r="F975" i="6"/>
  <c r="F974" i="6"/>
  <c r="F973" i="6"/>
  <c r="F972" i="6"/>
  <c r="F971" i="6"/>
  <c r="F970" i="6"/>
  <c r="F969" i="6"/>
  <c r="F968" i="6"/>
  <c r="F965" i="6"/>
  <c r="F964" i="6"/>
  <c r="F963" i="6"/>
  <c r="F962" i="6"/>
  <c r="F961" i="6"/>
  <c r="F960" i="6"/>
  <c r="F959" i="6"/>
  <c r="F958" i="6"/>
  <c r="F956" i="6"/>
  <c r="F955" i="6"/>
  <c r="F954" i="6"/>
  <c r="F952" i="6"/>
  <c r="F951" i="6"/>
  <c r="F950" i="6"/>
  <c r="F949" i="6"/>
  <c r="F948" i="6"/>
  <c r="F944" i="6"/>
  <c r="F943" i="6"/>
  <c r="F942" i="6"/>
  <c r="F941" i="6"/>
  <c r="F940" i="6"/>
  <c r="F939" i="6"/>
  <c r="F938" i="6"/>
  <c r="F936" i="6"/>
  <c r="F935" i="6"/>
  <c r="F934" i="6"/>
  <c r="F933" i="6"/>
  <c r="F929" i="6"/>
  <c r="F928" i="6"/>
  <c r="F927" i="6"/>
  <c r="F926" i="6"/>
  <c r="F925" i="6"/>
  <c r="F920" i="6"/>
  <c r="F919" i="6"/>
  <c r="F918" i="6"/>
  <c r="F917" i="6"/>
  <c r="F916" i="6"/>
  <c r="F912" i="6"/>
  <c r="F911" i="6"/>
  <c r="F910" i="6"/>
  <c r="F909" i="6"/>
  <c r="F906" i="6"/>
  <c r="F905" i="6"/>
  <c r="F904" i="6"/>
  <c r="F903" i="6"/>
  <c r="F902" i="6"/>
  <c r="F901" i="6"/>
  <c r="F900" i="6"/>
  <c r="F899" i="6"/>
  <c r="F896" i="6"/>
  <c r="F895" i="6"/>
  <c r="F894" i="6"/>
  <c r="F893" i="6"/>
  <c r="F891" i="6"/>
  <c r="F890" i="6"/>
  <c r="F889" i="6"/>
  <c r="F888" i="6"/>
  <c r="F887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57" i="6"/>
  <c r="F856" i="6"/>
  <c r="F707" i="6"/>
  <c r="F706" i="6"/>
  <c r="F705" i="6"/>
  <c r="F704" i="6"/>
  <c r="F702" i="6"/>
  <c r="F701" i="6"/>
  <c r="F700" i="6"/>
  <c r="F699" i="6"/>
  <c r="F698" i="6"/>
  <c r="F694" i="6"/>
  <c r="F693" i="6"/>
  <c r="F692" i="6"/>
  <c r="F691" i="6"/>
  <c r="F689" i="6"/>
  <c r="F688" i="6"/>
  <c r="F687" i="6"/>
  <c r="F686" i="6"/>
  <c r="F685" i="6"/>
  <c r="F682" i="6"/>
  <c r="F681" i="6"/>
  <c r="F680" i="6"/>
  <c r="F679" i="6"/>
  <c r="F676" i="6"/>
  <c r="F675" i="6"/>
  <c r="F674" i="6"/>
  <c r="F673" i="6"/>
  <c r="F672" i="6"/>
  <c r="F670" i="6"/>
  <c r="F666" i="6"/>
  <c r="F662" i="6"/>
  <c r="F660" i="6"/>
  <c r="F659" i="6"/>
  <c r="F658" i="6"/>
  <c r="F657" i="6"/>
  <c r="F656" i="6"/>
  <c r="F655" i="6"/>
  <c r="F654" i="6"/>
  <c r="F653" i="6"/>
  <c r="F652" i="6"/>
  <c r="F651" i="6"/>
  <c r="F650" i="6"/>
  <c r="F648" i="6"/>
  <c r="F647" i="6"/>
  <c r="F644" i="6"/>
  <c r="F641" i="6"/>
  <c r="F640" i="6"/>
  <c r="F639" i="6"/>
  <c r="F638" i="6"/>
  <c r="F637" i="6"/>
  <c r="F636" i="6"/>
  <c r="F635" i="6"/>
  <c r="F634" i="6"/>
  <c r="F633" i="6"/>
  <c r="F632" i="6"/>
  <c r="F631" i="6"/>
  <c r="F628" i="6"/>
  <c r="F627" i="6"/>
  <c r="F625" i="6"/>
  <c r="F624" i="6"/>
  <c r="F623" i="6"/>
  <c r="F621" i="6"/>
  <c r="F620" i="6"/>
  <c r="F617" i="6"/>
  <c r="F616" i="6"/>
  <c r="F614" i="6"/>
  <c r="F613" i="6"/>
  <c r="F612" i="6"/>
  <c r="F609" i="6"/>
  <c r="F608" i="6"/>
  <c r="F607" i="6"/>
  <c r="F606" i="6"/>
  <c r="F605" i="6"/>
  <c r="F603" i="6"/>
  <c r="F602" i="6"/>
  <c r="F601" i="6"/>
  <c r="F600" i="6"/>
  <c r="F599" i="6"/>
  <c r="F597" i="6"/>
  <c r="F596" i="6"/>
  <c r="F595" i="6"/>
  <c r="F594" i="6"/>
  <c r="F593" i="6"/>
  <c r="F592" i="6"/>
  <c r="F591" i="6"/>
  <c r="F590" i="6"/>
  <c r="F589" i="6"/>
  <c r="F588" i="6"/>
  <c r="F587" i="6"/>
  <c r="F585" i="6"/>
  <c r="F584" i="6"/>
  <c r="F583" i="6"/>
  <c r="F582" i="6"/>
  <c r="F581" i="6"/>
  <c r="F579" i="6"/>
  <c r="F578" i="6"/>
  <c r="F576" i="6"/>
  <c r="F575" i="6"/>
  <c r="F574" i="6"/>
  <c r="F566" i="6"/>
  <c r="F565" i="6"/>
  <c r="F564" i="6"/>
  <c r="F563" i="6"/>
  <c r="F561" i="6"/>
  <c r="F559" i="6"/>
  <c r="F558" i="6"/>
  <c r="F557" i="6"/>
  <c r="F556" i="6"/>
  <c r="F555" i="6"/>
  <c r="F554" i="6"/>
  <c r="F553" i="6"/>
  <c r="F552" i="6"/>
  <c r="F546" i="6"/>
  <c r="F545" i="6"/>
  <c r="F544" i="6"/>
  <c r="F543" i="6"/>
  <c r="F542" i="6"/>
  <c r="F540" i="6"/>
  <c r="F539" i="6"/>
  <c r="F538" i="6"/>
  <c r="F537" i="6"/>
  <c r="F536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4" i="6"/>
  <c r="F513" i="6"/>
  <c r="F512" i="6"/>
  <c r="F511" i="6"/>
  <c r="F509" i="6"/>
  <c r="F508" i="6"/>
  <c r="F506" i="6"/>
  <c r="F505" i="6"/>
  <c r="F504" i="6"/>
  <c r="F503" i="6"/>
  <c r="F501" i="6"/>
  <c r="F500" i="6"/>
  <c r="F499" i="6"/>
  <c r="F498" i="6"/>
  <c r="F497" i="6"/>
  <c r="F496" i="6"/>
  <c r="F494" i="6"/>
  <c r="F493" i="6"/>
  <c r="F490" i="6"/>
  <c r="F489" i="6"/>
  <c r="F488" i="6"/>
  <c r="F487" i="6"/>
  <c r="F486" i="6"/>
  <c r="F485" i="6"/>
  <c r="F484" i="6"/>
  <c r="F483" i="6"/>
  <c r="F482" i="6"/>
  <c r="F481" i="6"/>
  <c r="F478" i="6"/>
  <c r="F477" i="6"/>
  <c r="F476" i="6"/>
  <c r="F475" i="6"/>
  <c r="F473" i="6"/>
  <c r="F472" i="6"/>
  <c r="F471" i="6"/>
  <c r="F470" i="6"/>
  <c r="F469" i="6"/>
  <c r="F468" i="6"/>
  <c r="F467" i="6"/>
  <c r="F466" i="6"/>
  <c r="F465" i="6"/>
  <c r="F463" i="6"/>
  <c r="F462" i="6"/>
  <c r="F458" i="6"/>
  <c r="F457" i="6"/>
  <c r="F455" i="6"/>
  <c r="F454" i="6"/>
  <c r="F453" i="6"/>
  <c r="F452" i="6"/>
  <c r="F451" i="6"/>
  <c r="F450" i="6"/>
  <c r="F449" i="6"/>
  <c r="F448" i="6"/>
  <c r="F447" i="6"/>
  <c r="F445" i="6"/>
  <c r="F444" i="6"/>
  <c r="F436" i="6"/>
  <c r="F435" i="6"/>
  <c r="F434" i="6"/>
  <c r="F433" i="6"/>
  <c r="F432" i="6"/>
  <c r="F431" i="6"/>
  <c r="F422" i="6"/>
  <c r="F420" i="6"/>
  <c r="F419" i="6"/>
  <c r="F418" i="6"/>
  <c r="F416" i="6"/>
  <c r="F413" i="6"/>
  <c r="F412" i="6"/>
  <c r="F411" i="6"/>
  <c r="F409" i="6"/>
  <c r="F408" i="6"/>
  <c r="F407" i="6"/>
  <c r="F406" i="6"/>
  <c r="F402" i="6"/>
  <c r="F401" i="6"/>
  <c r="F398" i="6"/>
  <c r="F397" i="6"/>
  <c r="F390" i="6"/>
  <c r="F388" i="6"/>
  <c r="F386" i="6"/>
  <c r="F383" i="6"/>
  <c r="F379" i="6"/>
  <c r="F375" i="6"/>
  <c r="F374" i="6"/>
  <c r="F373" i="6"/>
  <c r="F372" i="6"/>
  <c r="F367" i="6"/>
  <c r="F363" i="6"/>
  <c r="F360" i="6"/>
  <c r="F359" i="6"/>
  <c r="F358" i="6"/>
  <c r="F357" i="6"/>
  <c r="F356" i="6"/>
  <c r="F355" i="6"/>
  <c r="F351" i="6"/>
  <c r="F350" i="6"/>
  <c r="F349" i="6"/>
  <c r="F345" i="6"/>
  <c r="F344" i="6"/>
  <c r="F341" i="6"/>
  <c r="F340" i="6"/>
  <c r="F336" i="6"/>
  <c r="F335" i="6"/>
  <c r="F333" i="6"/>
  <c r="F332" i="6"/>
  <c r="F326" i="6"/>
  <c r="F325" i="6"/>
  <c r="F324" i="6"/>
  <c r="F323" i="6"/>
  <c r="F322" i="6"/>
  <c r="F319" i="6"/>
  <c r="F318" i="6"/>
  <c r="O3" i="5"/>
  <c r="C123" i="2"/>
  <c r="B152" i="6"/>
  <c r="C3" i="10"/>
  <c r="G8" i="2" s="1"/>
  <c r="C8" i="10"/>
  <c r="C4" i="13"/>
  <c r="C3" i="13" s="1"/>
  <c r="K368" i="14"/>
  <c r="K607" i="14"/>
  <c r="K606" i="14"/>
  <c r="K605" i="14"/>
  <c r="D295" i="14"/>
  <c r="M295" i="14" s="1"/>
  <c r="K586" i="14"/>
  <c r="B148" i="6"/>
  <c r="E156" i="6"/>
  <c r="K574" i="14"/>
  <c r="K573" i="14"/>
  <c r="H539" i="14"/>
  <c r="K539" i="14" s="1"/>
  <c r="H538" i="14"/>
  <c r="K538" i="14" s="1"/>
  <c r="K537" i="14"/>
  <c r="K535" i="14"/>
  <c r="K534" i="14"/>
  <c r="H522" i="14"/>
  <c r="K521" i="14"/>
  <c r="D266" i="14"/>
  <c r="M266" i="14" s="1"/>
  <c r="K471" i="14"/>
  <c r="K461" i="14"/>
  <c r="K460" i="14"/>
  <c r="H452" i="14"/>
  <c r="K452" i="14" s="1"/>
  <c r="H451" i="14"/>
  <c r="K450" i="14"/>
  <c r="K449" i="14"/>
  <c r="K447" i="14"/>
  <c r="K446" i="14"/>
  <c r="K445" i="14"/>
  <c r="K397" i="14"/>
  <c r="K396" i="14"/>
  <c r="K383" i="14"/>
  <c r="H178" i="14"/>
  <c r="K178" i="14" s="1"/>
  <c r="K143" i="14"/>
  <c r="K142" i="14"/>
  <c r="K141" i="14"/>
  <c r="K140" i="14"/>
  <c r="K139" i="14"/>
  <c r="H347" i="14"/>
  <c r="K347" i="14" s="1"/>
  <c r="K345" i="14"/>
  <c r="K342" i="14"/>
  <c r="K341" i="14"/>
  <c r="K340" i="14"/>
  <c r="E155" i="6"/>
  <c r="H32" i="1"/>
  <c r="E147" i="6"/>
  <c r="L586" i="14"/>
  <c r="B49" i="2"/>
  <c r="K374" i="14"/>
  <c r="K373" i="14"/>
  <c r="K372" i="14"/>
  <c r="K371" i="14"/>
  <c r="K370" i="14"/>
  <c r="K369" i="14"/>
  <c r="L367" i="14"/>
  <c r="D366" i="14"/>
  <c r="M366" i="14" s="1"/>
  <c r="B48" i="2"/>
  <c r="B30" i="2"/>
  <c r="B47" i="2"/>
  <c r="B29" i="2"/>
  <c r="B45" i="2"/>
  <c r="D353" i="14"/>
  <c r="M353" i="14" s="1"/>
  <c r="H335" i="14"/>
  <c r="K335" i="14" s="1"/>
  <c r="K334" i="14"/>
  <c r="K333" i="14"/>
  <c r="K327" i="14"/>
  <c r="K326" i="14"/>
  <c r="K325" i="14"/>
  <c r="K324" i="14"/>
  <c r="L323" i="14"/>
  <c r="H621" i="14"/>
  <c r="K612" i="14"/>
  <c r="K611" i="14"/>
  <c r="K610" i="14"/>
  <c r="K609" i="14"/>
  <c r="K608" i="14"/>
  <c r="L605" i="14"/>
  <c r="M604" i="14"/>
  <c r="H318" i="14"/>
  <c r="K318" i="14" s="1"/>
  <c r="K317" i="14"/>
  <c r="H302" i="14"/>
  <c r="K302" i="14" s="1"/>
  <c r="H301" i="14"/>
  <c r="K301" i="14" s="1"/>
  <c r="K300" i="14"/>
  <c r="K299" i="14"/>
  <c r="L296" i="14"/>
  <c r="H600" i="14"/>
  <c r="K600" i="14" s="1"/>
  <c r="K593" i="14"/>
  <c r="K592" i="14"/>
  <c r="K591" i="14"/>
  <c r="K590" i="14"/>
  <c r="K589" i="14"/>
  <c r="K587" i="14"/>
  <c r="M585" i="14"/>
  <c r="H581" i="14"/>
  <c r="K581" i="14" s="1"/>
  <c r="H580" i="14"/>
  <c r="K580" i="14" s="1"/>
  <c r="K579" i="14"/>
  <c r="K578" i="14"/>
  <c r="K577" i="14"/>
  <c r="K576" i="14"/>
  <c r="L573" i="14"/>
  <c r="D572" i="14"/>
  <c r="M572" i="14" s="1"/>
  <c r="K473" i="14"/>
  <c r="D278" i="14"/>
  <c r="M278" i="14" s="1"/>
  <c r="B41" i="2"/>
  <c r="B44" i="2"/>
  <c r="B43" i="2"/>
  <c r="B42" i="2"/>
  <c r="H568" i="14"/>
  <c r="K568" i="14" s="1"/>
  <c r="H567" i="14"/>
  <c r="K566" i="14"/>
  <c r="K565" i="14"/>
  <c r="K564" i="14"/>
  <c r="K563" i="14"/>
  <c r="L560" i="14"/>
  <c r="D559" i="14"/>
  <c r="M559" i="14" s="1"/>
  <c r="H555" i="14"/>
  <c r="K555" i="14" s="1"/>
  <c r="H554" i="14"/>
  <c r="K554" i="14" s="1"/>
  <c r="H553" i="14"/>
  <c r="K553" i="14" s="1"/>
  <c r="L547" i="14"/>
  <c r="D546" i="14"/>
  <c r="M546" i="14" s="1"/>
  <c r="H542" i="14"/>
  <c r="K542" i="14" s="1"/>
  <c r="H541" i="14"/>
  <c r="K541" i="14" s="1"/>
  <c r="H540" i="14"/>
  <c r="K540" i="14" s="1"/>
  <c r="L534" i="14"/>
  <c r="D533" i="14"/>
  <c r="M533" i="14" s="1"/>
  <c r="H529" i="14"/>
  <c r="K529" i="14" s="1"/>
  <c r="H528" i="14"/>
  <c r="K528" i="14" s="1"/>
  <c r="H527" i="14"/>
  <c r="K527" i="14" s="1"/>
  <c r="H526" i="14"/>
  <c r="K526" i="14" s="1"/>
  <c r="H525" i="14"/>
  <c r="K525" i="14" s="1"/>
  <c r="H524" i="14"/>
  <c r="K524" i="14" s="1"/>
  <c r="H523" i="14"/>
  <c r="K523" i="14" s="1"/>
  <c r="L521" i="14"/>
  <c r="D520" i="14"/>
  <c r="M520" i="14" s="1"/>
  <c r="B40" i="2"/>
  <c r="H516" i="14"/>
  <c r="K516" i="14" s="1"/>
  <c r="H515" i="14"/>
  <c r="K515" i="14" s="1"/>
  <c r="H514" i="14"/>
  <c r="K513" i="14"/>
  <c r="K512" i="14"/>
  <c r="K511" i="14"/>
  <c r="L508" i="14"/>
  <c r="D507" i="14"/>
  <c r="M507" i="14" s="1"/>
  <c r="B28" i="2"/>
  <c r="B27" i="2"/>
  <c r="B39" i="2"/>
  <c r="B26" i="2"/>
  <c r="B38" i="2"/>
  <c r="B25" i="2"/>
  <c r="B126" i="6"/>
  <c r="H291" i="14"/>
  <c r="K291" i="14" s="1"/>
  <c r="H290" i="14"/>
  <c r="K290" i="14" s="1"/>
  <c r="H289" i="14"/>
  <c r="K288" i="14"/>
  <c r="K287" i="14"/>
  <c r="H275" i="14"/>
  <c r="K275" i="14" s="1"/>
  <c r="H274" i="14"/>
  <c r="K274" i="14" s="1"/>
  <c r="H273" i="14"/>
  <c r="K273" i="14" s="1"/>
  <c r="K272" i="14"/>
  <c r="K271" i="14"/>
  <c r="K270" i="14"/>
  <c r="L267" i="14"/>
  <c r="H503" i="14"/>
  <c r="K503" i="14" s="1"/>
  <c r="K502" i="14"/>
  <c r="K501" i="14"/>
  <c r="K500" i="14"/>
  <c r="K499" i="14"/>
  <c r="K498" i="14"/>
  <c r="K497" i="14"/>
  <c r="L495" i="14"/>
  <c r="K495" i="14"/>
  <c r="M494" i="14"/>
  <c r="H262" i="14"/>
  <c r="K255" i="14"/>
  <c r="K254" i="14"/>
  <c r="K253" i="14"/>
  <c r="K252" i="14"/>
  <c r="K251" i="14"/>
  <c r="K250" i="14"/>
  <c r="L249" i="14"/>
  <c r="K249" i="14"/>
  <c r="H490" i="14"/>
  <c r="K490" i="14" s="1"/>
  <c r="H489" i="14"/>
  <c r="K489" i="14" s="1"/>
  <c r="H488" i="14"/>
  <c r="K488" i="14" s="1"/>
  <c r="K476" i="14"/>
  <c r="K475" i="14"/>
  <c r="K474" i="14"/>
  <c r="L471" i="14"/>
  <c r="D470" i="14"/>
  <c r="M470" i="14" s="1"/>
  <c r="H424" i="14"/>
  <c r="K424" i="14" s="1"/>
  <c r="H423" i="14"/>
  <c r="K423" i="14" s="1"/>
  <c r="K422" i="14"/>
  <c r="K415" i="14"/>
  <c r="K414" i="14"/>
  <c r="K152" i="14"/>
  <c r="K151" i="14"/>
  <c r="K150" i="14"/>
  <c r="K149" i="14"/>
  <c r="K148" i="14"/>
  <c r="K147" i="14"/>
  <c r="K146" i="14"/>
  <c r="B122" i="6"/>
  <c r="K400" i="14"/>
  <c r="K399" i="14"/>
  <c r="H402" i="14"/>
  <c r="K431" i="14"/>
  <c r="K430" i="14"/>
  <c r="F101" i="6"/>
  <c r="E99" i="6"/>
  <c r="F96" i="6"/>
  <c r="F95" i="6"/>
  <c r="F11" i="5"/>
  <c r="D379" i="14"/>
  <c r="M379" i="14" s="1"/>
  <c r="F88" i="6"/>
  <c r="B84" i="6"/>
  <c r="F83" i="6"/>
  <c r="P68" i="7"/>
  <c r="F71" i="6"/>
  <c r="H215" i="14"/>
  <c r="K215" i="14" s="1"/>
  <c r="H214" i="14"/>
  <c r="H201" i="14"/>
  <c r="K201" i="14" s="1"/>
  <c r="H200" i="14"/>
  <c r="K200" i="14" s="1"/>
  <c r="H199" i="14"/>
  <c r="K199" i="14" s="1"/>
  <c r="H466" i="14"/>
  <c r="K466" i="14" s="1"/>
  <c r="H465" i="14"/>
  <c r="K464" i="14"/>
  <c r="K463" i="14"/>
  <c r="K462" i="14"/>
  <c r="H438" i="14"/>
  <c r="K438" i="14" s="1"/>
  <c r="H437" i="14"/>
  <c r="K437" i="14" s="1"/>
  <c r="H436" i="14"/>
  <c r="K436" i="14" s="1"/>
  <c r="H435" i="14"/>
  <c r="K435" i="14" s="1"/>
  <c r="H434" i="14"/>
  <c r="K434" i="14" s="1"/>
  <c r="H428" i="14"/>
  <c r="K432" i="14"/>
  <c r="H403" i="14"/>
  <c r="K403" i="14" s="1"/>
  <c r="H389" i="14"/>
  <c r="K389" i="14" s="1"/>
  <c r="H388" i="14"/>
  <c r="K387" i="14"/>
  <c r="K386" i="14"/>
  <c r="K384" i="14"/>
  <c r="H180" i="14"/>
  <c r="K180" i="14" s="1"/>
  <c r="H179" i="14"/>
  <c r="K179" i="14" s="1"/>
  <c r="H166" i="14"/>
  <c r="K166" i="14" s="1"/>
  <c r="K145" i="14"/>
  <c r="K144" i="14"/>
  <c r="H349" i="14"/>
  <c r="H348" i="14"/>
  <c r="K348" i="14" s="1"/>
  <c r="H130" i="14"/>
  <c r="K130" i="14" s="1"/>
  <c r="H111" i="14"/>
  <c r="H107" i="14"/>
  <c r="K107" i="14" s="1"/>
  <c r="B24" i="2"/>
  <c r="B23" i="2"/>
  <c r="B37" i="2"/>
  <c r="B36" i="2"/>
  <c r="B35" i="2"/>
  <c r="B34" i="2"/>
  <c r="D205" i="14"/>
  <c r="M205" i="14" s="1"/>
  <c r="L187" i="14"/>
  <c r="M186" i="14"/>
  <c r="L457" i="14"/>
  <c r="D456" i="14"/>
  <c r="M456" i="14" s="1"/>
  <c r="L443" i="14"/>
  <c r="K443" i="14"/>
  <c r="D442" i="14"/>
  <c r="M442" i="14" s="1"/>
  <c r="L429" i="14"/>
  <c r="D428" i="14"/>
  <c r="M428" i="14" s="1"/>
  <c r="D407" i="14"/>
  <c r="M407" i="14" s="1"/>
  <c r="B32" i="2"/>
  <c r="B22" i="2"/>
  <c r="E60" i="6"/>
  <c r="F153" i="6"/>
  <c r="F152" i="6"/>
  <c r="F151" i="6"/>
  <c r="F150" i="6"/>
  <c r="F149" i="6"/>
  <c r="F146" i="6"/>
  <c r="F144" i="6"/>
  <c r="F143" i="6"/>
  <c r="F142" i="6"/>
  <c r="F141" i="6"/>
  <c r="F140" i="6"/>
  <c r="F136" i="6"/>
  <c r="F135" i="6"/>
  <c r="F134" i="6"/>
  <c r="F129" i="6"/>
  <c r="F128" i="6"/>
  <c r="F127" i="6"/>
  <c r="F126" i="6"/>
  <c r="F125" i="6"/>
  <c r="F124" i="6"/>
  <c r="F123" i="6"/>
  <c r="F121" i="6"/>
  <c r="F117" i="6"/>
  <c r="F116" i="6"/>
  <c r="F115" i="6"/>
  <c r="F114" i="6"/>
  <c r="F113" i="6"/>
  <c r="F112" i="6"/>
  <c r="F109" i="6"/>
  <c r="F108" i="6"/>
  <c r="F104" i="6"/>
  <c r="F103" i="6"/>
  <c r="F102" i="6"/>
  <c r="F97" i="6"/>
  <c r="F94" i="6"/>
  <c r="F93" i="6"/>
  <c r="F92" i="6"/>
  <c r="F91" i="6"/>
  <c r="F87" i="6"/>
  <c r="F86" i="6"/>
  <c r="F85" i="6"/>
  <c r="F82" i="6"/>
  <c r="F81" i="6"/>
  <c r="F80" i="6"/>
  <c r="F79" i="6"/>
  <c r="F78" i="6"/>
  <c r="F75" i="6"/>
  <c r="F74" i="6"/>
  <c r="F73" i="6"/>
  <c r="F72" i="6"/>
  <c r="F70" i="6"/>
  <c r="F69" i="6"/>
  <c r="F68" i="6"/>
  <c r="F67" i="6"/>
  <c r="F63" i="6"/>
  <c r="F62" i="6"/>
  <c r="F61" i="6"/>
  <c r="F59" i="6"/>
  <c r="B47" i="6"/>
  <c r="E45" i="6"/>
  <c r="B21" i="2"/>
  <c r="B20" i="2"/>
  <c r="B31" i="2"/>
  <c r="B45" i="6"/>
  <c r="B39" i="6"/>
  <c r="F57" i="6"/>
  <c r="F56" i="6"/>
  <c r="F55" i="6"/>
  <c r="F54" i="6"/>
  <c r="F53" i="6"/>
  <c r="F52" i="6"/>
  <c r="F51" i="6"/>
  <c r="F49" i="6"/>
  <c r="F48" i="6"/>
  <c r="F47" i="6"/>
  <c r="F46" i="6"/>
  <c r="F43" i="6"/>
  <c r="F42" i="6"/>
  <c r="F41" i="6"/>
  <c r="F40" i="6"/>
  <c r="F39" i="6"/>
  <c r="B19" i="2"/>
  <c r="B18" i="2"/>
  <c r="B16" i="2"/>
  <c r="L394" i="14"/>
  <c r="D393" i="14"/>
  <c r="M393" i="14" s="1"/>
  <c r="L380" i="14"/>
  <c r="D170" i="14"/>
  <c r="M170" i="14" s="1"/>
  <c r="L157" i="14"/>
  <c r="D156" i="14"/>
  <c r="M156" i="14" s="1"/>
  <c r="L136" i="14"/>
  <c r="M135" i="14"/>
  <c r="K346" i="14"/>
  <c r="L340" i="14"/>
  <c r="D339" i="14"/>
  <c r="M339" i="14" s="1"/>
  <c r="L112" i="14"/>
  <c r="L59" i="14"/>
  <c r="D58" i="14"/>
  <c r="M58" i="14" s="1"/>
  <c r="L4" i="14"/>
  <c r="B36" i="6"/>
  <c r="B3" i="13"/>
  <c r="B30" i="6"/>
  <c r="B20" i="6"/>
  <c r="E18" i="6"/>
  <c r="E23" i="6"/>
  <c r="E22" i="6"/>
  <c r="K214" i="14" l="1"/>
  <c r="H205" i="14"/>
  <c r="K194" i="14"/>
  <c r="H186" i="14"/>
  <c r="K297" i="14"/>
  <c r="H295" i="14"/>
  <c r="K385" i="14"/>
  <c r="H379" i="14"/>
  <c r="K433" i="14"/>
  <c r="K428" i="14" s="1"/>
  <c r="K465" i="14"/>
  <c r="H456" i="14"/>
  <c r="K402" i="14"/>
  <c r="H393" i="14"/>
  <c r="K262" i="14"/>
  <c r="H248" i="14"/>
  <c r="K514" i="14"/>
  <c r="H507" i="14"/>
  <c r="K567" i="14"/>
  <c r="H559" i="14"/>
  <c r="K621" i="14"/>
  <c r="H604" i="14"/>
  <c r="K343" i="14"/>
  <c r="H339" i="14"/>
  <c r="K451" i="14"/>
  <c r="H442" i="14"/>
  <c r="H407" i="14"/>
  <c r="K478" i="14"/>
  <c r="H470" i="14"/>
  <c r="H322" i="14"/>
  <c r="H219" i="14"/>
  <c r="K289" i="14"/>
  <c r="H278" i="14"/>
  <c r="H58" i="14"/>
  <c r="H546" i="14"/>
  <c r="K575" i="14"/>
  <c r="H572" i="14"/>
  <c r="K588" i="14"/>
  <c r="H585" i="14"/>
  <c r="K522" i="14"/>
  <c r="H520" i="14"/>
  <c r="K536" i="14"/>
  <c r="H533" i="14"/>
  <c r="H135" i="14"/>
  <c r="H156" i="14"/>
  <c r="H170" i="14"/>
  <c r="K349" i="14"/>
  <c r="K388" i="14"/>
  <c r="K401" i="14"/>
  <c r="K362" i="14"/>
  <c r="K375" i="14"/>
  <c r="K585" i="14"/>
  <c r="K604" i="14"/>
  <c r="K479" i="14"/>
  <c r="K156" i="14"/>
  <c r="K205" i="14"/>
  <c r="M206" i="14" s="1"/>
  <c r="M207" i="14" s="1"/>
  <c r="B19" i="5"/>
  <c r="M322" i="14"/>
  <c r="K494" i="14"/>
  <c r="M495" i="14" s="1"/>
  <c r="M496" i="14" s="1"/>
  <c r="D39" i="2" s="1"/>
  <c r="H494" i="14"/>
  <c r="D111" i="14"/>
  <c r="M111" i="14" s="1"/>
  <c r="D3" i="14"/>
  <c r="M3" i="14" s="1"/>
  <c r="K295" i="14"/>
  <c r="M296" i="14" s="1"/>
  <c r="M297" i="14" s="1"/>
  <c r="D29" i="2" s="1"/>
  <c r="K278" i="14"/>
  <c r="K266" i="14"/>
  <c r="M267" i="14" s="1"/>
  <c r="M268" i="14" s="1"/>
  <c r="D27" i="2" s="1"/>
  <c r="K507" i="14"/>
  <c r="M508" i="14" s="1"/>
  <c r="M509" i="14" s="1"/>
  <c r="D40" i="2" s="1"/>
  <c r="K572" i="14"/>
  <c r="M573" i="14" s="1"/>
  <c r="M574" i="14" s="1"/>
  <c r="D45" i="2" s="1"/>
  <c r="K219" i="14"/>
  <c r="M220" i="14" s="1"/>
  <c r="K248" i="14"/>
  <c r="M249" i="14" s="1"/>
  <c r="D248" i="14"/>
  <c r="M248" i="14" s="1"/>
  <c r="M586" i="14"/>
  <c r="M587" i="14" s="1"/>
  <c r="D46" i="2" s="1"/>
  <c r="K353" i="14"/>
  <c r="D219" i="14"/>
  <c r="M219" i="14" s="1"/>
  <c r="K520" i="14"/>
  <c r="M521" i="14" s="1"/>
  <c r="M522" i="14" s="1"/>
  <c r="D41" i="2" s="1"/>
  <c r="M547" i="14"/>
  <c r="M548" i="14" s="1"/>
  <c r="D43" i="2" s="1"/>
  <c r="M605" i="14"/>
  <c r="M606" i="14" s="1"/>
  <c r="D47" i="2" s="1"/>
  <c r="K366" i="14"/>
  <c r="M367" i="14" s="1"/>
  <c r="M368" i="14" s="1"/>
  <c r="D49" i="2" s="1"/>
  <c r="K533" i="14"/>
  <c r="M534" i="14" s="1"/>
  <c r="M535" i="14" s="1"/>
  <c r="D42" i="2" s="1"/>
  <c r="K380" i="14"/>
  <c r="K472" i="14"/>
  <c r="K470" i="14" s="1"/>
  <c r="M471" i="14" s="1"/>
  <c r="M472" i="14" s="1"/>
  <c r="K448" i="14"/>
  <c r="K442" i="14" s="1"/>
  <c r="M443" i="14" s="1"/>
  <c r="M444" i="14" s="1"/>
  <c r="D36" i="2" s="1"/>
  <c r="H266" i="14"/>
  <c r="K559" i="14"/>
  <c r="M560" i="14" s="1"/>
  <c r="M561" i="14" s="1"/>
  <c r="D44" i="2" s="1"/>
  <c r="A2" i="13"/>
  <c r="D14" i="2" s="1"/>
  <c r="K456" i="14"/>
  <c r="M457" i="14" s="1"/>
  <c r="M458" i="14" s="1"/>
  <c r="D37" i="2" s="1"/>
  <c r="D24" i="2"/>
  <c r="M59" i="14"/>
  <c r="M60" i="14" s="1"/>
  <c r="D18" i="2" s="1"/>
  <c r="K344" i="14"/>
  <c r="K186" i="14"/>
  <c r="M187" i="14" s="1"/>
  <c r="M188" i="14" s="1"/>
  <c r="D23" i="2" s="1"/>
  <c r="K177" i="14"/>
  <c r="K170" i="14" s="1"/>
  <c r="K111" i="14"/>
  <c r="M112" i="14" s="1"/>
  <c r="K407" i="14"/>
  <c r="K382" i="14"/>
  <c r="B18" i="5"/>
  <c r="M157" i="14"/>
  <c r="M158" i="14" s="1"/>
  <c r="B20" i="5"/>
  <c r="K135" i="14"/>
  <c r="M136" i="14" s="1"/>
  <c r="M137" i="14" s="1"/>
  <c r="M429" i="14"/>
  <c r="M430" i="14" s="1"/>
  <c r="D35" i="2" s="1"/>
  <c r="K3" i="14"/>
  <c r="M4" i="14" s="1"/>
  <c r="E14" i="6"/>
  <c r="B8" i="6"/>
  <c r="B7" i="6"/>
  <c r="B3" i="6" s="1"/>
  <c r="H35" i="1"/>
  <c r="M36" i="1"/>
  <c r="B36" i="1"/>
  <c r="H33" i="1"/>
  <c r="H5" i="1"/>
  <c r="C47" i="1"/>
  <c r="K322" i="14" l="1"/>
  <c r="M323" i="14" s="1"/>
  <c r="M324" i="14" s="1"/>
  <c r="D20" i="2"/>
  <c r="M221" i="14"/>
  <c r="M408" i="14"/>
  <c r="M409" i="14" s="1"/>
  <c r="D34" i="2" s="1"/>
  <c r="M354" i="14"/>
  <c r="M355" i="14" s="1"/>
  <c r="D48" i="2" s="1"/>
  <c r="M279" i="14"/>
  <c r="M280" i="14" s="1"/>
  <c r="D38" i="2"/>
  <c r="D21" i="2"/>
  <c r="M171" i="14"/>
  <c r="M172" i="14" s="1"/>
  <c r="D22" i="2" s="1"/>
  <c r="C38" i="1"/>
  <c r="C39" i="1"/>
  <c r="K339" i="14"/>
  <c r="K379" i="14"/>
  <c r="M380" i="14" s="1"/>
  <c r="M381" i="14" s="1"/>
  <c r="D32" i="2" s="1"/>
  <c r="M113" i="14"/>
  <c r="D19" i="2" s="1"/>
  <c r="M250" i="14"/>
  <c r="D25" i="2"/>
  <c r="M5" i="14"/>
  <c r="D16" i="2" s="1"/>
  <c r="F2" i="8"/>
  <c r="C2" i="8"/>
  <c r="H2" i="8" s="1"/>
  <c r="H4" i="8" s="1"/>
  <c r="H5" i="8" s="1"/>
  <c r="H6" i="8" s="1"/>
  <c r="H2556" i="7"/>
  <c r="J2556" i="7" s="1"/>
  <c r="L2556" i="7" s="1"/>
  <c r="H2555" i="7"/>
  <c r="J2555" i="7" s="1"/>
  <c r="L2555" i="7" s="1"/>
  <c r="H2554" i="7"/>
  <c r="J2554" i="7" s="1"/>
  <c r="L2554" i="7" s="1"/>
  <c r="H2553" i="7"/>
  <c r="J2553" i="7" s="1"/>
  <c r="L2553" i="7" s="1"/>
  <c r="H2552" i="7"/>
  <c r="J2552" i="7" s="1"/>
  <c r="L2552" i="7" s="1"/>
  <c r="H2551" i="7"/>
  <c r="J2551" i="7" s="1"/>
  <c r="L2551" i="7" s="1"/>
  <c r="H2550" i="7"/>
  <c r="J2550" i="7" s="1"/>
  <c r="L2550" i="7" s="1"/>
  <c r="H2549" i="7"/>
  <c r="J2549" i="7" s="1"/>
  <c r="L2549" i="7" s="1"/>
  <c r="H2548" i="7"/>
  <c r="J2548" i="7" s="1"/>
  <c r="L2548" i="7" s="1"/>
  <c r="H2547" i="7"/>
  <c r="J2547" i="7" s="1"/>
  <c r="L2547" i="7" s="1"/>
  <c r="H2546" i="7"/>
  <c r="J2546" i="7" s="1"/>
  <c r="L2546" i="7" s="1"/>
  <c r="H2545" i="7"/>
  <c r="J2545" i="7" s="1"/>
  <c r="L2545" i="7" s="1"/>
  <c r="H2544" i="7"/>
  <c r="J2544" i="7" s="1"/>
  <c r="L2544" i="7" s="1"/>
  <c r="H2543" i="7"/>
  <c r="J2543" i="7" s="1"/>
  <c r="L2543" i="7" s="1"/>
  <c r="H2542" i="7"/>
  <c r="J2542" i="7" s="1"/>
  <c r="L2542" i="7" s="1"/>
  <c r="H2541" i="7"/>
  <c r="J2541" i="7" s="1"/>
  <c r="L2541" i="7" s="1"/>
  <c r="H2540" i="7"/>
  <c r="J2540" i="7" s="1"/>
  <c r="L2540" i="7" s="1"/>
  <c r="H2539" i="7"/>
  <c r="J2539" i="7" s="1"/>
  <c r="L2539" i="7" s="1"/>
  <c r="H2538" i="7"/>
  <c r="J2538" i="7" s="1"/>
  <c r="L2538" i="7" s="1"/>
  <c r="H2537" i="7"/>
  <c r="J2537" i="7" s="1"/>
  <c r="L2537" i="7" s="1"/>
  <c r="H2536" i="7"/>
  <c r="J2536" i="7" s="1"/>
  <c r="L2536" i="7" s="1"/>
  <c r="H2535" i="7"/>
  <c r="J2535" i="7" s="1"/>
  <c r="L2535" i="7" s="1"/>
  <c r="H2534" i="7"/>
  <c r="J2534" i="7" s="1"/>
  <c r="L2534" i="7" s="1"/>
  <c r="H2533" i="7"/>
  <c r="J2533" i="7" s="1"/>
  <c r="L2533" i="7" s="1"/>
  <c r="H2532" i="7"/>
  <c r="J2532" i="7" s="1"/>
  <c r="L2532" i="7" s="1"/>
  <c r="H2531" i="7"/>
  <c r="J2531" i="7" s="1"/>
  <c r="L2531" i="7" s="1"/>
  <c r="H2530" i="7"/>
  <c r="J2530" i="7" s="1"/>
  <c r="L2530" i="7" s="1"/>
  <c r="H2529" i="7"/>
  <c r="J2529" i="7" s="1"/>
  <c r="L2529" i="7" s="1"/>
  <c r="H2528" i="7"/>
  <c r="J2528" i="7" s="1"/>
  <c r="L2528" i="7" s="1"/>
  <c r="H2527" i="7"/>
  <c r="J2527" i="7" s="1"/>
  <c r="L2527" i="7" s="1"/>
  <c r="H2526" i="7"/>
  <c r="J2526" i="7" s="1"/>
  <c r="L2526" i="7" s="1"/>
  <c r="H2525" i="7"/>
  <c r="J2525" i="7" s="1"/>
  <c r="L2525" i="7" s="1"/>
  <c r="H2524" i="7"/>
  <c r="J2524" i="7" s="1"/>
  <c r="L2524" i="7" s="1"/>
  <c r="H2523" i="7"/>
  <c r="J2523" i="7" s="1"/>
  <c r="L2523" i="7" s="1"/>
  <c r="H2522" i="7"/>
  <c r="J2522" i="7" s="1"/>
  <c r="L2522" i="7" s="1"/>
  <c r="H2521" i="7"/>
  <c r="J2521" i="7" s="1"/>
  <c r="L2521" i="7" s="1"/>
  <c r="H2520" i="7"/>
  <c r="J2520" i="7" s="1"/>
  <c r="L2520" i="7" s="1"/>
  <c r="H2519" i="7"/>
  <c r="J2519" i="7" s="1"/>
  <c r="L2519" i="7" s="1"/>
  <c r="H2518" i="7"/>
  <c r="J2518" i="7" s="1"/>
  <c r="L2518" i="7" s="1"/>
  <c r="H2517" i="7"/>
  <c r="J2517" i="7" s="1"/>
  <c r="L2517" i="7" s="1"/>
  <c r="H2516" i="7"/>
  <c r="J2516" i="7" s="1"/>
  <c r="L2516" i="7" s="1"/>
  <c r="H2515" i="7"/>
  <c r="J2515" i="7" s="1"/>
  <c r="L2515" i="7" s="1"/>
  <c r="H2514" i="7"/>
  <c r="J2514" i="7" s="1"/>
  <c r="L2514" i="7" s="1"/>
  <c r="H2513" i="7"/>
  <c r="J2513" i="7" s="1"/>
  <c r="L2513" i="7" s="1"/>
  <c r="H2512" i="7"/>
  <c r="J2512" i="7" s="1"/>
  <c r="L2512" i="7" s="1"/>
  <c r="H2511" i="7"/>
  <c r="J2511" i="7" s="1"/>
  <c r="L2511" i="7" s="1"/>
  <c r="H2510" i="7"/>
  <c r="J2510" i="7" s="1"/>
  <c r="L2510" i="7" s="1"/>
  <c r="H2509" i="7"/>
  <c r="J2509" i="7" s="1"/>
  <c r="L2509" i="7" s="1"/>
  <c r="H2508" i="7"/>
  <c r="J2508" i="7" s="1"/>
  <c r="L2508" i="7" s="1"/>
  <c r="H2507" i="7"/>
  <c r="J2507" i="7" s="1"/>
  <c r="L2507" i="7" s="1"/>
  <c r="H2506" i="7"/>
  <c r="J2506" i="7" s="1"/>
  <c r="L2506" i="7" s="1"/>
  <c r="H2505" i="7"/>
  <c r="J2505" i="7" s="1"/>
  <c r="L2505" i="7" s="1"/>
  <c r="H2504" i="7"/>
  <c r="J2504" i="7" s="1"/>
  <c r="L2504" i="7" s="1"/>
  <c r="H2503" i="7"/>
  <c r="J2503" i="7" s="1"/>
  <c r="L2503" i="7" s="1"/>
  <c r="H2502" i="7"/>
  <c r="J2502" i="7" s="1"/>
  <c r="L2502" i="7" s="1"/>
  <c r="H2501" i="7"/>
  <c r="J2501" i="7" s="1"/>
  <c r="L2501" i="7" s="1"/>
  <c r="H2500" i="7"/>
  <c r="J2500" i="7" s="1"/>
  <c r="L2500" i="7" s="1"/>
  <c r="H2499" i="7"/>
  <c r="J2499" i="7" s="1"/>
  <c r="L2499" i="7" s="1"/>
  <c r="H2498" i="7"/>
  <c r="J2498" i="7" s="1"/>
  <c r="L2498" i="7" s="1"/>
  <c r="H2497" i="7"/>
  <c r="J2497" i="7" s="1"/>
  <c r="L2497" i="7" s="1"/>
  <c r="H2496" i="7"/>
  <c r="J2496" i="7" s="1"/>
  <c r="L2496" i="7" s="1"/>
  <c r="H2495" i="7"/>
  <c r="J2495" i="7" s="1"/>
  <c r="L2495" i="7" s="1"/>
  <c r="H2494" i="7"/>
  <c r="J2494" i="7" s="1"/>
  <c r="L2494" i="7" s="1"/>
  <c r="H2493" i="7"/>
  <c r="J2493" i="7" s="1"/>
  <c r="L2493" i="7" s="1"/>
  <c r="H2492" i="7"/>
  <c r="J2492" i="7" s="1"/>
  <c r="L2492" i="7" s="1"/>
  <c r="H2491" i="7"/>
  <c r="J2491" i="7" s="1"/>
  <c r="L2491" i="7" s="1"/>
  <c r="H2490" i="7"/>
  <c r="J2490" i="7" s="1"/>
  <c r="L2490" i="7" s="1"/>
  <c r="H2489" i="7"/>
  <c r="J2489" i="7" s="1"/>
  <c r="L2489" i="7" s="1"/>
  <c r="H2488" i="7"/>
  <c r="J2488" i="7" s="1"/>
  <c r="L2488" i="7" s="1"/>
  <c r="H2487" i="7"/>
  <c r="J2487" i="7" s="1"/>
  <c r="L2487" i="7" s="1"/>
  <c r="H2486" i="7"/>
  <c r="J2486" i="7" s="1"/>
  <c r="L2486" i="7" s="1"/>
  <c r="H2485" i="7"/>
  <c r="J2485" i="7" s="1"/>
  <c r="L2485" i="7" s="1"/>
  <c r="H2484" i="7"/>
  <c r="J2484" i="7" s="1"/>
  <c r="L2484" i="7" s="1"/>
  <c r="H2483" i="7"/>
  <c r="J2483" i="7" s="1"/>
  <c r="L2483" i="7" s="1"/>
  <c r="H2482" i="7"/>
  <c r="J2482" i="7" s="1"/>
  <c r="L2482" i="7" s="1"/>
  <c r="H2481" i="7"/>
  <c r="J2481" i="7" s="1"/>
  <c r="L2481" i="7" s="1"/>
  <c r="H2480" i="7"/>
  <c r="J2480" i="7" s="1"/>
  <c r="L2480" i="7" s="1"/>
  <c r="H2479" i="7"/>
  <c r="J2479" i="7" s="1"/>
  <c r="L2479" i="7" s="1"/>
  <c r="H2478" i="7"/>
  <c r="J2478" i="7" s="1"/>
  <c r="L2478" i="7" s="1"/>
  <c r="H2477" i="7"/>
  <c r="J2477" i="7" s="1"/>
  <c r="L2477" i="7" s="1"/>
  <c r="H2476" i="7"/>
  <c r="J2476" i="7" s="1"/>
  <c r="L2476" i="7" s="1"/>
  <c r="H2475" i="7"/>
  <c r="J2475" i="7" s="1"/>
  <c r="L2475" i="7" s="1"/>
  <c r="H2474" i="7"/>
  <c r="J2474" i="7" s="1"/>
  <c r="L2474" i="7" s="1"/>
  <c r="H2473" i="7"/>
  <c r="J2473" i="7" s="1"/>
  <c r="L2473" i="7" s="1"/>
  <c r="H2472" i="7"/>
  <c r="J2472" i="7" s="1"/>
  <c r="L2472" i="7" s="1"/>
  <c r="H2471" i="7"/>
  <c r="J2471" i="7" s="1"/>
  <c r="L2471" i="7" s="1"/>
  <c r="H2470" i="7"/>
  <c r="J2470" i="7" s="1"/>
  <c r="L2470" i="7" s="1"/>
  <c r="H2469" i="7"/>
  <c r="J2469" i="7" s="1"/>
  <c r="L2469" i="7" s="1"/>
  <c r="H2468" i="7"/>
  <c r="J2468" i="7" s="1"/>
  <c r="L2468" i="7" s="1"/>
  <c r="H2467" i="7"/>
  <c r="J2467" i="7" s="1"/>
  <c r="L2467" i="7" s="1"/>
  <c r="H2466" i="7"/>
  <c r="J2466" i="7" s="1"/>
  <c r="L2466" i="7" s="1"/>
  <c r="H2465" i="7"/>
  <c r="J2465" i="7" s="1"/>
  <c r="L2465" i="7" s="1"/>
  <c r="H2464" i="7"/>
  <c r="J2464" i="7" s="1"/>
  <c r="L2464" i="7" s="1"/>
  <c r="H2463" i="7"/>
  <c r="J2463" i="7" s="1"/>
  <c r="L2463" i="7" s="1"/>
  <c r="H2462" i="7"/>
  <c r="J2462" i="7" s="1"/>
  <c r="L2462" i="7" s="1"/>
  <c r="H2461" i="7"/>
  <c r="J2461" i="7" s="1"/>
  <c r="L2461" i="7" s="1"/>
  <c r="H2460" i="7"/>
  <c r="J2460" i="7" s="1"/>
  <c r="L2460" i="7" s="1"/>
  <c r="H2459" i="7"/>
  <c r="J2459" i="7" s="1"/>
  <c r="L2459" i="7" s="1"/>
  <c r="H2458" i="7"/>
  <c r="J2458" i="7" s="1"/>
  <c r="L2458" i="7" s="1"/>
  <c r="H2457" i="7"/>
  <c r="J2457" i="7" s="1"/>
  <c r="L2457" i="7" s="1"/>
  <c r="H2456" i="7"/>
  <c r="J2456" i="7" s="1"/>
  <c r="L2456" i="7" s="1"/>
  <c r="H2455" i="7"/>
  <c r="J2455" i="7" s="1"/>
  <c r="L2455" i="7" s="1"/>
  <c r="H2454" i="7"/>
  <c r="J2454" i="7" s="1"/>
  <c r="L2454" i="7" s="1"/>
  <c r="H2453" i="7"/>
  <c r="J2453" i="7" s="1"/>
  <c r="L2453" i="7" s="1"/>
  <c r="H2452" i="7"/>
  <c r="J2452" i="7" s="1"/>
  <c r="L2452" i="7" s="1"/>
  <c r="H2451" i="7"/>
  <c r="J2451" i="7" s="1"/>
  <c r="L2451" i="7" s="1"/>
  <c r="H2450" i="7"/>
  <c r="J2450" i="7" s="1"/>
  <c r="L2450" i="7" s="1"/>
  <c r="H2449" i="7"/>
  <c r="J2449" i="7" s="1"/>
  <c r="L2449" i="7" s="1"/>
  <c r="H2448" i="7"/>
  <c r="J2448" i="7" s="1"/>
  <c r="L2448" i="7" s="1"/>
  <c r="H2447" i="7"/>
  <c r="J2447" i="7" s="1"/>
  <c r="L2447" i="7" s="1"/>
  <c r="H2446" i="7"/>
  <c r="J2446" i="7" s="1"/>
  <c r="L2446" i="7" s="1"/>
  <c r="H2445" i="7"/>
  <c r="J2445" i="7" s="1"/>
  <c r="L2445" i="7" s="1"/>
  <c r="H2444" i="7"/>
  <c r="J2444" i="7" s="1"/>
  <c r="L2444" i="7" s="1"/>
  <c r="H2443" i="7"/>
  <c r="J2443" i="7" s="1"/>
  <c r="L2443" i="7" s="1"/>
  <c r="H2442" i="7"/>
  <c r="J2442" i="7" s="1"/>
  <c r="L2442" i="7" s="1"/>
  <c r="H2441" i="7"/>
  <c r="J2441" i="7" s="1"/>
  <c r="L2441" i="7" s="1"/>
  <c r="H2440" i="7"/>
  <c r="J2440" i="7" s="1"/>
  <c r="L2440" i="7" s="1"/>
  <c r="H2439" i="7"/>
  <c r="J2439" i="7" s="1"/>
  <c r="L2439" i="7" s="1"/>
  <c r="H2438" i="7"/>
  <c r="J2438" i="7" s="1"/>
  <c r="L2438" i="7" s="1"/>
  <c r="H2437" i="7"/>
  <c r="J2437" i="7" s="1"/>
  <c r="L2437" i="7" s="1"/>
  <c r="H2436" i="7"/>
  <c r="J2436" i="7" s="1"/>
  <c r="L2436" i="7" s="1"/>
  <c r="H2435" i="7"/>
  <c r="J2435" i="7" s="1"/>
  <c r="L2435" i="7" s="1"/>
  <c r="H2434" i="7"/>
  <c r="J2434" i="7" s="1"/>
  <c r="L2434" i="7" s="1"/>
  <c r="H2433" i="7"/>
  <c r="J2433" i="7" s="1"/>
  <c r="L2433" i="7" s="1"/>
  <c r="H2432" i="7"/>
  <c r="J2432" i="7" s="1"/>
  <c r="L2432" i="7" s="1"/>
  <c r="H2431" i="7"/>
  <c r="J2431" i="7" s="1"/>
  <c r="L2431" i="7" s="1"/>
  <c r="H2430" i="7"/>
  <c r="J2430" i="7" s="1"/>
  <c r="L2430" i="7" s="1"/>
  <c r="H2429" i="7"/>
  <c r="J2429" i="7" s="1"/>
  <c r="L2429" i="7" s="1"/>
  <c r="H2428" i="7"/>
  <c r="J2428" i="7" s="1"/>
  <c r="L2428" i="7" s="1"/>
  <c r="H2427" i="7"/>
  <c r="J2427" i="7" s="1"/>
  <c r="L2427" i="7" s="1"/>
  <c r="H2426" i="7"/>
  <c r="J2426" i="7" s="1"/>
  <c r="L2426" i="7" s="1"/>
  <c r="H2425" i="7"/>
  <c r="J2425" i="7" s="1"/>
  <c r="L2425" i="7" s="1"/>
  <c r="H2424" i="7"/>
  <c r="J2424" i="7" s="1"/>
  <c r="L2424" i="7" s="1"/>
  <c r="H2423" i="7"/>
  <c r="J2423" i="7" s="1"/>
  <c r="L2423" i="7" s="1"/>
  <c r="H2422" i="7"/>
  <c r="J2422" i="7" s="1"/>
  <c r="L2422" i="7" s="1"/>
  <c r="H2421" i="7"/>
  <c r="J2421" i="7" s="1"/>
  <c r="L2421" i="7" s="1"/>
  <c r="H2420" i="7"/>
  <c r="J2420" i="7" s="1"/>
  <c r="L2420" i="7" s="1"/>
  <c r="H2419" i="7"/>
  <c r="J2419" i="7" s="1"/>
  <c r="L2419" i="7" s="1"/>
  <c r="H2418" i="7"/>
  <c r="J2418" i="7" s="1"/>
  <c r="L2418" i="7" s="1"/>
  <c r="H2417" i="7"/>
  <c r="J2417" i="7" s="1"/>
  <c r="L2417" i="7" s="1"/>
  <c r="H2416" i="7"/>
  <c r="J2416" i="7" s="1"/>
  <c r="L2416" i="7" s="1"/>
  <c r="H2415" i="7"/>
  <c r="J2415" i="7" s="1"/>
  <c r="L2415" i="7" s="1"/>
  <c r="H2414" i="7"/>
  <c r="J2414" i="7" s="1"/>
  <c r="L2414" i="7" s="1"/>
  <c r="H2413" i="7"/>
  <c r="J2413" i="7" s="1"/>
  <c r="L2413" i="7" s="1"/>
  <c r="H2412" i="7"/>
  <c r="J2412" i="7" s="1"/>
  <c r="L2412" i="7" s="1"/>
  <c r="H2411" i="7"/>
  <c r="J2411" i="7" s="1"/>
  <c r="L2411" i="7" s="1"/>
  <c r="H2410" i="7"/>
  <c r="J2410" i="7" s="1"/>
  <c r="L2410" i="7" s="1"/>
  <c r="H2409" i="7"/>
  <c r="J2409" i="7" s="1"/>
  <c r="L2409" i="7" s="1"/>
  <c r="H2408" i="7"/>
  <c r="J2408" i="7" s="1"/>
  <c r="L2408" i="7" s="1"/>
  <c r="H2407" i="7"/>
  <c r="J2407" i="7" s="1"/>
  <c r="L2407" i="7" s="1"/>
  <c r="H2406" i="7"/>
  <c r="J2406" i="7" s="1"/>
  <c r="L2406" i="7" s="1"/>
  <c r="H2405" i="7"/>
  <c r="J2405" i="7" s="1"/>
  <c r="L2405" i="7" s="1"/>
  <c r="H2404" i="7"/>
  <c r="J2404" i="7" s="1"/>
  <c r="L2404" i="7" s="1"/>
  <c r="H2403" i="7"/>
  <c r="J2403" i="7" s="1"/>
  <c r="L2403" i="7" s="1"/>
  <c r="H2402" i="7"/>
  <c r="J2402" i="7" s="1"/>
  <c r="L2402" i="7" s="1"/>
  <c r="H2401" i="7"/>
  <c r="J2401" i="7" s="1"/>
  <c r="L2401" i="7" s="1"/>
  <c r="H2400" i="7"/>
  <c r="J2400" i="7" s="1"/>
  <c r="L2400" i="7" s="1"/>
  <c r="H2399" i="7"/>
  <c r="J2399" i="7" s="1"/>
  <c r="L2399" i="7" s="1"/>
  <c r="H2398" i="7"/>
  <c r="J2398" i="7" s="1"/>
  <c r="L2398" i="7" s="1"/>
  <c r="H2397" i="7"/>
  <c r="J2397" i="7" s="1"/>
  <c r="L2397" i="7" s="1"/>
  <c r="H2396" i="7"/>
  <c r="J2396" i="7" s="1"/>
  <c r="L2396" i="7" s="1"/>
  <c r="H2395" i="7"/>
  <c r="J2395" i="7" s="1"/>
  <c r="L2395" i="7" s="1"/>
  <c r="H2394" i="7"/>
  <c r="J2394" i="7" s="1"/>
  <c r="L2394" i="7" s="1"/>
  <c r="H2393" i="7"/>
  <c r="J2393" i="7" s="1"/>
  <c r="L2393" i="7" s="1"/>
  <c r="H2392" i="7"/>
  <c r="J2392" i="7" s="1"/>
  <c r="L2392" i="7" s="1"/>
  <c r="H2391" i="7"/>
  <c r="J2391" i="7" s="1"/>
  <c r="L2391" i="7" s="1"/>
  <c r="H2390" i="7"/>
  <c r="J2390" i="7" s="1"/>
  <c r="L2390" i="7" s="1"/>
  <c r="H2389" i="7"/>
  <c r="J2389" i="7" s="1"/>
  <c r="L2389" i="7" s="1"/>
  <c r="H2388" i="7"/>
  <c r="J2388" i="7" s="1"/>
  <c r="L2388" i="7" s="1"/>
  <c r="H2387" i="7"/>
  <c r="J2387" i="7" s="1"/>
  <c r="L2387" i="7" s="1"/>
  <c r="H2386" i="7"/>
  <c r="J2386" i="7" s="1"/>
  <c r="L2386" i="7" s="1"/>
  <c r="H2385" i="7"/>
  <c r="J2385" i="7" s="1"/>
  <c r="L2385" i="7" s="1"/>
  <c r="H2384" i="7"/>
  <c r="J2384" i="7" s="1"/>
  <c r="L2384" i="7" s="1"/>
  <c r="H2383" i="7"/>
  <c r="J2383" i="7" s="1"/>
  <c r="L2383" i="7" s="1"/>
  <c r="H2382" i="7"/>
  <c r="J2382" i="7" s="1"/>
  <c r="L2382" i="7" s="1"/>
  <c r="H2381" i="7"/>
  <c r="J2381" i="7" s="1"/>
  <c r="L2381" i="7" s="1"/>
  <c r="H2380" i="7"/>
  <c r="J2380" i="7" s="1"/>
  <c r="L2380" i="7" s="1"/>
  <c r="H2379" i="7"/>
  <c r="J2379" i="7" s="1"/>
  <c r="L2379" i="7" s="1"/>
  <c r="H2378" i="7"/>
  <c r="J2378" i="7" s="1"/>
  <c r="L2378" i="7" s="1"/>
  <c r="H2377" i="7"/>
  <c r="J2377" i="7" s="1"/>
  <c r="L2377" i="7" s="1"/>
  <c r="H2376" i="7"/>
  <c r="J2376" i="7" s="1"/>
  <c r="L2376" i="7" s="1"/>
  <c r="H2375" i="7"/>
  <c r="J2375" i="7" s="1"/>
  <c r="L2375" i="7" s="1"/>
  <c r="H2374" i="7"/>
  <c r="J2374" i="7" s="1"/>
  <c r="L2374" i="7" s="1"/>
  <c r="H2373" i="7"/>
  <c r="J2373" i="7" s="1"/>
  <c r="L2373" i="7" s="1"/>
  <c r="H2372" i="7"/>
  <c r="J2372" i="7" s="1"/>
  <c r="L2372" i="7" s="1"/>
  <c r="H2371" i="7"/>
  <c r="J2371" i="7" s="1"/>
  <c r="L2371" i="7" s="1"/>
  <c r="H2370" i="7"/>
  <c r="J2370" i="7" s="1"/>
  <c r="L2370" i="7" s="1"/>
  <c r="H2369" i="7"/>
  <c r="J2369" i="7" s="1"/>
  <c r="L2369" i="7" s="1"/>
  <c r="H2368" i="7"/>
  <c r="J2368" i="7" s="1"/>
  <c r="L2368" i="7" s="1"/>
  <c r="H2367" i="7"/>
  <c r="J2367" i="7" s="1"/>
  <c r="L2367" i="7" s="1"/>
  <c r="H2366" i="7"/>
  <c r="J2366" i="7" s="1"/>
  <c r="L2366" i="7" s="1"/>
  <c r="H2365" i="7"/>
  <c r="J2365" i="7" s="1"/>
  <c r="L2365" i="7" s="1"/>
  <c r="H2364" i="7"/>
  <c r="J2364" i="7" s="1"/>
  <c r="L2364" i="7" s="1"/>
  <c r="H2363" i="7"/>
  <c r="J2363" i="7" s="1"/>
  <c r="L2363" i="7" s="1"/>
  <c r="H2362" i="7"/>
  <c r="J2362" i="7" s="1"/>
  <c r="L2362" i="7" s="1"/>
  <c r="H2361" i="7"/>
  <c r="J2361" i="7" s="1"/>
  <c r="L2361" i="7" s="1"/>
  <c r="H2360" i="7"/>
  <c r="J2360" i="7" s="1"/>
  <c r="L2360" i="7" s="1"/>
  <c r="H2359" i="7"/>
  <c r="J2359" i="7" s="1"/>
  <c r="L2359" i="7" s="1"/>
  <c r="H2358" i="7"/>
  <c r="J2358" i="7" s="1"/>
  <c r="L2358" i="7" s="1"/>
  <c r="H2357" i="7"/>
  <c r="J2357" i="7" s="1"/>
  <c r="L2357" i="7" s="1"/>
  <c r="H2356" i="7"/>
  <c r="J2356" i="7" s="1"/>
  <c r="L2356" i="7" s="1"/>
  <c r="H2355" i="7"/>
  <c r="J2355" i="7" s="1"/>
  <c r="L2355" i="7" s="1"/>
  <c r="H2354" i="7"/>
  <c r="J2354" i="7" s="1"/>
  <c r="L2354" i="7" s="1"/>
  <c r="H2353" i="7"/>
  <c r="J2353" i="7" s="1"/>
  <c r="L2353" i="7" s="1"/>
  <c r="H2352" i="7"/>
  <c r="J2352" i="7" s="1"/>
  <c r="L2352" i="7" s="1"/>
  <c r="H2351" i="7"/>
  <c r="J2351" i="7" s="1"/>
  <c r="L2351" i="7" s="1"/>
  <c r="H2350" i="7"/>
  <c r="J2350" i="7" s="1"/>
  <c r="L2350" i="7" s="1"/>
  <c r="H2349" i="7"/>
  <c r="J2349" i="7" s="1"/>
  <c r="L2349" i="7" s="1"/>
  <c r="H2348" i="7"/>
  <c r="J2348" i="7" s="1"/>
  <c r="L2348" i="7" s="1"/>
  <c r="H2347" i="7"/>
  <c r="J2347" i="7" s="1"/>
  <c r="L2347" i="7" s="1"/>
  <c r="H2346" i="7"/>
  <c r="J2346" i="7" s="1"/>
  <c r="L2346" i="7" s="1"/>
  <c r="H2345" i="7"/>
  <c r="J2345" i="7" s="1"/>
  <c r="L2345" i="7" s="1"/>
  <c r="H2344" i="7"/>
  <c r="J2344" i="7" s="1"/>
  <c r="L2344" i="7" s="1"/>
  <c r="H2343" i="7"/>
  <c r="J2343" i="7" s="1"/>
  <c r="L2343" i="7" s="1"/>
  <c r="H2342" i="7"/>
  <c r="J2342" i="7" s="1"/>
  <c r="L2342" i="7" s="1"/>
  <c r="H2341" i="7"/>
  <c r="J2341" i="7" s="1"/>
  <c r="L2341" i="7" s="1"/>
  <c r="H2340" i="7"/>
  <c r="J2340" i="7" s="1"/>
  <c r="L2340" i="7" s="1"/>
  <c r="H2339" i="7"/>
  <c r="J2339" i="7" s="1"/>
  <c r="L2339" i="7" s="1"/>
  <c r="H2338" i="7"/>
  <c r="J2338" i="7" s="1"/>
  <c r="L2338" i="7" s="1"/>
  <c r="H2337" i="7"/>
  <c r="J2337" i="7" s="1"/>
  <c r="L2337" i="7" s="1"/>
  <c r="H2336" i="7"/>
  <c r="J2336" i="7" s="1"/>
  <c r="L2336" i="7" s="1"/>
  <c r="H2335" i="7"/>
  <c r="J2335" i="7" s="1"/>
  <c r="L2335" i="7" s="1"/>
  <c r="H2334" i="7"/>
  <c r="J2334" i="7" s="1"/>
  <c r="L2334" i="7" s="1"/>
  <c r="H2333" i="7"/>
  <c r="J2333" i="7" s="1"/>
  <c r="L2333" i="7" s="1"/>
  <c r="H2332" i="7"/>
  <c r="J2332" i="7" s="1"/>
  <c r="L2332" i="7" s="1"/>
  <c r="H2331" i="7"/>
  <c r="J2331" i="7" s="1"/>
  <c r="L2331" i="7" s="1"/>
  <c r="H2330" i="7"/>
  <c r="J2330" i="7" s="1"/>
  <c r="L2330" i="7" s="1"/>
  <c r="H2329" i="7"/>
  <c r="J2329" i="7" s="1"/>
  <c r="L2329" i="7" s="1"/>
  <c r="H2328" i="7"/>
  <c r="J2328" i="7" s="1"/>
  <c r="L2328" i="7" s="1"/>
  <c r="H2327" i="7"/>
  <c r="J2327" i="7" s="1"/>
  <c r="L2327" i="7" s="1"/>
  <c r="H2326" i="7"/>
  <c r="J2326" i="7" s="1"/>
  <c r="L2326" i="7" s="1"/>
  <c r="H2325" i="7"/>
  <c r="J2325" i="7" s="1"/>
  <c r="L2325" i="7" s="1"/>
  <c r="H2324" i="7"/>
  <c r="J2324" i="7" s="1"/>
  <c r="L2324" i="7" s="1"/>
  <c r="H2323" i="7"/>
  <c r="J2323" i="7" s="1"/>
  <c r="L2323" i="7" s="1"/>
  <c r="H2322" i="7"/>
  <c r="J2322" i="7" s="1"/>
  <c r="L2322" i="7" s="1"/>
  <c r="H2321" i="7"/>
  <c r="J2321" i="7" s="1"/>
  <c r="L2321" i="7" s="1"/>
  <c r="H2320" i="7"/>
  <c r="J2320" i="7" s="1"/>
  <c r="L2320" i="7" s="1"/>
  <c r="H2319" i="7"/>
  <c r="J2319" i="7" s="1"/>
  <c r="L2319" i="7" s="1"/>
  <c r="H2318" i="7"/>
  <c r="J2318" i="7" s="1"/>
  <c r="L2318" i="7" s="1"/>
  <c r="H2317" i="7"/>
  <c r="J2317" i="7" s="1"/>
  <c r="L2317" i="7" s="1"/>
  <c r="H2316" i="7"/>
  <c r="J2316" i="7" s="1"/>
  <c r="L2316" i="7" s="1"/>
  <c r="H2315" i="7"/>
  <c r="J2315" i="7" s="1"/>
  <c r="L2315" i="7" s="1"/>
  <c r="H2314" i="7"/>
  <c r="J2314" i="7" s="1"/>
  <c r="L2314" i="7" s="1"/>
  <c r="H2313" i="7"/>
  <c r="J2313" i="7" s="1"/>
  <c r="L2313" i="7" s="1"/>
  <c r="H2312" i="7"/>
  <c r="J2312" i="7" s="1"/>
  <c r="L2312" i="7" s="1"/>
  <c r="H2311" i="7"/>
  <c r="J2311" i="7" s="1"/>
  <c r="L2311" i="7" s="1"/>
  <c r="H2310" i="7"/>
  <c r="J2310" i="7" s="1"/>
  <c r="L2310" i="7" s="1"/>
  <c r="H2309" i="7"/>
  <c r="J2309" i="7" s="1"/>
  <c r="L2309" i="7" s="1"/>
  <c r="H2308" i="7"/>
  <c r="J2308" i="7" s="1"/>
  <c r="L2308" i="7" s="1"/>
  <c r="H2307" i="7"/>
  <c r="J2307" i="7" s="1"/>
  <c r="L2307" i="7" s="1"/>
  <c r="H2306" i="7"/>
  <c r="J2306" i="7" s="1"/>
  <c r="L2306" i="7" s="1"/>
  <c r="H2305" i="7"/>
  <c r="J2305" i="7" s="1"/>
  <c r="L2305" i="7" s="1"/>
  <c r="H2304" i="7"/>
  <c r="J2304" i="7" s="1"/>
  <c r="L2304" i="7" s="1"/>
  <c r="H2303" i="7"/>
  <c r="J2303" i="7" s="1"/>
  <c r="L2303" i="7" s="1"/>
  <c r="H2302" i="7"/>
  <c r="J2302" i="7" s="1"/>
  <c r="L2302" i="7" s="1"/>
  <c r="H2301" i="7"/>
  <c r="J2301" i="7" s="1"/>
  <c r="L2301" i="7" s="1"/>
  <c r="H2300" i="7"/>
  <c r="J2300" i="7" s="1"/>
  <c r="L2300" i="7" s="1"/>
  <c r="H2299" i="7"/>
  <c r="J2299" i="7" s="1"/>
  <c r="L2299" i="7" s="1"/>
  <c r="H2298" i="7"/>
  <c r="J2298" i="7" s="1"/>
  <c r="L2298" i="7" s="1"/>
  <c r="H2297" i="7"/>
  <c r="J2297" i="7" s="1"/>
  <c r="L2297" i="7" s="1"/>
  <c r="H2296" i="7"/>
  <c r="J2296" i="7" s="1"/>
  <c r="L2296" i="7" s="1"/>
  <c r="H2295" i="7"/>
  <c r="J2295" i="7" s="1"/>
  <c r="L2295" i="7" s="1"/>
  <c r="H2294" i="7"/>
  <c r="J2294" i="7" s="1"/>
  <c r="L2294" i="7" s="1"/>
  <c r="H2293" i="7"/>
  <c r="J2293" i="7" s="1"/>
  <c r="L2293" i="7" s="1"/>
  <c r="H2292" i="7"/>
  <c r="J2292" i="7" s="1"/>
  <c r="L2292" i="7" s="1"/>
  <c r="H2291" i="7"/>
  <c r="J2291" i="7" s="1"/>
  <c r="L2291" i="7" s="1"/>
  <c r="H2290" i="7"/>
  <c r="J2290" i="7" s="1"/>
  <c r="L2290" i="7" s="1"/>
  <c r="H2289" i="7"/>
  <c r="J2289" i="7" s="1"/>
  <c r="L2289" i="7" s="1"/>
  <c r="H2288" i="7"/>
  <c r="J2288" i="7" s="1"/>
  <c r="L2288" i="7" s="1"/>
  <c r="H2287" i="7"/>
  <c r="J2287" i="7" s="1"/>
  <c r="L2287" i="7" s="1"/>
  <c r="H2286" i="7"/>
  <c r="J2286" i="7" s="1"/>
  <c r="L2286" i="7" s="1"/>
  <c r="H2285" i="7"/>
  <c r="J2285" i="7" s="1"/>
  <c r="L2285" i="7" s="1"/>
  <c r="H2284" i="7"/>
  <c r="J2284" i="7" s="1"/>
  <c r="L2284" i="7" s="1"/>
  <c r="H2283" i="7"/>
  <c r="J2283" i="7" s="1"/>
  <c r="L2283" i="7" s="1"/>
  <c r="H2282" i="7"/>
  <c r="J2282" i="7" s="1"/>
  <c r="L2282" i="7" s="1"/>
  <c r="H2281" i="7"/>
  <c r="J2281" i="7" s="1"/>
  <c r="L2281" i="7" s="1"/>
  <c r="H2280" i="7"/>
  <c r="J2280" i="7" s="1"/>
  <c r="L2280" i="7" s="1"/>
  <c r="H2279" i="7"/>
  <c r="J2279" i="7" s="1"/>
  <c r="L2279" i="7" s="1"/>
  <c r="H2278" i="7"/>
  <c r="J2278" i="7" s="1"/>
  <c r="L2278" i="7" s="1"/>
  <c r="H2277" i="7"/>
  <c r="J2277" i="7" s="1"/>
  <c r="L2277" i="7" s="1"/>
  <c r="H2276" i="7"/>
  <c r="J2276" i="7" s="1"/>
  <c r="L2276" i="7" s="1"/>
  <c r="H2275" i="7"/>
  <c r="J2275" i="7" s="1"/>
  <c r="L2275" i="7" s="1"/>
  <c r="H2274" i="7"/>
  <c r="J2274" i="7" s="1"/>
  <c r="L2274" i="7" s="1"/>
  <c r="H2273" i="7"/>
  <c r="J2273" i="7" s="1"/>
  <c r="L2273" i="7" s="1"/>
  <c r="H2272" i="7"/>
  <c r="J2272" i="7" s="1"/>
  <c r="L2272" i="7" s="1"/>
  <c r="H2271" i="7"/>
  <c r="J2271" i="7" s="1"/>
  <c r="L2271" i="7" s="1"/>
  <c r="H2270" i="7"/>
  <c r="J2270" i="7" s="1"/>
  <c r="L2270" i="7" s="1"/>
  <c r="H2269" i="7"/>
  <c r="J2269" i="7" s="1"/>
  <c r="L2269" i="7" s="1"/>
  <c r="H2268" i="7"/>
  <c r="J2268" i="7" s="1"/>
  <c r="L2268" i="7" s="1"/>
  <c r="H2267" i="7"/>
  <c r="J2267" i="7" s="1"/>
  <c r="L2267" i="7" s="1"/>
  <c r="H2266" i="7"/>
  <c r="J2266" i="7" s="1"/>
  <c r="L2266" i="7" s="1"/>
  <c r="H2265" i="7"/>
  <c r="J2265" i="7" s="1"/>
  <c r="L2265" i="7" s="1"/>
  <c r="H2264" i="7"/>
  <c r="J2264" i="7" s="1"/>
  <c r="L2264" i="7" s="1"/>
  <c r="H2263" i="7"/>
  <c r="J2263" i="7" s="1"/>
  <c r="L2263" i="7" s="1"/>
  <c r="H2262" i="7"/>
  <c r="J2262" i="7" s="1"/>
  <c r="L2262" i="7" s="1"/>
  <c r="H2261" i="7"/>
  <c r="J2261" i="7" s="1"/>
  <c r="L2261" i="7" s="1"/>
  <c r="H2260" i="7"/>
  <c r="J2260" i="7" s="1"/>
  <c r="L2260" i="7" s="1"/>
  <c r="H2259" i="7"/>
  <c r="J2259" i="7" s="1"/>
  <c r="L2259" i="7" s="1"/>
  <c r="H2258" i="7"/>
  <c r="J2258" i="7" s="1"/>
  <c r="L2258" i="7" s="1"/>
  <c r="H2257" i="7"/>
  <c r="J2257" i="7" s="1"/>
  <c r="L2257" i="7" s="1"/>
  <c r="H2256" i="7"/>
  <c r="J2256" i="7" s="1"/>
  <c r="L2256" i="7" s="1"/>
  <c r="H2255" i="7"/>
  <c r="J2255" i="7" s="1"/>
  <c r="L2255" i="7" s="1"/>
  <c r="H2254" i="7"/>
  <c r="J2254" i="7" s="1"/>
  <c r="L2254" i="7" s="1"/>
  <c r="H2253" i="7"/>
  <c r="J2253" i="7" s="1"/>
  <c r="L2253" i="7" s="1"/>
  <c r="H2252" i="7"/>
  <c r="J2252" i="7" s="1"/>
  <c r="L2252" i="7" s="1"/>
  <c r="H2251" i="7"/>
  <c r="J2251" i="7" s="1"/>
  <c r="L2251" i="7" s="1"/>
  <c r="H2250" i="7"/>
  <c r="J2250" i="7" s="1"/>
  <c r="L2250" i="7" s="1"/>
  <c r="H2249" i="7"/>
  <c r="J2249" i="7" s="1"/>
  <c r="L2249" i="7" s="1"/>
  <c r="H2248" i="7"/>
  <c r="J2248" i="7" s="1"/>
  <c r="L2248" i="7" s="1"/>
  <c r="H2247" i="7"/>
  <c r="J2247" i="7" s="1"/>
  <c r="L2247" i="7" s="1"/>
  <c r="H2246" i="7"/>
  <c r="J2246" i="7" s="1"/>
  <c r="L2246" i="7" s="1"/>
  <c r="H2245" i="7"/>
  <c r="J2245" i="7" s="1"/>
  <c r="L2245" i="7" s="1"/>
  <c r="H2244" i="7"/>
  <c r="J2244" i="7" s="1"/>
  <c r="L2244" i="7" s="1"/>
  <c r="H2243" i="7"/>
  <c r="J2243" i="7" s="1"/>
  <c r="L2243" i="7" s="1"/>
  <c r="H2242" i="7"/>
  <c r="J2242" i="7" s="1"/>
  <c r="L2242" i="7" s="1"/>
  <c r="H2241" i="7"/>
  <c r="J2241" i="7" s="1"/>
  <c r="L2241" i="7" s="1"/>
  <c r="H2240" i="7"/>
  <c r="J2240" i="7" s="1"/>
  <c r="L2240" i="7" s="1"/>
  <c r="H2239" i="7"/>
  <c r="J2239" i="7" s="1"/>
  <c r="L2239" i="7" s="1"/>
  <c r="H2238" i="7"/>
  <c r="J2238" i="7" s="1"/>
  <c r="L2238" i="7" s="1"/>
  <c r="H2237" i="7"/>
  <c r="J2237" i="7" s="1"/>
  <c r="L2237" i="7" s="1"/>
  <c r="H2236" i="7"/>
  <c r="J2236" i="7" s="1"/>
  <c r="L2236" i="7" s="1"/>
  <c r="H2235" i="7"/>
  <c r="J2235" i="7" s="1"/>
  <c r="L2235" i="7" s="1"/>
  <c r="H2234" i="7"/>
  <c r="J2234" i="7" s="1"/>
  <c r="L2234" i="7" s="1"/>
  <c r="H2233" i="7"/>
  <c r="J2233" i="7" s="1"/>
  <c r="L2233" i="7" s="1"/>
  <c r="H2232" i="7"/>
  <c r="J2232" i="7" s="1"/>
  <c r="L2232" i="7" s="1"/>
  <c r="H2231" i="7"/>
  <c r="J2231" i="7" s="1"/>
  <c r="L2231" i="7" s="1"/>
  <c r="H2230" i="7"/>
  <c r="J2230" i="7" s="1"/>
  <c r="L2230" i="7" s="1"/>
  <c r="H2229" i="7"/>
  <c r="J2229" i="7" s="1"/>
  <c r="L2229" i="7" s="1"/>
  <c r="H2228" i="7"/>
  <c r="J2228" i="7" s="1"/>
  <c r="L2228" i="7" s="1"/>
  <c r="H2227" i="7"/>
  <c r="J2227" i="7" s="1"/>
  <c r="L2227" i="7" s="1"/>
  <c r="H2226" i="7"/>
  <c r="J2226" i="7" s="1"/>
  <c r="L2226" i="7" s="1"/>
  <c r="H2225" i="7"/>
  <c r="J2225" i="7" s="1"/>
  <c r="L2225" i="7" s="1"/>
  <c r="H2224" i="7"/>
  <c r="J2224" i="7" s="1"/>
  <c r="L2224" i="7" s="1"/>
  <c r="H2223" i="7"/>
  <c r="J2223" i="7" s="1"/>
  <c r="L2223" i="7" s="1"/>
  <c r="H2222" i="7"/>
  <c r="J2222" i="7" s="1"/>
  <c r="L2222" i="7" s="1"/>
  <c r="H2221" i="7"/>
  <c r="J2221" i="7" s="1"/>
  <c r="L2221" i="7" s="1"/>
  <c r="H2220" i="7"/>
  <c r="J2220" i="7" s="1"/>
  <c r="L2220" i="7" s="1"/>
  <c r="H2219" i="7"/>
  <c r="J2219" i="7" s="1"/>
  <c r="L2219" i="7" s="1"/>
  <c r="H2218" i="7"/>
  <c r="J2218" i="7" s="1"/>
  <c r="L2218" i="7" s="1"/>
  <c r="H2217" i="7"/>
  <c r="J2217" i="7" s="1"/>
  <c r="L2217" i="7" s="1"/>
  <c r="H2216" i="7"/>
  <c r="J2216" i="7" s="1"/>
  <c r="L2216" i="7" s="1"/>
  <c r="H2215" i="7"/>
  <c r="J2215" i="7" s="1"/>
  <c r="L2215" i="7" s="1"/>
  <c r="H2214" i="7"/>
  <c r="J2214" i="7" s="1"/>
  <c r="L2214" i="7" s="1"/>
  <c r="H2213" i="7"/>
  <c r="J2213" i="7" s="1"/>
  <c r="L2213" i="7" s="1"/>
  <c r="H2212" i="7"/>
  <c r="J2212" i="7" s="1"/>
  <c r="L2212" i="7" s="1"/>
  <c r="H2211" i="7"/>
  <c r="J2211" i="7" s="1"/>
  <c r="L2211" i="7" s="1"/>
  <c r="H2210" i="7"/>
  <c r="J2210" i="7" s="1"/>
  <c r="L2210" i="7" s="1"/>
  <c r="H2209" i="7"/>
  <c r="J2209" i="7" s="1"/>
  <c r="L2209" i="7" s="1"/>
  <c r="H2208" i="7"/>
  <c r="J2208" i="7" s="1"/>
  <c r="L2208" i="7" s="1"/>
  <c r="H2207" i="7"/>
  <c r="J2207" i="7" s="1"/>
  <c r="L2207" i="7" s="1"/>
  <c r="H2206" i="7"/>
  <c r="J2206" i="7" s="1"/>
  <c r="L2206" i="7" s="1"/>
  <c r="H2205" i="7"/>
  <c r="J2205" i="7" s="1"/>
  <c r="L2205" i="7" s="1"/>
  <c r="H2204" i="7"/>
  <c r="J2204" i="7" s="1"/>
  <c r="L2204" i="7" s="1"/>
  <c r="H2203" i="7"/>
  <c r="J2203" i="7" s="1"/>
  <c r="L2203" i="7" s="1"/>
  <c r="H2202" i="7"/>
  <c r="J2202" i="7" s="1"/>
  <c r="L2202" i="7" s="1"/>
  <c r="H2201" i="7"/>
  <c r="J2201" i="7" s="1"/>
  <c r="L2201" i="7" s="1"/>
  <c r="H2200" i="7"/>
  <c r="J2200" i="7" s="1"/>
  <c r="L2200" i="7" s="1"/>
  <c r="H2199" i="7"/>
  <c r="J2199" i="7" s="1"/>
  <c r="L2199" i="7" s="1"/>
  <c r="H2198" i="7"/>
  <c r="J2198" i="7" s="1"/>
  <c r="L2198" i="7" s="1"/>
  <c r="H2197" i="7"/>
  <c r="J2197" i="7" s="1"/>
  <c r="L2197" i="7" s="1"/>
  <c r="H2196" i="7"/>
  <c r="J2196" i="7" s="1"/>
  <c r="L2196" i="7" s="1"/>
  <c r="H2195" i="7"/>
  <c r="J2195" i="7" s="1"/>
  <c r="L2195" i="7" s="1"/>
  <c r="H2194" i="7"/>
  <c r="J2194" i="7" s="1"/>
  <c r="L2194" i="7" s="1"/>
  <c r="H2193" i="7"/>
  <c r="J2193" i="7" s="1"/>
  <c r="L2193" i="7" s="1"/>
  <c r="H2192" i="7"/>
  <c r="J2192" i="7" s="1"/>
  <c r="L2192" i="7" s="1"/>
  <c r="H2191" i="7"/>
  <c r="J2191" i="7" s="1"/>
  <c r="L2191" i="7" s="1"/>
  <c r="H2190" i="7"/>
  <c r="J2190" i="7" s="1"/>
  <c r="L2190" i="7" s="1"/>
  <c r="H2189" i="7"/>
  <c r="J2189" i="7" s="1"/>
  <c r="L2189" i="7" s="1"/>
  <c r="H2188" i="7"/>
  <c r="J2188" i="7" s="1"/>
  <c r="L2188" i="7" s="1"/>
  <c r="H2187" i="7"/>
  <c r="J2187" i="7" s="1"/>
  <c r="L2187" i="7" s="1"/>
  <c r="H2186" i="7"/>
  <c r="J2186" i="7" s="1"/>
  <c r="L2186" i="7" s="1"/>
  <c r="H2185" i="7"/>
  <c r="J2185" i="7" s="1"/>
  <c r="L2185" i="7" s="1"/>
  <c r="H2184" i="7"/>
  <c r="J2184" i="7" s="1"/>
  <c r="L2184" i="7" s="1"/>
  <c r="H2183" i="7"/>
  <c r="J2183" i="7" s="1"/>
  <c r="L2183" i="7" s="1"/>
  <c r="H2182" i="7"/>
  <c r="J2182" i="7" s="1"/>
  <c r="L2182" i="7" s="1"/>
  <c r="H2181" i="7"/>
  <c r="J2181" i="7" s="1"/>
  <c r="L2181" i="7" s="1"/>
  <c r="H2180" i="7"/>
  <c r="J2180" i="7" s="1"/>
  <c r="L2180" i="7" s="1"/>
  <c r="H2179" i="7"/>
  <c r="J2179" i="7" s="1"/>
  <c r="L2179" i="7" s="1"/>
  <c r="H2178" i="7"/>
  <c r="J2178" i="7" s="1"/>
  <c r="L2178" i="7" s="1"/>
  <c r="H2177" i="7"/>
  <c r="J2177" i="7" s="1"/>
  <c r="L2177" i="7" s="1"/>
  <c r="H2176" i="7"/>
  <c r="J2176" i="7" s="1"/>
  <c r="L2176" i="7" s="1"/>
  <c r="H2175" i="7"/>
  <c r="J2175" i="7" s="1"/>
  <c r="L2175" i="7" s="1"/>
  <c r="H2174" i="7"/>
  <c r="J2174" i="7" s="1"/>
  <c r="L2174" i="7" s="1"/>
  <c r="H2173" i="7"/>
  <c r="J2173" i="7" s="1"/>
  <c r="L2173" i="7" s="1"/>
  <c r="H2172" i="7"/>
  <c r="J2172" i="7" s="1"/>
  <c r="L2172" i="7" s="1"/>
  <c r="H2171" i="7"/>
  <c r="J2171" i="7" s="1"/>
  <c r="L2171" i="7" s="1"/>
  <c r="H2170" i="7"/>
  <c r="J2170" i="7" s="1"/>
  <c r="L2170" i="7" s="1"/>
  <c r="H2169" i="7"/>
  <c r="J2169" i="7" s="1"/>
  <c r="L2169" i="7" s="1"/>
  <c r="H2168" i="7"/>
  <c r="J2168" i="7" s="1"/>
  <c r="L2168" i="7" s="1"/>
  <c r="H2167" i="7"/>
  <c r="J2167" i="7" s="1"/>
  <c r="L2167" i="7" s="1"/>
  <c r="H2166" i="7"/>
  <c r="J2166" i="7" s="1"/>
  <c r="L2166" i="7" s="1"/>
  <c r="H2165" i="7"/>
  <c r="J2165" i="7" s="1"/>
  <c r="L2165" i="7" s="1"/>
  <c r="H2164" i="7"/>
  <c r="J2164" i="7" s="1"/>
  <c r="L2164" i="7" s="1"/>
  <c r="H2163" i="7"/>
  <c r="J2163" i="7" s="1"/>
  <c r="L2163" i="7" s="1"/>
  <c r="H2162" i="7"/>
  <c r="J2162" i="7" s="1"/>
  <c r="L2162" i="7" s="1"/>
  <c r="H2161" i="7"/>
  <c r="J2161" i="7" s="1"/>
  <c r="L2161" i="7" s="1"/>
  <c r="H2160" i="7"/>
  <c r="J2160" i="7" s="1"/>
  <c r="L2160" i="7" s="1"/>
  <c r="H2159" i="7"/>
  <c r="J2159" i="7" s="1"/>
  <c r="L2159" i="7" s="1"/>
  <c r="H2158" i="7"/>
  <c r="J2158" i="7" s="1"/>
  <c r="L2158" i="7" s="1"/>
  <c r="H2157" i="7"/>
  <c r="J2157" i="7" s="1"/>
  <c r="L2157" i="7" s="1"/>
  <c r="H2156" i="7"/>
  <c r="J2156" i="7" s="1"/>
  <c r="L2156" i="7" s="1"/>
  <c r="H2155" i="7"/>
  <c r="J2155" i="7" s="1"/>
  <c r="L2155" i="7" s="1"/>
  <c r="H2154" i="7"/>
  <c r="J2154" i="7" s="1"/>
  <c r="L2154" i="7" s="1"/>
  <c r="H2153" i="7"/>
  <c r="J2153" i="7" s="1"/>
  <c r="L2153" i="7" s="1"/>
  <c r="H2152" i="7"/>
  <c r="J2152" i="7" s="1"/>
  <c r="L2152" i="7" s="1"/>
  <c r="H2151" i="7"/>
  <c r="J2151" i="7" s="1"/>
  <c r="L2151" i="7" s="1"/>
  <c r="H2150" i="7"/>
  <c r="J2150" i="7" s="1"/>
  <c r="L2150" i="7" s="1"/>
  <c r="H2149" i="7"/>
  <c r="J2149" i="7" s="1"/>
  <c r="L2149" i="7" s="1"/>
  <c r="H2148" i="7"/>
  <c r="J2148" i="7" s="1"/>
  <c r="L2148" i="7" s="1"/>
  <c r="H2147" i="7"/>
  <c r="J2147" i="7" s="1"/>
  <c r="L2147" i="7" s="1"/>
  <c r="H2146" i="7"/>
  <c r="J2146" i="7" s="1"/>
  <c r="L2146" i="7" s="1"/>
  <c r="H2145" i="7"/>
  <c r="J2145" i="7" s="1"/>
  <c r="L2145" i="7" s="1"/>
  <c r="H2144" i="7"/>
  <c r="J2144" i="7" s="1"/>
  <c r="L2144" i="7" s="1"/>
  <c r="H2143" i="7"/>
  <c r="J2143" i="7" s="1"/>
  <c r="L2143" i="7" s="1"/>
  <c r="H2142" i="7"/>
  <c r="J2142" i="7" s="1"/>
  <c r="L2142" i="7" s="1"/>
  <c r="H2141" i="7"/>
  <c r="J2141" i="7" s="1"/>
  <c r="L2141" i="7" s="1"/>
  <c r="H2140" i="7"/>
  <c r="J2140" i="7" s="1"/>
  <c r="L2140" i="7" s="1"/>
  <c r="H2139" i="7"/>
  <c r="J2139" i="7" s="1"/>
  <c r="L2139" i="7" s="1"/>
  <c r="H2138" i="7"/>
  <c r="J2138" i="7" s="1"/>
  <c r="L2138" i="7" s="1"/>
  <c r="H2137" i="7"/>
  <c r="J2137" i="7" s="1"/>
  <c r="L2137" i="7" s="1"/>
  <c r="H2136" i="7"/>
  <c r="J2136" i="7" s="1"/>
  <c r="L2136" i="7" s="1"/>
  <c r="H2135" i="7"/>
  <c r="J2135" i="7" s="1"/>
  <c r="L2135" i="7" s="1"/>
  <c r="H2134" i="7"/>
  <c r="J2134" i="7" s="1"/>
  <c r="L2134" i="7" s="1"/>
  <c r="H2133" i="7"/>
  <c r="J2133" i="7" s="1"/>
  <c r="L2133" i="7" s="1"/>
  <c r="H2132" i="7"/>
  <c r="J2132" i="7" s="1"/>
  <c r="L2132" i="7" s="1"/>
  <c r="H2131" i="7"/>
  <c r="J2131" i="7" s="1"/>
  <c r="L2131" i="7" s="1"/>
  <c r="H2130" i="7"/>
  <c r="J2130" i="7" s="1"/>
  <c r="L2130" i="7" s="1"/>
  <c r="H2129" i="7"/>
  <c r="J2129" i="7" s="1"/>
  <c r="L2129" i="7" s="1"/>
  <c r="H2128" i="7"/>
  <c r="J2128" i="7" s="1"/>
  <c r="L2128" i="7" s="1"/>
  <c r="H2127" i="7"/>
  <c r="J2127" i="7" s="1"/>
  <c r="L2127" i="7" s="1"/>
  <c r="H2126" i="7"/>
  <c r="J2126" i="7" s="1"/>
  <c r="L2126" i="7" s="1"/>
  <c r="H2125" i="7"/>
  <c r="J2125" i="7" s="1"/>
  <c r="L2125" i="7" s="1"/>
  <c r="H2124" i="7"/>
  <c r="J2124" i="7" s="1"/>
  <c r="L2124" i="7" s="1"/>
  <c r="H2123" i="7"/>
  <c r="J2123" i="7" s="1"/>
  <c r="L2123" i="7" s="1"/>
  <c r="H2122" i="7"/>
  <c r="J2122" i="7" s="1"/>
  <c r="L2122" i="7" s="1"/>
  <c r="H2121" i="7"/>
  <c r="J2121" i="7" s="1"/>
  <c r="L2121" i="7" s="1"/>
  <c r="H2120" i="7"/>
  <c r="J2120" i="7" s="1"/>
  <c r="L2120" i="7" s="1"/>
  <c r="H2119" i="7"/>
  <c r="J2119" i="7" s="1"/>
  <c r="L2119" i="7" s="1"/>
  <c r="H2118" i="7"/>
  <c r="J2118" i="7" s="1"/>
  <c r="L2118" i="7" s="1"/>
  <c r="H2117" i="7"/>
  <c r="J2117" i="7" s="1"/>
  <c r="L2117" i="7" s="1"/>
  <c r="H2116" i="7"/>
  <c r="J2116" i="7" s="1"/>
  <c r="L2116" i="7" s="1"/>
  <c r="H2115" i="7"/>
  <c r="J2115" i="7" s="1"/>
  <c r="L2115" i="7" s="1"/>
  <c r="H2114" i="7"/>
  <c r="J2114" i="7" s="1"/>
  <c r="L2114" i="7" s="1"/>
  <c r="H2113" i="7"/>
  <c r="J2113" i="7" s="1"/>
  <c r="L2113" i="7" s="1"/>
  <c r="H2112" i="7"/>
  <c r="J2112" i="7" s="1"/>
  <c r="L2112" i="7" s="1"/>
  <c r="H2111" i="7"/>
  <c r="J2111" i="7" s="1"/>
  <c r="L2111" i="7" s="1"/>
  <c r="H2110" i="7"/>
  <c r="J2110" i="7" s="1"/>
  <c r="L2110" i="7" s="1"/>
  <c r="H2109" i="7"/>
  <c r="J2109" i="7" s="1"/>
  <c r="L2109" i="7" s="1"/>
  <c r="H2108" i="7"/>
  <c r="J2108" i="7" s="1"/>
  <c r="L2108" i="7" s="1"/>
  <c r="H2107" i="7"/>
  <c r="J2107" i="7" s="1"/>
  <c r="L2107" i="7" s="1"/>
  <c r="H2106" i="7"/>
  <c r="J2106" i="7" s="1"/>
  <c r="L2106" i="7" s="1"/>
  <c r="H2105" i="7"/>
  <c r="J2105" i="7" s="1"/>
  <c r="L2105" i="7" s="1"/>
  <c r="H2104" i="7"/>
  <c r="J2104" i="7" s="1"/>
  <c r="L2104" i="7" s="1"/>
  <c r="H2103" i="7"/>
  <c r="J2103" i="7" s="1"/>
  <c r="L2103" i="7" s="1"/>
  <c r="H2102" i="7"/>
  <c r="J2102" i="7" s="1"/>
  <c r="L2102" i="7" s="1"/>
  <c r="H2101" i="7"/>
  <c r="J2101" i="7" s="1"/>
  <c r="L2101" i="7" s="1"/>
  <c r="H2100" i="7"/>
  <c r="J2100" i="7" s="1"/>
  <c r="L2100" i="7" s="1"/>
  <c r="H2099" i="7"/>
  <c r="J2099" i="7" s="1"/>
  <c r="L2099" i="7" s="1"/>
  <c r="H2098" i="7"/>
  <c r="J2098" i="7" s="1"/>
  <c r="L2098" i="7" s="1"/>
  <c r="H2097" i="7"/>
  <c r="J2097" i="7" s="1"/>
  <c r="L2097" i="7" s="1"/>
  <c r="H2096" i="7"/>
  <c r="J2096" i="7" s="1"/>
  <c r="L2096" i="7" s="1"/>
  <c r="H2095" i="7"/>
  <c r="J2095" i="7" s="1"/>
  <c r="L2095" i="7" s="1"/>
  <c r="H2094" i="7"/>
  <c r="J2094" i="7" s="1"/>
  <c r="L2094" i="7" s="1"/>
  <c r="H2093" i="7"/>
  <c r="J2093" i="7" s="1"/>
  <c r="L2093" i="7" s="1"/>
  <c r="H2092" i="7"/>
  <c r="J2092" i="7" s="1"/>
  <c r="L2092" i="7" s="1"/>
  <c r="H2091" i="7"/>
  <c r="J2091" i="7" s="1"/>
  <c r="L2091" i="7" s="1"/>
  <c r="H2090" i="7"/>
  <c r="J2090" i="7" s="1"/>
  <c r="L2090" i="7" s="1"/>
  <c r="H2089" i="7"/>
  <c r="J2089" i="7" s="1"/>
  <c r="L2089" i="7" s="1"/>
  <c r="H2088" i="7"/>
  <c r="J2088" i="7" s="1"/>
  <c r="L2088" i="7" s="1"/>
  <c r="H2087" i="7"/>
  <c r="J2087" i="7" s="1"/>
  <c r="L2087" i="7" s="1"/>
  <c r="H2086" i="7"/>
  <c r="J2086" i="7" s="1"/>
  <c r="L2086" i="7" s="1"/>
  <c r="H2085" i="7"/>
  <c r="J2085" i="7" s="1"/>
  <c r="L2085" i="7" s="1"/>
  <c r="H2084" i="7"/>
  <c r="J2084" i="7" s="1"/>
  <c r="L2084" i="7" s="1"/>
  <c r="H2083" i="7"/>
  <c r="J2083" i="7" s="1"/>
  <c r="L2083" i="7" s="1"/>
  <c r="H2082" i="7"/>
  <c r="J2082" i="7" s="1"/>
  <c r="L2082" i="7" s="1"/>
  <c r="H2081" i="7"/>
  <c r="J2081" i="7" s="1"/>
  <c r="L2081" i="7" s="1"/>
  <c r="H2080" i="7"/>
  <c r="J2080" i="7" s="1"/>
  <c r="L2080" i="7" s="1"/>
  <c r="H2079" i="7"/>
  <c r="J2079" i="7" s="1"/>
  <c r="L2079" i="7" s="1"/>
  <c r="H2078" i="7"/>
  <c r="J2078" i="7" s="1"/>
  <c r="L2078" i="7" s="1"/>
  <c r="H2077" i="7"/>
  <c r="J2077" i="7" s="1"/>
  <c r="L2077" i="7" s="1"/>
  <c r="H2076" i="7"/>
  <c r="J2076" i="7" s="1"/>
  <c r="L2076" i="7" s="1"/>
  <c r="H2075" i="7"/>
  <c r="J2075" i="7" s="1"/>
  <c r="L2075" i="7" s="1"/>
  <c r="H2074" i="7"/>
  <c r="J2074" i="7" s="1"/>
  <c r="L2074" i="7" s="1"/>
  <c r="H2073" i="7"/>
  <c r="J2073" i="7" s="1"/>
  <c r="L2073" i="7" s="1"/>
  <c r="H2072" i="7"/>
  <c r="J2072" i="7" s="1"/>
  <c r="L2072" i="7" s="1"/>
  <c r="H2071" i="7"/>
  <c r="J2071" i="7" s="1"/>
  <c r="L2071" i="7" s="1"/>
  <c r="H2070" i="7"/>
  <c r="J2070" i="7" s="1"/>
  <c r="L2070" i="7" s="1"/>
  <c r="H2069" i="7"/>
  <c r="J2069" i="7" s="1"/>
  <c r="L2069" i="7" s="1"/>
  <c r="H2068" i="7"/>
  <c r="J2068" i="7" s="1"/>
  <c r="L2068" i="7" s="1"/>
  <c r="H2067" i="7"/>
  <c r="J2067" i="7" s="1"/>
  <c r="L2067" i="7" s="1"/>
  <c r="H2066" i="7"/>
  <c r="J2066" i="7" s="1"/>
  <c r="L2066" i="7" s="1"/>
  <c r="H2065" i="7"/>
  <c r="J2065" i="7" s="1"/>
  <c r="L2065" i="7" s="1"/>
  <c r="H2064" i="7"/>
  <c r="J2064" i="7" s="1"/>
  <c r="L2064" i="7" s="1"/>
  <c r="H2063" i="7"/>
  <c r="J2063" i="7" s="1"/>
  <c r="L2063" i="7" s="1"/>
  <c r="H2062" i="7"/>
  <c r="J2062" i="7" s="1"/>
  <c r="L2062" i="7" s="1"/>
  <c r="H2061" i="7"/>
  <c r="J2061" i="7" s="1"/>
  <c r="L2061" i="7" s="1"/>
  <c r="H2060" i="7"/>
  <c r="J2060" i="7" s="1"/>
  <c r="L2060" i="7" s="1"/>
  <c r="H2059" i="7"/>
  <c r="J2059" i="7" s="1"/>
  <c r="L2059" i="7" s="1"/>
  <c r="H2058" i="7"/>
  <c r="J2058" i="7" s="1"/>
  <c r="L2058" i="7" s="1"/>
  <c r="H2057" i="7"/>
  <c r="J2057" i="7" s="1"/>
  <c r="L2057" i="7" s="1"/>
  <c r="H2056" i="7"/>
  <c r="J2056" i="7" s="1"/>
  <c r="L2056" i="7" s="1"/>
  <c r="H2055" i="7"/>
  <c r="J2055" i="7" s="1"/>
  <c r="L2055" i="7" s="1"/>
  <c r="H2054" i="7"/>
  <c r="J2054" i="7" s="1"/>
  <c r="L2054" i="7" s="1"/>
  <c r="H2053" i="7"/>
  <c r="J2053" i="7" s="1"/>
  <c r="L2053" i="7" s="1"/>
  <c r="H2052" i="7"/>
  <c r="J2052" i="7" s="1"/>
  <c r="L2052" i="7" s="1"/>
  <c r="H2051" i="7"/>
  <c r="J2051" i="7" s="1"/>
  <c r="L2051" i="7" s="1"/>
  <c r="H2050" i="7"/>
  <c r="J2050" i="7" s="1"/>
  <c r="L2050" i="7" s="1"/>
  <c r="H2049" i="7"/>
  <c r="J2049" i="7" s="1"/>
  <c r="L2049" i="7" s="1"/>
  <c r="H2048" i="7"/>
  <c r="J2048" i="7" s="1"/>
  <c r="L2048" i="7" s="1"/>
  <c r="H2047" i="7"/>
  <c r="J2047" i="7" s="1"/>
  <c r="L2047" i="7" s="1"/>
  <c r="H2046" i="7"/>
  <c r="J2046" i="7" s="1"/>
  <c r="L2046" i="7" s="1"/>
  <c r="H2045" i="7"/>
  <c r="J2045" i="7" s="1"/>
  <c r="L2045" i="7" s="1"/>
  <c r="H2044" i="7"/>
  <c r="J2044" i="7" s="1"/>
  <c r="L2044" i="7" s="1"/>
  <c r="H2043" i="7"/>
  <c r="J2043" i="7" s="1"/>
  <c r="L2043" i="7" s="1"/>
  <c r="H2042" i="7"/>
  <c r="J2042" i="7" s="1"/>
  <c r="L2042" i="7" s="1"/>
  <c r="H2041" i="7"/>
  <c r="J2041" i="7" s="1"/>
  <c r="L2041" i="7" s="1"/>
  <c r="H2040" i="7"/>
  <c r="J2040" i="7" s="1"/>
  <c r="L2040" i="7" s="1"/>
  <c r="H2039" i="7"/>
  <c r="J2039" i="7" s="1"/>
  <c r="L2039" i="7" s="1"/>
  <c r="H2038" i="7"/>
  <c r="J2038" i="7" s="1"/>
  <c r="L2038" i="7" s="1"/>
  <c r="H2037" i="7"/>
  <c r="J2037" i="7" s="1"/>
  <c r="L2037" i="7" s="1"/>
  <c r="H2036" i="7"/>
  <c r="J2036" i="7" s="1"/>
  <c r="L2036" i="7" s="1"/>
  <c r="H2035" i="7"/>
  <c r="J2035" i="7" s="1"/>
  <c r="L2035" i="7" s="1"/>
  <c r="H2034" i="7"/>
  <c r="J2034" i="7" s="1"/>
  <c r="L2034" i="7" s="1"/>
  <c r="H2033" i="7"/>
  <c r="J2033" i="7" s="1"/>
  <c r="L2033" i="7" s="1"/>
  <c r="H2032" i="7"/>
  <c r="J2032" i="7" s="1"/>
  <c r="L2032" i="7" s="1"/>
  <c r="H2031" i="7"/>
  <c r="J2031" i="7" s="1"/>
  <c r="L2031" i="7" s="1"/>
  <c r="H2030" i="7"/>
  <c r="J2030" i="7" s="1"/>
  <c r="L2030" i="7" s="1"/>
  <c r="H2029" i="7"/>
  <c r="J2029" i="7" s="1"/>
  <c r="L2029" i="7" s="1"/>
  <c r="H2028" i="7"/>
  <c r="J2028" i="7" s="1"/>
  <c r="L2028" i="7" s="1"/>
  <c r="H2027" i="7"/>
  <c r="J2027" i="7" s="1"/>
  <c r="L2027" i="7" s="1"/>
  <c r="H2026" i="7"/>
  <c r="J2026" i="7" s="1"/>
  <c r="L2026" i="7" s="1"/>
  <c r="H2025" i="7"/>
  <c r="J2025" i="7" s="1"/>
  <c r="L2025" i="7" s="1"/>
  <c r="H2024" i="7"/>
  <c r="J2024" i="7" s="1"/>
  <c r="L2024" i="7" s="1"/>
  <c r="H2023" i="7"/>
  <c r="J2023" i="7" s="1"/>
  <c r="L2023" i="7" s="1"/>
  <c r="H2022" i="7"/>
  <c r="J2022" i="7" s="1"/>
  <c r="L2022" i="7" s="1"/>
  <c r="H2021" i="7"/>
  <c r="J2021" i="7" s="1"/>
  <c r="L2021" i="7" s="1"/>
  <c r="H2020" i="7"/>
  <c r="J2020" i="7" s="1"/>
  <c r="L2020" i="7" s="1"/>
  <c r="H2019" i="7"/>
  <c r="J2019" i="7" s="1"/>
  <c r="L2019" i="7" s="1"/>
  <c r="H2018" i="7"/>
  <c r="J2018" i="7" s="1"/>
  <c r="L2018" i="7" s="1"/>
  <c r="H2017" i="7"/>
  <c r="J2017" i="7" s="1"/>
  <c r="L2017" i="7" s="1"/>
  <c r="H2016" i="7"/>
  <c r="J2016" i="7" s="1"/>
  <c r="L2016" i="7" s="1"/>
  <c r="H2015" i="7"/>
  <c r="J2015" i="7" s="1"/>
  <c r="L2015" i="7" s="1"/>
  <c r="H2014" i="7"/>
  <c r="J2014" i="7" s="1"/>
  <c r="L2014" i="7" s="1"/>
  <c r="H2013" i="7"/>
  <c r="J2013" i="7" s="1"/>
  <c r="L2013" i="7" s="1"/>
  <c r="H2012" i="7"/>
  <c r="J2012" i="7" s="1"/>
  <c r="L2012" i="7" s="1"/>
  <c r="H2011" i="7"/>
  <c r="J2011" i="7" s="1"/>
  <c r="L2011" i="7" s="1"/>
  <c r="H2010" i="7"/>
  <c r="J2010" i="7" s="1"/>
  <c r="L2010" i="7" s="1"/>
  <c r="H2009" i="7"/>
  <c r="J2009" i="7" s="1"/>
  <c r="L2009" i="7" s="1"/>
  <c r="H2008" i="7"/>
  <c r="J2008" i="7" s="1"/>
  <c r="L2008" i="7" s="1"/>
  <c r="H2007" i="7"/>
  <c r="J2007" i="7" s="1"/>
  <c r="L2007" i="7" s="1"/>
  <c r="H2006" i="7"/>
  <c r="J2006" i="7" s="1"/>
  <c r="L2006" i="7" s="1"/>
  <c r="H2005" i="7"/>
  <c r="J2005" i="7" s="1"/>
  <c r="L2005" i="7" s="1"/>
  <c r="H2004" i="7"/>
  <c r="J2004" i="7" s="1"/>
  <c r="L2004" i="7" s="1"/>
  <c r="H2003" i="7"/>
  <c r="J2003" i="7" s="1"/>
  <c r="L2003" i="7" s="1"/>
  <c r="H2002" i="7"/>
  <c r="J2002" i="7" s="1"/>
  <c r="L2002" i="7" s="1"/>
  <c r="H2001" i="7"/>
  <c r="J2001" i="7" s="1"/>
  <c r="L2001" i="7" s="1"/>
  <c r="H2000" i="7"/>
  <c r="J2000" i="7" s="1"/>
  <c r="L2000" i="7" s="1"/>
  <c r="H1999" i="7"/>
  <c r="J1999" i="7" s="1"/>
  <c r="L1999" i="7" s="1"/>
  <c r="H1998" i="7"/>
  <c r="J1998" i="7" s="1"/>
  <c r="L1998" i="7" s="1"/>
  <c r="H1997" i="7"/>
  <c r="J1997" i="7" s="1"/>
  <c r="L1997" i="7" s="1"/>
  <c r="H1996" i="7"/>
  <c r="J1996" i="7" s="1"/>
  <c r="L1996" i="7" s="1"/>
  <c r="H1995" i="7"/>
  <c r="J1995" i="7" s="1"/>
  <c r="L1995" i="7" s="1"/>
  <c r="H1994" i="7"/>
  <c r="J1994" i="7" s="1"/>
  <c r="L1994" i="7" s="1"/>
  <c r="H1993" i="7"/>
  <c r="J1993" i="7" s="1"/>
  <c r="L1993" i="7" s="1"/>
  <c r="H1992" i="7"/>
  <c r="J1992" i="7" s="1"/>
  <c r="L1992" i="7" s="1"/>
  <c r="H1991" i="7"/>
  <c r="J1991" i="7" s="1"/>
  <c r="L1991" i="7" s="1"/>
  <c r="H1990" i="7"/>
  <c r="J1990" i="7" s="1"/>
  <c r="L1990" i="7" s="1"/>
  <c r="H1989" i="7"/>
  <c r="J1989" i="7" s="1"/>
  <c r="L1989" i="7" s="1"/>
  <c r="H1988" i="7"/>
  <c r="J1988" i="7" s="1"/>
  <c r="L1988" i="7" s="1"/>
  <c r="H1987" i="7"/>
  <c r="J1987" i="7" s="1"/>
  <c r="L1987" i="7" s="1"/>
  <c r="H1986" i="7"/>
  <c r="J1986" i="7" s="1"/>
  <c r="L1986" i="7" s="1"/>
  <c r="H1985" i="7"/>
  <c r="J1985" i="7" s="1"/>
  <c r="L1985" i="7" s="1"/>
  <c r="H1984" i="7"/>
  <c r="J1984" i="7" s="1"/>
  <c r="L1984" i="7" s="1"/>
  <c r="H1983" i="7"/>
  <c r="J1983" i="7" s="1"/>
  <c r="L1983" i="7" s="1"/>
  <c r="H1982" i="7"/>
  <c r="J1982" i="7" s="1"/>
  <c r="L1982" i="7" s="1"/>
  <c r="H1981" i="7"/>
  <c r="J1981" i="7" s="1"/>
  <c r="L1981" i="7" s="1"/>
  <c r="H1980" i="7"/>
  <c r="J1980" i="7" s="1"/>
  <c r="L1980" i="7" s="1"/>
  <c r="H1979" i="7"/>
  <c r="J1979" i="7" s="1"/>
  <c r="L1979" i="7" s="1"/>
  <c r="H1978" i="7"/>
  <c r="J1978" i="7" s="1"/>
  <c r="L1978" i="7" s="1"/>
  <c r="H1977" i="7"/>
  <c r="J1977" i="7" s="1"/>
  <c r="L1977" i="7" s="1"/>
  <c r="H1976" i="7"/>
  <c r="J1976" i="7" s="1"/>
  <c r="L1976" i="7" s="1"/>
  <c r="H1975" i="7"/>
  <c r="J1975" i="7" s="1"/>
  <c r="L1975" i="7" s="1"/>
  <c r="H1974" i="7"/>
  <c r="J1974" i="7" s="1"/>
  <c r="L1974" i="7" s="1"/>
  <c r="H1973" i="7"/>
  <c r="J1973" i="7" s="1"/>
  <c r="L1973" i="7" s="1"/>
  <c r="H1972" i="7"/>
  <c r="J1972" i="7" s="1"/>
  <c r="L1972" i="7" s="1"/>
  <c r="H1971" i="7"/>
  <c r="J1971" i="7" s="1"/>
  <c r="L1971" i="7" s="1"/>
  <c r="H1970" i="7"/>
  <c r="J1970" i="7" s="1"/>
  <c r="L1970" i="7" s="1"/>
  <c r="H1969" i="7"/>
  <c r="J1969" i="7" s="1"/>
  <c r="L1969" i="7" s="1"/>
  <c r="H1968" i="7"/>
  <c r="J1968" i="7" s="1"/>
  <c r="L1968" i="7" s="1"/>
  <c r="H1967" i="7"/>
  <c r="J1967" i="7" s="1"/>
  <c r="L1967" i="7" s="1"/>
  <c r="H1966" i="7"/>
  <c r="J1966" i="7" s="1"/>
  <c r="L1966" i="7" s="1"/>
  <c r="H1965" i="7"/>
  <c r="J1965" i="7" s="1"/>
  <c r="L1965" i="7" s="1"/>
  <c r="H1964" i="7"/>
  <c r="J1964" i="7" s="1"/>
  <c r="L1964" i="7" s="1"/>
  <c r="H1963" i="7"/>
  <c r="J1963" i="7" s="1"/>
  <c r="L1963" i="7" s="1"/>
  <c r="H1962" i="7"/>
  <c r="J1962" i="7" s="1"/>
  <c r="L1962" i="7" s="1"/>
  <c r="H1961" i="7"/>
  <c r="J1961" i="7" s="1"/>
  <c r="L1961" i="7" s="1"/>
  <c r="H1960" i="7"/>
  <c r="J1960" i="7" s="1"/>
  <c r="L1960" i="7" s="1"/>
  <c r="H1959" i="7"/>
  <c r="J1959" i="7" s="1"/>
  <c r="L1959" i="7" s="1"/>
  <c r="H1958" i="7"/>
  <c r="J1958" i="7" s="1"/>
  <c r="L1958" i="7" s="1"/>
  <c r="H1957" i="7"/>
  <c r="J1957" i="7" s="1"/>
  <c r="L1957" i="7" s="1"/>
  <c r="H1956" i="7"/>
  <c r="J1956" i="7" s="1"/>
  <c r="L1956" i="7" s="1"/>
  <c r="H1955" i="7"/>
  <c r="J1955" i="7" s="1"/>
  <c r="L1955" i="7" s="1"/>
  <c r="H1954" i="7"/>
  <c r="J1954" i="7" s="1"/>
  <c r="L1954" i="7" s="1"/>
  <c r="H1953" i="7"/>
  <c r="J1953" i="7" s="1"/>
  <c r="L1953" i="7" s="1"/>
  <c r="H1952" i="7"/>
  <c r="J1952" i="7" s="1"/>
  <c r="L1952" i="7" s="1"/>
  <c r="H1951" i="7"/>
  <c r="J1951" i="7" s="1"/>
  <c r="L1951" i="7" s="1"/>
  <c r="H1950" i="7"/>
  <c r="J1950" i="7" s="1"/>
  <c r="L1950" i="7" s="1"/>
  <c r="H1949" i="7"/>
  <c r="J1949" i="7" s="1"/>
  <c r="L1949" i="7" s="1"/>
  <c r="H1948" i="7"/>
  <c r="J1948" i="7" s="1"/>
  <c r="L1948" i="7" s="1"/>
  <c r="H1947" i="7"/>
  <c r="J1947" i="7" s="1"/>
  <c r="L1947" i="7" s="1"/>
  <c r="H1946" i="7"/>
  <c r="J1946" i="7" s="1"/>
  <c r="L1946" i="7" s="1"/>
  <c r="H1945" i="7"/>
  <c r="J1945" i="7" s="1"/>
  <c r="L1945" i="7" s="1"/>
  <c r="H1944" i="7"/>
  <c r="J1944" i="7" s="1"/>
  <c r="L1944" i="7" s="1"/>
  <c r="H1943" i="7"/>
  <c r="J1943" i="7" s="1"/>
  <c r="L1943" i="7" s="1"/>
  <c r="H1942" i="7"/>
  <c r="J1942" i="7" s="1"/>
  <c r="L1942" i="7" s="1"/>
  <c r="H1941" i="7"/>
  <c r="J1941" i="7" s="1"/>
  <c r="L1941" i="7" s="1"/>
  <c r="H1940" i="7"/>
  <c r="J1940" i="7" s="1"/>
  <c r="L1940" i="7" s="1"/>
  <c r="H1939" i="7"/>
  <c r="J1939" i="7" s="1"/>
  <c r="L1939" i="7" s="1"/>
  <c r="H1938" i="7"/>
  <c r="J1938" i="7" s="1"/>
  <c r="L1938" i="7" s="1"/>
  <c r="H1937" i="7"/>
  <c r="J1937" i="7" s="1"/>
  <c r="L1937" i="7" s="1"/>
  <c r="H1936" i="7"/>
  <c r="J1936" i="7" s="1"/>
  <c r="L1936" i="7" s="1"/>
  <c r="H1935" i="7"/>
  <c r="J1935" i="7" s="1"/>
  <c r="L1935" i="7" s="1"/>
  <c r="H1934" i="7"/>
  <c r="J1934" i="7" s="1"/>
  <c r="L1934" i="7" s="1"/>
  <c r="H1933" i="7"/>
  <c r="J1933" i="7" s="1"/>
  <c r="L1933" i="7" s="1"/>
  <c r="H1932" i="7"/>
  <c r="J1932" i="7" s="1"/>
  <c r="L1932" i="7" s="1"/>
  <c r="H1931" i="7"/>
  <c r="J1931" i="7" s="1"/>
  <c r="L1931" i="7" s="1"/>
  <c r="H1930" i="7"/>
  <c r="J1930" i="7" s="1"/>
  <c r="L1930" i="7" s="1"/>
  <c r="H1929" i="7"/>
  <c r="J1929" i="7" s="1"/>
  <c r="L1929" i="7" s="1"/>
  <c r="H1928" i="7"/>
  <c r="J1928" i="7" s="1"/>
  <c r="L1928" i="7" s="1"/>
  <c r="H1927" i="7"/>
  <c r="J1927" i="7" s="1"/>
  <c r="L1927" i="7" s="1"/>
  <c r="H1926" i="7"/>
  <c r="J1926" i="7" s="1"/>
  <c r="L1926" i="7" s="1"/>
  <c r="H1925" i="7"/>
  <c r="J1925" i="7" s="1"/>
  <c r="L1925" i="7" s="1"/>
  <c r="H1924" i="7"/>
  <c r="J1924" i="7" s="1"/>
  <c r="L1924" i="7" s="1"/>
  <c r="H1923" i="7"/>
  <c r="J1923" i="7" s="1"/>
  <c r="L1923" i="7" s="1"/>
  <c r="H1922" i="7"/>
  <c r="J1922" i="7" s="1"/>
  <c r="L1922" i="7" s="1"/>
  <c r="H1921" i="7"/>
  <c r="J1921" i="7" s="1"/>
  <c r="L1921" i="7" s="1"/>
  <c r="H1920" i="7"/>
  <c r="J1920" i="7" s="1"/>
  <c r="L1920" i="7" s="1"/>
  <c r="H1919" i="7"/>
  <c r="J1919" i="7" s="1"/>
  <c r="L1919" i="7" s="1"/>
  <c r="H1918" i="7"/>
  <c r="J1918" i="7" s="1"/>
  <c r="L1918" i="7" s="1"/>
  <c r="H1917" i="7"/>
  <c r="J1917" i="7" s="1"/>
  <c r="L1917" i="7" s="1"/>
  <c r="H1916" i="7"/>
  <c r="J1916" i="7" s="1"/>
  <c r="L1916" i="7" s="1"/>
  <c r="H1915" i="7"/>
  <c r="J1915" i="7" s="1"/>
  <c r="L1915" i="7" s="1"/>
  <c r="H1914" i="7"/>
  <c r="J1914" i="7" s="1"/>
  <c r="L1914" i="7" s="1"/>
  <c r="H1913" i="7"/>
  <c r="J1913" i="7" s="1"/>
  <c r="L1913" i="7" s="1"/>
  <c r="H1912" i="7"/>
  <c r="J1912" i="7" s="1"/>
  <c r="L1912" i="7" s="1"/>
  <c r="H1911" i="7"/>
  <c r="J1911" i="7" s="1"/>
  <c r="L1911" i="7" s="1"/>
  <c r="H1910" i="7"/>
  <c r="J1910" i="7" s="1"/>
  <c r="L1910" i="7" s="1"/>
  <c r="H1909" i="7"/>
  <c r="J1909" i="7" s="1"/>
  <c r="L1909" i="7" s="1"/>
  <c r="H1908" i="7"/>
  <c r="J1908" i="7" s="1"/>
  <c r="L1908" i="7" s="1"/>
  <c r="H1907" i="7"/>
  <c r="J1907" i="7" s="1"/>
  <c r="L1907" i="7" s="1"/>
  <c r="H1906" i="7"/>
  <c r="J1906" i="7" s="1"/>
  <c r="L1906" i="7" s="1"/>
  <c r="H1905" i="7"/>
  <c r="J1905" i="7" s="1"/>
  <c r="L1905" i="7" s="1"/>
  <c r="H1904" i="7"/>
  <c r="J1904" i="7" s="1"/>
  <c r="L1904" i="7" s="1"/>
  <c r="H1903" i="7"/>
  <c r="J1903" i="7" s="1"/>
  <c r="L1903" i="7" s="1"/>
  <c r="H1902" i="7"/>
  <c r="J1902" i="7" s="1"/>
  <c r="L1902" i="7" s="1"/>
  <c r="H1901" i="7"/>
  <c r="J1901" i="7" s="1"/>
  <c r="L1901" i="7" s="1"/>
  <c r="H1900" i="7"/>
  <c r="J1900" i="7" s="1"/>
  <c r="L1900" i="7" s="1"/>
  <c r="H1899" i="7"/>
  <c r="J1899" i="7" s="1"/>
  <c r="L1899" i="7" s="1"/>
  <c r="H1898" i="7"/>
  <c r="J1898" i="7" s="1"/>
  <c r="L1898" i="7" s="1"/>
  <c r="H1897" i="7"/>
  <c r="J1897" i="7" s="1"/>
  <c r="L1897" i="7" s="1"/>
  <c r="H1896" i="7"/>
  <c r="J1896" i="7" s="1"/>
  <c r="L1896" i="7" s="1"/>
  <c r="H1895" i="7"/>
  <c r="J1895" i="7" s="1"/>
  <c r="L1895" i="7" s="1"/>
  <c r="H1894" i="7"/>
  <c r="J1894" i="7" s="1"/>
  <c r="L1894" i="7" s="1"/>
  <c r="H1893" i="7"/>
  <c r="J1893" i="7" s="1"/>
  <c r="L1893" i="7" s="1"/>
  <c r="H1892" i="7"/>
  <c r="J1892" i="7" s="1"/>
  <c r="L1892" i="7" s="1"/>
  <c r="H1891" i="7"/>
  <c r="J1891" i="7" s="1"/>
  <c r="L1891" i="7" s="1"/>
  <c r="H1890" i="7"/>
  <c r="J1890" i="7" s="1"/>
  <c r="L1890" i="7" s="1"/>
  <c r="H1889" i="7"/>
  <c r="J1889" i="7" s="1"/>
  <c r="L1889" i="7" s="1"/>
  <c r="H1888" i="7"/>
  <c r="J1888" i="7" s="1"/>
  <c r="L1888" i="7" s="1"/>
  <c r="H1887" i="7"/>
  <c r="J1887" i="7" s="1"/>
  <c r="L1887" i="7" s="1"/>
  <c r="H1886" i="7"/>
  <c r="J1886" i="7" s="1"/>
  <c r="L1886" i="7" s="1"/>
  <c r="H1885" i="7"/>
  <c r="J1885" i="7" s="1"/>
  <c r="L1885" i="7" s="1"/>
  <c r="H1884" i="7"/>
  <c r="J1884" i="7" s="1"/>
  <c r="L1884" i="7" s="1"/>
  <c r="H1883" i="7"/>
  <c r="J1883" i="7" s="1"/>
  <c r="L1883" i="7" s="1"/>
  <c r="H1882" i="7"/>
  <c r="J1882" i="7" s="1"/>
  <c r="L1882" i="7" s="1"/>
  <c r="H1881" i="7"/>
  <c r="J1881" i="7" s="1"/>
  <c r="L1881" i="7" s="1"/>
  <c r="H1880" i="7"/>
  <c r="J1880" i="7" s="1"/>
  <c r="L1880" i="7" s="1"/>
  <c r="H1879" i="7"/>
  <c r="J1879" i="7" s="1"/>
  <c r="L1879" i="7" s="1"/>
  <c r="H1878" i="7"/>
  <c r="J1878" i="7" s="1"/>
  <c r="L1878" i="7" s="1"/>
  <c r="H1877" i="7"/>
  <c r="J1877" i="7" s="1"/>
  <c r="L1877" i="7" s="1"/>
  <c r="H1876" i="7"/>
  <c r="J1876" i="7" s="1"/>
  <c r="L1876" i="7" s="1"/>
  <c r="H1875" i="7"/>
  <c r="J1875" i="7" s="1"/>
  <c r="L1875" i="7" s="1"/>
  <c r="H1874" i="7"/>
  <c r="J1874" i="7" s="1"/>
  <c r="L1874" i="7" s="1"/>
  <c r="H1873" i="7"/>
  <c r="J1873" i="7" s="1"/>
  <c r="L1873" i="7" s="1"/>
  <c r="H1872" i="7"/>
  <c r="J1872" i="7" s="1"/>
  <c r="L1872" i="7" s="1"/>
  <c r="H1871" i="7"/>
  <c r="J1871" i="7" s="1"/>
  <c r="L1871" i="7" s="1"/>
  <c r="H1870" i="7"/>
  <c r="J1870" i="7" s="1"/>
  <c r="L1870" i="7" s="1"/>
  <c r="H1869" i="7"/>
  <c r="J1869" i="7" s="1"/>
  <c r="L1869" i="7" s="1"/>
  <c r="H1868" i="7"/>
  <c r="J1868" i="7" s="1"/>
  <c r="L1868" i="7" s="1"/>
  <c r="H1867" i="7"/>
  <c r="J1867" i="7" s="1"/>
  <c r="L1867" i="7" s="1"/>
  <c r="H1866" i="7"/>
  <c r="J1866" i="7" s="1"/>
  <c r="L1866" i="7" s="1"/>
  <c r="H1865" i="7"/>
  <c r="J1865" i="7" s="1"/>
  <c r="L1865" i="7" s="1"/>
  <c r="H1864" i="7"/>
  <c r="J1864" i="7" s="1"/>
  <c r="L1864" i="7" s="1"/>
  <c r="H1863" i="7"/>
  <c r="J1863" i="7" s="1"/>
  <c r="L1863" i="7" s="1"/>
  <c r="H1862" i="7"/>
  <c r="J1862" i="7" s="1"/>
  <c r="L1862" i="7" s="1"/>
  <c r="H1861" i="7"/>
  <c r="J1861" i="7" s="1"/>
  <c r="L1861" i="7" s="1"/>
  <c r="H1860" i="7"/>
  <c r="J1860" i="7" s="1"/>
  <c r="L1860" i="7" s="1"/>
  <c r="H1859" i="7"/>
  <c r="J1859" i="7" s="1"/>
  <c r="L1859" i="7" s="1"/>
  <c r="H1858" i="7"/>
  <c r="J1858" i="7" s="1"/>
  <c r="L1858" i="7" s="1"/>
  <c r="H1857" i="7"/>
  <c r="J1857" i="7" s="1"/>
  <c r="L1857" i="7" s="1"/>
  <c r="H1856" i="7"/>
  <c r="J1856" i="7" s="1"/>
  <c r="L1856" i="7" s="1"/>
  <c r="H1855" i="7"/>
  <c r="J1855" i="7" s="1"/>
  <c r="L1855" i="7" s="1"/>
  <c r="H1854" i="7"/>
  <c r="J1854" i="7" s="1"/>
  <c r="L1854" i="7" s="1"/>
  <c r="H1853" i="7"/>
  <c r="J1853" i="7" s="1"/>
  <c r="L1853" i="7" s="1"/>
  <c r="H1852" i="7"/>
  <c r="J1852" i="7" s="1"/>
  <c r="L1852" i="7" s="1"/>
  <c r="H1851" i="7"/>
  <c r="J1851" i="7" s="1"/>
  <c r="L1851" i="7" s="1"/>
  <c r="H1850" i="7"/>
  <c r="J1850" i="7" s="1"/>
  <c r="L1850" i="7" s="1"/>
  <c r="H1849" i="7"/>
  <c r="J1849" i="7" s="1"/>
  <c r="L1849" i="7" s="1"/>
  <c r="H1848" i="7"/>
  <c r="J1848" i="7" s="1"/>
  <c r="L1848" i="7" s="1"/>
  <c r="H1847" i="7"/>
  <c r="J1847" i="7" s="1"/>
  <c r="L1847" i="7" s="1"/>
  <c r="H1846" i="7"/>
  <c r="J1846" i="7" s="1"/>
  <c r="L1846" i="7" s="1"/>
  <c r="H1845" i="7"/>
  <c r="J1845" i="7" s="1"/>
  <c r="L1845" i="7" s="1"/>
  <c r="H1844" i="7"/>
  <c r="J1844" i="7" s="1"/>
  <c r="L1844" i="7" s="1"/>
  <c r="H1843" i="7"/>
  <c r="J1843" i="7" s="1"/>
  <c r="L1843" i="7" s="1"/>
  <c r="H1842" i="7"/>
  <c r="J1842" i="7" s="1"/>
  <c r="L1842" i="7" s="1"/>
  <c r="H1841" i="7"/>
  <c r="J1841" i="7" s="1"/>
  <c r="L1841" i="7" s="1"/>
  <c r="H1840" i="7"/>
  <c r="J1840" i="7" s="1"/>
  <c r="L1840" i="7" s="1"/>
  <c r="H1839" i="7"/>
  <c r="J1839" i="7" s="1"/>
  <c r="L1839" i="7" s="1"/>
  <c r="H1838" i="7"/>
  <c r="J1838" i="7" s="1"/>
  <c r="L1838" i="7" s="1"/>
  <c r="H1837" i="7"/>
  <c r="J1837" i="7" s="1"/>
  <c r="L1837" i="7" s="1"/>
  <c r="H1836" i="7"/>
  <c r="J1836" i="7" s="1"/>
  <c r="L1836" i="7" s="1"/>
  <c r="H1835" i="7"/>
  <c r="J1835" i="7" s="1"/>
  <c r="L1835" i="7" s="1"/>
  <c r="H1834" i="7"/>
  <c r="J1834" i="7" s="1"/>
  <c r="L1834" i="7" s="1"/>
  <c r="H1833" i="7"/>
  <c r="J1833" i="7" s="1"/>
  <c r="L1833" i="7" s="1"/>
  <c r="H1832" i="7"/>
  <c r="J1832" i="7" s="1"/>
  <c r="L1832" i="7" s="1"/>
  <c r="H1831" i="7"/>
  <c r="J1831" i="7" s="1"/>
  <c r="L1831" i="7" s="1"/>
  <c r="H1830" i="7"/>
  <c r="J1830" i="7" s="1"/>
  <c r="L1830" i="7" s="1"/>
  <c r="H1829" i="7"/>
  <c r="J1829" i="7" s="1"/>
  <c r="L1829" i="7" s="1"/>
  <c r="H1828" i="7"/>
  <c r="J1828" i="7" s="1"/>
  <c r="L1828" i="7" s="1"/>
  <c r="H1827" i="7"/>
  <c r="J1827" i="7" s="1"/>
  <c r="L1827" i="7" s="1"/>
  <c r="H1826" i="7"/>
  <c r="J1826" i="7" s="1"/>
  <c r="L1826" i="7" s="1"/>
  <c r="H1825" i="7"/>
  <c r="J1825" i="7" s="1"/>
  <c r="L1825" i="7" s="1"/>
  <c r="H1824" i="7"/>
  <c r="J1824" i="7" s="1"/>
  <c r="L1824" i="7" s="1"/>
  <c r="H1823" i="7"/>
  <c r="J1823" i="7" s="1"/>
  <c r="L1823" i="7" s="1"/>
  <c r="H1822" i="7"/>
  <c r="J1822" i="7" s="1"/>
  <c r="L1822" i="7" s="1"/>
  <c r="H1821" i="7"/>
  <c r="J1821" i="7" s="1"/>
  <c r="L1821" i="7" s="1"/>
  <c r="H1820" i="7"/>
  <c r="J1820" i="7" s="1"/>
  <c r="L1820" i="7" s="1"/>
  <c r="H1819" i="7"/>
  <c r="J1819" i="7" s="1"/>
  <c r="L1819" i="7" s="1"/>
  <c r="H1818" i="7"/>
  <c r="J1818" i="7" s="1"/>
  <c r="L1818" i="7" s="1"/>
  <c r="H1817" i="7"/>
  <c r="J1817" i="7" s="1"/>
  <c r="L1817" i="7" s="1"/>
  <c r="H1816" i="7"/>
  <c r="J1816" i="7" s="1"/>
  <c r="L1816" i="7" s="1"/>
  <c r="H1815" i="7"/>
  <c r="J1815" i="7" s="1"/>
  <c r="L1815" i="7" s="1"/>
  <c r="H1814" i="7"/>
  <c r="J1814" i="7" s="1"/>
  <c r="L1814" i="7" s="1"/>
  <c r="H1813" i="7"/>
  <c r="J1813" i="7" s="1"/>
  <c r="L1813" i="7" s="1"/>
  <c r="H1812" i="7"/>
  <c r="J1812" i="7" s="1"/>
  <c r="L1812" i="7" s="1"/>
  <c r="H1811" i="7"/>
  <c r="J1811" i="7" s="1"/>
  <c r="L1811" i="7" s="1"/>
  <c r="H1810" i="7"/>
  <c r="J1810" i="7" s="1"/>
  <c r="L1810" i="7" s="1"/>
  <c r="H1809" i="7"/>
  <c r="J1809" i="7" s="1"/>
  <c r="L1809" i="7" s="1"/>
  <c r="H1808" i="7"/>
  <c r="J1808" i="7" s="1"/>
  <c r="L1808" i="7" s="1"/>
  <c r="H1807" i="7"/>
  <c r="J1807" i="7" s="1"/>
  <c r="L1807" i="7" s="1"/>
  <c r="H1806" i="7"/>
  <c r="J1806" i="7" s="1"/>
  <c r="L1806" i="7" s="1"/>
  <c r="H1805" i="7"/>
  <c r="J1805" i="7" s="1"/>
  <c r="L1805" i="7" s="1"/>
  <c r="H1804" i="7"/>
  <c r="J1804" i="7" s="1"/>
  <c r="L1804" i="7" s="1"/>
  <c r="H1803" i="7"/>
  <c r="J1803" i="7" s="1"/>
  <c r="L1803" i="7" s="1"/>
  <c r="H1802" i="7"/>
  <c r="J1802" i="7" s="1"/>
  <c r="L1802" i="7" s="1"/>
  <c r="H1801" i="7"/>
  <c r="J1801" i="7" s="1"/>
  <c r="L1801" i="7" s="1"/>
  <c r="H1800" i="7"/>
  <c r="J1800" i="7" s="1"/>
  <c r="L1800" i="7" s="1"/>
  <c r="H1799" i="7"/>
  <c r="J1799" i="7" s="1"/>
  <c r="L1799" i="7" s="1"/>
  <c r="H1798" i="7"/>
  <c r="J1798" i="7" s="1"/>
  <c r="L1798" i="7" s="1"/>
  <c r="H1797" i="7"/>
  <c r="J1797" i="7" s="1"/>
  <c r="L1797" i="7" s="1"/>
  <c r="H1796" i="7"/>
  <c r="J1796" i="7" s="1"/>
  <c r="L1796" i="7" s="1"/>
  <c r="H1795" i="7"/>
  <c r="J1795" i="7" s="1"/>
  <c r="L1795" i="7" s="1"/>
  <c r="H1794" i="7"/>
  <c r="J1794" i="7" s="1"/>
  <c r="L1794" i="7" s="1"/>
  <c r="H1793" i="7"/>
  <c r="J1793" i="7" s="1"/>
  <c r="L1793" i="7" s="1"/>
  <c r="H1792" i="7"/>
  <c r="J1792" i="7" s="1"/>
  <c r="L1792" i="7" s="1"/>
  <c r="H1791" i="7"/>
  <c r="J1791" i="7" s="1"/>
  <c r="L1791" i="7" s="1"/>
  <c r="H1790" i="7"/>
  <c r="J1790" i="7" s="1"/>
  <c r="L1790" i="7" s="1"/>
  <c r="H1789" i="7"/>
  <c r="J1789" i="7" s="1"/>
  <c r="L1789" i="7" s="1"/>
  <c r="H1788" i="7"/>
  <c r="J1788" i="7" s="1"/>
  <c r="L1788" i="7" s="1"/>
  <c r="H1787" i="7"/>
  <c r="J1787" i="7" s="1"/>
  <c r="L1787" i="7" s="1"/>
  <c r="H1786" i="7"/>
  <c r="J1786" i="7" s="1"/>
  <c r="L1786" i="7" s="1"/>
  <c r="H1785" i="7"/>
  <c r="J1785" i="7" s="1"/>
  <c r="L1785" i="7" s="1"/>
  <c r="H1784" i="7"/>
  <c r="J1784" i="7" s="1"/>
  <c r="L1784" i="7" s="1"/>
  <c r="H1783" i="7"/>
  <c r="J1783" i="7" s="1"/>
  <c r="L1783" i="7" s="1"/>
  <c r="H1782" i="7"/>
  <c r="J1782" i="7" s="1"/>
  <c r="L1782" i="7" s="1"/>
  <c r="H1781" i="7"/>
  <c r="J1781" i="7" s="1"/>
  <c r="L1781" i="7" s="1"/>
  <c r="H1780" i="7"/>
  <c r="J1780" i="7" s="1"/>
  <c r="L1780" i="7" s="1"/>
  <c r="H1779" i="7"/>
  <c r="J1779" i="7" s="1"/>
  <c r="L1779" i="7" s="1"/>
  <c r="H1778" i="7"/>
  <c r="J1778" i="7" s="1"/>
  <c r="L1778" i="7" s="1"/>
  <c r="H1777" i="7"/>
  <c r="J1777" i="7" s="1"/>
  <c r="L1777" i="7" s="1"/>
  <c r="H1776" i="7"/>
  <c r="J1776" i="7" s="1"/>
  <c r="L1776" i="7" s="1"/>
  <c r="H1775" i="7"/>
  <c r="J1775" i="7" s="1"/>
  <c r="L1775" i="7" s="1"/>
  <c r="H1774" i="7"/>
  <c r="J1774" i="7" s="1"/>
  <c r="L1774" i="7" s="1"/>
  <c r="H1773" i="7"/>
  <c r="J1773" i="7" s="1"/>
  <c r="L1773" i="7" s="1"/>
  <c r="H1772" i="7"/>
  <c r="J1772" i="7" s="1"/>
  <c r="L1772" i="7" s="1"/>
  <c r="H1771" i="7"/>
  <c r="J1771" i="7" s="1"/>
  <c r="L1771" i="7" s="1"/>
  <c r="H1770" i="7"/>
  <c r="J1770" i="7" s="1"/>
  <c r="L1770" i="7" s="1"/>
  <c r="H1769" i="7"/>
  <c r="J1769" i="7" s="1"/>
  <c r="L1769" i="7" s="1"/>
  <c r="H1768" i="7"/>
  <c r="J1768" i="7" s="1"/>
  <c r="L1768" i="7" s="1"/>
  <c r="H1767" i="7"/>
  <c r="J1767" i="7" s="1"/>
  <c r="L1767" i="7" s="1"/>
  <c r="H1766" i="7"/>
  <c r="J1766" i="7" s="1"/>
  <c r="L1766" i="7" s="1"/>
  <c r="H1765" i="7"/>
  <c r="J1765" i="7" s="1"/>
  <c r="L1765" i="7" s="1"/>
  <c r="H1764" i="7"/>
  <c r="J1764" i="7" s="1"/>
  <c r="L1764" i="7" s="1"/>
  <c r="H1763" i="7"/>
  <c r="J1763" i="7" s="1"/>
  <c r="L1763" i="7" s="1"/>
  <c r="H1762" i="7"/>
  <c r="J1762" i="7" s="1"/>
  <c r="L1762" i="7" s="1"/>
  <c r="H1761" i="7"/>
  <c r="J1761" i="7" s="1"/>
  <c r="L1761" i="7" s="1"/>
  <c r="H1760" i="7"/>
  <c r="J1760" i="7" s="1"/>
  <c r="L1760" i="7" s="1"/>
  <c r="H1759" i="7"/>
  <c r="J1759" i="7" s="1"/>
  <c r="L1759" i="7" s="1"/>
  <c r="H1758" i="7"/>
  <c r="J1758" i="7" s="1"/>
  <c r="L1758" i="7" s="1"/>
  <c r="H1757" i="7"/>
  <c r="J1757" i="7" s="1"/>
  <c r="L1757" i="7" s="1"/>
  <c r="H1756" i="7"/>
  <c r="J1756" i="7" s="1"/>
  <c r="L1756" i="7" s="1"/>
  <c r="H1755" i="7"/>
  <c r="J1755" i="7" s="1"/>
  <c r="L1755" i="7" s="1"/>
  <c r="H1754" i="7"/>
  <c r="J1754" i="7" s="1"/>
  <c r="L1754" i="7" s="1"/>
  <c r="H1753" i="7"/>
  <c r="J1753" i="7" s="1"/>
  <c r="L1753" i="7" s="1"/>
  <c r="H1752" i="7"/>
  <c r="J1752" i="7" s="1"/>
  <c r="L1752" i="7" s="1"/>
  <c r="H1751" i="7"/>
  <c r="J1751" i="7" s="1"/>
  <c r="L1751" i="7" s="1"/>
  <c r="H1750" i="7"/>
  <c r="J1750" i="7" s="1"/>
  <c r="L1750" i="7" s="1"/>
  <c r="H1749" i="7"/>
  <c r="J1749" i="7" s="1"/>
  <c r="L1749" i="7" s="1"/>
  <c r="H1748" i="7"/>
  <c r="J1748" i="7" s="1"/>
  <c r="L1748" i="7" s="1"/>
  <c r="H1747" i="7"/>
  <c r="J1747" i="7" s="1"/>
  <c r="L1747" i="7" s="1"/>
  <c r="H1746" i="7"/>
  <c r="J1746" i="7" s="1"/>
  <c r="L1746" i="7" s="1"/>
  <c r="H1745" i="7"/>
  <c r="J1745" i="7" s="1"/>
  <c r="L1745" i="7" s="1"/>
  <c r="H1744" i="7"/>
  <c r="J1744" i="7" s="1"/>
  <c r="L1744" i="7" s="1"/>
  <c r="H1743" i="7"/>
  <c r="J1743" i="7" s="1"/>
  <c r="L1743" i="7" s="1"/>
  <c r="H1742" i="7"/>
  <c r="J1742" i="7" s="1"/>
  <c r="L1742" i="7" s="1"/>
  <c r="H1741" i="7"/>
  <c r="J1741" i="7" s="1"/>
  <c r="L1741" i="7" s="1"/>
  <c r="H1740" i="7"/>
  <c r="J1740" i="7" s="1"/>
  <c r="L1740" i="7" s="1"/>
  <c r="H1739" i="7"/>
  <c r="J1739" i="7" s="1"/>
  <c r="L1739" i="7" s="1"/>
  <c r="H1738" i="7"/>
  <c r="J1738" i="7" s="1"/>
  <c r="L1738" i="7" s="1"/>
  <c r="H1737" i="7"/>
  <c r="J1737" i="7" s="1"/>
  <c r="L1737" i="7" s="1"/>
  <c r="H1736" i="7"/>
  <c r="J1736" i="7" s="1"/>
  <c r="L1736" i="7" s="1"/>
  <c r="H1735" i="7"/>
  <c r="J1735" i="7" s="1"/>
  <c r="L1735" i="7" s="1"/>
  <c r="H1734" i="7"/>
  <c r="J1734" i="7" s="1"/>
  <c r="L1734" i="7" s="1"/>
  <c r="H1733" i="7"/>
  <c r="J1733" i="7" s="1"/>
  <c r="L1733" i="7" s="1"/>
  <c r="H1732" i="7"/>
  <c r="J1732" i="7" s="1"/>
  <c r="L1732" i="7" s="1"/>
  <c r="H1731" i="7"/>
  <c r="J1731" i="7" s="1"/>
  <c r="L1731" i="7" s="1"/>
  <c r="H1730" i="7"/>
  <c r="J1730" i="7" s="1"/>
  <c r="L1730" i="7" s="1"/>
  <c r="H1729" i="7"/>
  <c r="J1729" i="7" s="1"/>
  <c r="L1729" i="7" s="1"/>
  <c r="H1728" i="7"/>
  <c r="J1728" i="7" s="1"/>
  <c r="L1728" i="7" s="1"/>
  <c r="H1727" i="7"/>
  <c r="J1727" i="7" s="1"/>
  <c r="L1727" i="7" s="1"/>
  <c r="H1726" i="7"/>
  <c r="J1726" i="7" s="1"/>
  <c r="L1726" i="7" s="1"/>
  <c r="H1725" i="7"/>
  <c r="J1725" i="7" s="1"/>
  <c r="L1725" i="7" s="1"/>
  <c r="H1724" i="7"/>
  <c r="J1724" i="7" s="1"/>
  <c r="L1724" i="7" s="1"/>
  <c r="H1723" i="7"/>
  <c r="J1723" i="7" s="1"/>
  <c r="L1723" i="7" s="1"/>
  <c r="H1722" i="7"/>
  <c r="J1722" i="7" s="1"/>
  <c r="L1722" i="7" s="1"/>
  <c r="H1721" i="7"/>
  <c r="J1721" i="7" s="1"/>
  <c r="L1721" i="7" s="1"/>
  <c r="H1720" i="7"/>
  <c r="J1720" i="7" s="1"/>
  <c r="L1720" i="7" s="1"/>
  <c r="H1719" i="7"/>
  <c r="J1719" i="7" s="1"/>
  <c r="L1719" i="7" s="1"/>
  <c r="H1718" i="7"/>
  <c r="J1718" i="7" s="1"/>
  <c r="L1718" i="7" s="1"/>
  <c r="H1717" i="7"/>
  <c r="J1717" i="7" s="1"/>
  <c r="L1717" i="7" s="1"/>
  <c r="H1716" i="7"/>
  <c r="J1716" i="7" s="1"/>
  <c r="L1716" i="7" s="1"/>
  <c r="H1715" i="7"/>
  <c r="J1715" i="7" s="1"/>
  <c r="L1715" i="7" s="1"/>
  <c r="H1714" i="7"/>
  <c r="J1714" i="7" s="1"/>
  <c r="L1714" i="7" s="1"/>
  <c r="H1713" i="7"/>
  <c r="J1713" i="7" s="1"/>
  <c r="L1713" i="7" s="1"/>
  <c r="H1712" i="7"/>
  <c r="J1712" i="7" s="1"/>
  <c r="L1712" i="7" s="1"/>
  <c r="H1711" i="7"/>
  <c r="J1711" i="7" s="1"/>
  <c r="L1711" i="7" s="1"/>
  <c r="H1710" i="7"/>
  <c r="J1710" i="7" s="1"/>
  <c r="L1710" i="7" s="1"/>
  <c r="H1709" i="7"/>
  <c r="J1709" i="7" s="1"/>
  <c r="L1709" i="7" s="1"/>
  <c r="H1708" i="7"/>
  <c r="J1708" i="7" s="1"/>
  <c r="L1708" i="7" s="1"/>
  <c r="H1707" i="7"/>
  <c r="J1707" i="7" s="1"/>
  <c r="L1707" i="7" s="1"/>
  <c r="H1706" i="7"/>
  <c r="J1706" i="7" s="1"/>
  <c r="L1706" i="7" s="1"/>
  <c r="H1705" i="7"/>
  <c r="J1705" i="7" s="1"/>
  <c r="L1705" i="7" s="1"/>
  <c r="H1704" i="7"/>
  <c r="J1704" i="7" s="1"/>
  <c r="L1704" i="7" s="1"/>
  <c r="H1703" i="7"/>
  <c r="J1703" i="7" s="1"/>
  <c r="L1703" i="7" s="1"/>
  <c r="H1702" i="7"/>
  <c r="J1702" i="7" s="1"/>
  <c r="L1702" i="7" s="1"/>
  <c r="H1701" i="7"/>
  <c r="J1701" i="7" s="1"/>
  <c r="L1701" i="7" s="1"/>
  <c r="H1700" i="7"/>
  <c r="J1700" i="7" s="1"/>
  <c r="L1700" i="7" s="1"/>
  <c r="H1699" i="7"/>
  <c r="J1699" i="7" s="1"/>
  <c r="L1699" i="7" s="1"/>
  <c r="H1698" i="7"/>
  <c r="J1698" i="7" s="1"/>
  <c r="L1698" i="7" s="1"/>
  <c r="H1697" i="7"/>
  <c r="J1697" i="7" s="1"/>
  <c r="L1697" i="7" s="1"/>
  <c r="H1696" i="7"/>
  <c r="J1696" i="7" s="1"/>
  <c r="L1696" i="7" s="1"/>
  <c r="H1695" i="7"/>
  <c r="J1695" i="7" s="1"/>
  <c r="L1695" i="7" s="1"/>
  <c r="H1694" i="7"/>
  <c r="J1694" i="7" s="1"/>
  <c r="L1694" i="7" s="1"/>
  <c r="H1693" i="7"/>
  <c r="J1693" i="7" s="1"/>
  <c r="L1693" i="7" s="1"/>
  <c r="H1692" i="7"/>
  <c r="J1692" i="7" s="1"/>
  <c r="L1692" i="7" s="1"/>
  <c r="H1691" i="7"/>
  <c r="J1691" i="7" s="1"/>
  <c r="L1691" i="7" s="1"/>
  <c r="H1690" i="7"/>
  <c r="J1690" i="7" s="1"/>
  <c r="L1690" i="7" s="1"/>
  <c r="H1689" i="7"/>
  <c r="J1689" i="7" s="1"/>
  <c r="L1689" i="7" s="1"/>
  <c r="H1688" i="7"/>
  <c r="J1688" i="7" s="1"/>
  <c r="L1688" i="7" s="1"/>
  <c r="H1687" i="7"/>
  <c r="J1687" i="7" s="1"/>
  <c r="L1687" i="7" s="1"/>
  <c r="H1686" i="7"/>
  <c r="J1686" i="7" s="1"/>
  <c r="L1686" i="7" s="1"/>
  <c r="H1685" i="7"/>
  <c r="J1685" i="7" s="1"/>
  <c r="L1685" i="7" s="1"/>
  <c r="H1684" i="7"/>
  <c r="J1684" i="7" s="1"/>
  <c r="L1684" i="7" s="1"/>
  <c r="H1683" i="7"/>
  <c r="J1683" i="7" s="1"/>
  <c r="L1683" i="7" s="1"/>
  <c r="H1682" i="7"/>
  <c r="J1682" i="7" s="1"/>
  <c r="L1682" i="7" s="1"/>
  <c r="H1681" i="7"/>
  <c r="J1681" i="7" s="1"/>
  <c r="L1681" i="7" s="1"/>
  <c r="H1680" i="7"/>
  <c r="J1680" i="7" s="1"/>
  <c r="L1680" i="7" s="1"/>
  <c r="H1679" i="7"/>
  <c r="J1679" i="7" s="1"/>
  <c r="L1679" i="7" s="1"/>
  <c r="H1678" i="7"/>
  <c r="J1678" i="7" s="1"/>
  <c r="L1678" i="7" s="1"/>
  <c r="H1677" i="7"/>
  <c r="J1677" i="7" s="1"/>
  <c r="L1677" i="7" s="1"/>
  <c r="H1676" i="7"/>
  <c r="J1676" i="7" s="1"/>
  <c r="L1676" i="7" s="1"/>
  <c r="H1675" i="7"/>
  <c r="J1675" i="7" s="1"/>
  <c r="L1675" i="7" s="1"/>
  <c r="H1674" i="7"/>
  <c r="J1674" i="7" s="1"/>
  <c r="L1674" i="7" s="1"/>
  <c r="H1673" i="7"/>
  <c r="J1673" i="7" s="1"/>
  <c r="L1673" i="7" s="1"/>
  <c r="H1672" i="7"/>
  <c r="J1672" i="7" s="1"/>
  <c r="L1672" i="7" s="1"/>
  <c r="H1671" i="7"/>
  <c r="J1671" i="7" s="1"/>
  <c r="L1671" i="7" s="1"/>
  <c r="H1670" i="7"/>
  <c r="J1670" i="7" s="1"/>
  <c r="L1670" i="7" s="1"/>
  <c r="H1669" i="7"/>
  <c r="J1669" i="7" s="1"/>
  <c r="L1669" i="7" s="1"/>
  <c r="H1668" i="7"/>
  <c r="J1668" i="7" s="1"/>
  <c r="L1668" i="7" s="1"/>
  <c r="H1667" i="7"/>
  <c r="J1667" i="7" s="1"/>
  <c r="L1667" i="7" s="1"/>
  <c r="H1666" i="7"/>
  <c r="J1666" i="7" s="1"/>
  <c r="L1666" i="7" s="1"/>
  <c r="H1665" i="7"/>
  <c r="J1665" i="7" s="1"/>
  <c r="L1665" i="7" s="1"/>
  <c r="H1664" i="7"/>
  <c r="J1664" i="7" s="1"/>
  <c r="L1664" i="7" s="1"/>
  <c r="H1663" i="7"/>
  <c r="J1663" i="7" s="1"/>
  <c r="L1663" i="7" s="1"/>
  <c r="H1662" i="7"/>
  <c r="J1662" i="7" s="1"/>
  <c r="L1662" i="7" s="1"/>
  <c r="H1661" i="7"/>
  <c r="J1661" i="7" s="1"/>
  <c r="L1661" i="7" s="1"/>
  <c r="H1660" i="7"/>
  <c r="J1660" i="7" s="1"/>
  <c r="L1660" i="7" s="1"/>
  <c r="H1659" i="7"/>
  <c r="J1659" i="7" s="1"/>
  <c r="L1659" i="7" s="1"/>
  <c r="H1658" i="7"/>
  <c r="J1658" i="7" s="1"/>
  <c r="L1658" i="7" s="1"/>
  <c r="H1657" i="7"/>
  <c r="J1657" i="7" s="1"/>
  <c r="L1657" i="7" s="1"/>
  <c r="H1656" i="7"/>
  <c r="J1656" i="7" s="1"/>
  <c r="L1656" i="7" s="1"/>
  <c r="H1655" i="7"/>
  <c r="J1655" i="7" s="1"/>
  <c r="L1655" i="7" s="1"/>
  <c r="H1654" i="7"/>
  <c r="J1654" i="7" s="1"/>
  <c r="L1654" i="7" s="1"/>
  <c r="H1653" i="7"/>
  <c r="J1653" i="7" s="1"/>
  <c r="L1653" i="7" s="1"/>
  <c r="H1652" i="7"/>
  <c r="J1652" i="7" s="1"/>
  <c r="L1652" i="7" s="1"/>
  <c r="H1651" i="7"/>
  <c r="J1651" i="7" s="1"/>
  <c r="L1651" i="7" s="1"/>
  <c r="H1650" i="7"/>
  <c r="J1650" i="7" s="1"/>
  <c r="L1650" i="7" s="1"/>
  <c r="H1649" i="7"/>
  <c r="J1649" i="7" s="1"/>
  <c r="L1649" i="7" s="1"/>
  <c r="H1648" i="7"/>
  <c r="J1648" i="7" s="1"/>
  <c r="L1648" i="7" s="1"/>
  <c r="H1647" i="7"/>
  <c r="J1647" i="7" s="1"/>
  <c r="L1647" i="7" s="1"/>
  <c r="H1646" i="7"/>
  <c r="J1646" i="7" s="1"/>
  <c r="L1646" i="7" s="1"/>
  <c r="H1645" i="7"/>
  <c r="J1645" i="7" s="1"/>
  <c r="L1645" i="7" s="1"/>
  <c r="H1644" i="7"/>
  <c r="J1644" i="7" s="1"/>
  <c r="L1644" i="7" s="1"/>
  <c r="H1643" i="7"/>
  <c r="J1643" i="7" s="1"/>
  <c r="L1643" i="7" s="1"/>
  <c r="H1642" i="7"/>
  <c r="J1642" i="7" s="1"/>
  <c r="L1642" i="7" s="1"/>
  <c r="H1641" i="7"/>
  <c r="J1641" i="7" s="1"/>
  <c r="L1641" i="7" s="1"/>
  <c r="H1640" i="7"/>
  <c r="J1640" i="7" s="1"/>
  <c r="L1640" i="7" s="1"/>
  <c r="H1639" i="7"/>
  <c r="J1639" i="7" s="1"/>
  <c r="L1639" i="7" s="1"/>
  <c r="H1638" i="7"/>
  <c r="J1638" i="7" s="1"/>
  <c r="L1638" i="7" s="1"/>
  <c r="H1637" i="7"/>
  <c r="J1637" i="7" s="1"/>
  <c r="L1637" i="7" s="1"/>
  <c r="H1636" i="7"/>
  <c r="J1636" i="7" s="1"/>
  <c r="L1636" i="7" s="1"/>
  <c r="H1635" i="7"/>
  <c r="J1635" i="7" s="1"/>
  <c r="L1635" i="7" s="1"/>
  <c r="H1634" i="7"/>
  <c r="J1634" i="7" s="1"/>
  <c r="L1634" i="7" s="1"/>
  <c r="H1633" i="7"/>
  <c r="J1633" i="7" s="1"/>
  <c r="L1633" i="7" s="1"/>
  <c r="H1632" i="7"/>
  <c r="J1632" i="7" s="1"/>
  <c r="L1632" i="7" s="1"/>
  <c r="H1631" i="7"/>
  <c r="J1631" i="7" s="1"/>
  <c r="L1631" i="7" s="1"/>
  <c r="H1630" i="7"/>
  <c r="J1630" i="7" s="1"/>
  <c r="L1630" i="7" s="1"/>
  <c r="H1629" i="7"/>
  <c r="J1629" i="7" s="1"/>
  <c r="L1629" i="7" s="1"/>
  <c r="H1628" i="7"/>
  <c r="J1628" i="7" s="1"/>
  <c r="L1628" i="7" s="1"/>
  <c r="H1627" i="7"/>
  <c r="J1627" i="7" s="1"/>
  <c r="L1627" i="7" s="1"/>
  <c r="H1626" i="7"/>
  <c r="J1626" i="7" s="1"/>
  <c r="L1626" i="7" s="1"/>
  <c r="H1625" i="7"/>
  <c r="J1625" i="7" s="1"/>
  <c r="L1625" i="7" s="1"/>
  <c r="H1624" i="7"/>
  <c r="J1624" i="7" s="1"/>
  <c r="L1624" i="7" s="1"/>
  <c r="H1623" i="7"/>
  <c r="J1623" i="7" s="1"/>
  <c r="L1623" i="7" s="1"/>
  <c r="H1622" i="7"/>
  <c r="J1622" i="7" s="1"/>
  <c r="L1622" i="7" s="1"/>
  <c r="H1621" i="7"/>
  <c r="J1621" i="7" s="1"/>
  <c r="L1621" i="7" s="1"/>
  <c r="H1620" i="7"/>
  <c r="J1620" i="7" s="1"/>
  <c r="L1620" i="7" s="1"/>
  <c r="H1619" i="7"/>
  <c r="J1619" i="7" s="1"/>
  <c r="L1619" i="7" s="1"/>
  <c r="H1618" i="7"/>
  <c r="J1618" i="7" s="1"/>
  <c r="L1618" i="7" s="1"/>
  <c r="H1617" i="7"/>
  <c r="J1617" i="7" s="1"/>
  <c r="L1617" i="7" s="1"/>
  <c r="H1616" i="7"/>
  <c r="J1616" i="7" s="1"/>
  <c r="L1616" i="7" s="1"/>
  <c r="H1615" i="7"/>
  <c r="J1615" i="7" s="1"/>
  <c r="L1615" i="7" s="1"/>
  <c r="H1614" i="7"/>
  <c r="J1614" i="7" s="1"/>
  <c r="L1614" i="7" s="1"/>
  <c r="H1613" i="7"/>
  <c r="J1613" i="7" s="1"/>
  <c r="L1613" i="7" s="1"/>
  <c r="H1612" i="7"/>
  <c r="J1612" i="7" s="1"/>
  <c r="L1612" i="7" s="1"/>
  <c r="H1611" i="7"/>
  <c r="J1611" i="7" s="1"/>
  <c r="L1611" i="7" s="1"/>
  <c r="H1610" i="7"/>
  <c r="J1610" i="7" s="1"/>
  <c r="L1610" i="7" s="1"/>
  <c r="H1609" i="7"/>
  <c r="J1609" i="7" s="1"/>
  <c r="L1609" i="7" s="1"/>
  <c r="H1608" i="7"/>
  <c r="J1608" i="7" s="1"/>
  <c r="L1608" i="7" s="1"/>
  <c r="H1607" i="7"/>
  <c r="J1607" i="7" s="1"/>
  <c r="L1607" i="7" s="1"/>
  <c r="H1606" i="7"/>
  <c r="J1606" i="7" s="1"/>
  <c r="L1606" i="7" s="1"/>
  <c r="H1605" i="7"/>
  <c r="J1605" i="7" s="1"/>
  <c r="L1605" i="7" s="1"/>
  <c r="H1604" i="7"/>
  <c r="J1604" i="7" s="1"/>
  <c r="L1604" i="7" s="1"/>
  <c r="H1603" i="7"/>
  <c r="J1603" i="7" s="1"/>
  <c r="L1603" i="7" s="1"/>
  <c r="H1602" i="7"/>
  <c r="J1602" i="7" s="1"/>
  <c r="L1602" i="7" s="1"/>
  <c r="H1601" i="7"/>
  <c r="J1601" i="7" s="1"/>
  <c r="L1601" i="7" s="1"/>
  <c r="H1600" i="7"/>
  <c r="J1600" i="7" s="1"/>
  <c r="L1600" i="7" s="1"/>
  <c r="H1599" i="7"/>
  <c r="J1599" i="7" s="1"/>
  <c r="L1599" i="7" s="1"/>
  <c r="H1598" i="7"/>
  <c r="J1598" i="7" s="1"/>
  <c r="L1598" i="7" s="1"/>
  <c r="H1597" i="7"/>
  <c r="J1597" i="7" s="1"/>
  <c r="L1597" i="7" s="1"/>
  <c r="H1596" i="7"/>
  <c r="J1596" i="7" s="1"/>
  <c r="L1596" i="7" s="1"/>
  <c r="H1595" i="7"/>
  <c r="J1595" i="7" s="1"/>
  <c r="L1595" i="7" s="1"/>
  <c r="H1594" i="7"/>
  <c r="J1594" i="7" s="1"/>
  <c r="L1594" i="7" s="1"/>
  <c r="H1593" i="7"/>
  <c r="J1593" i="7" s="1"/>
  <c r="L1593" i="7" s="1"/>
  <c r="H1592" i="7"/>
  <c r="J1592" i="7" s="1"/>
  <c r="L1592" i="7" s="1"/>
  <c r="H1591" i="7"/>
  <c r="J1591" i="7" s="1"/>
  <c r="L1591" i="7" s="1"/>
  <c r="H1590" i="7"/>
  <c r="J1590" i="7" s="1"/>
  <c r="L1590" i="7" s="1"/>
  <c r="H1589" i="7"/>
  <c r="J1589" i="7" s="1"/>
  <c r="L1589" i="7" s="1"/>
  <c r="H1588" i="7"/>
  <c r="J1588" i="7" s="1"/>
  <c r="L1588" i="7" s="1"/>
  <c r="H1587" i="7"/>
  <c r="J1587" i="7" s="1"/>
  <c r="L1587" i="7" s="1"/>
  <c r="H1586" i="7"/>
  <c r="J1586" i="7" s="1"/>
  <c r="L1586" i="7" s="1"/>
  <c r="H1585" i="7"/>
  <c r="J1585" i="7" s="1"/>
  <c r="L1585" i="7" s="1"/>
  <c r="H1584" i="7"/>
  <c r="J1584" i="7" s="1"/>
  <c r="L1584" i="7" s="1"/>
  <c r="H1583" i="7"/>
  <c r="J1583" i="7" s="1"/>
  <c r="L1583" i="7" s="1"/>
  <c r="H1582" i="7"/>
  <c r="J1582" i="7" s="1"/>
  <c r="L1582" i="7" s="1"/>
  <c r="H1581" i="7"/>
  <c r="J1581" i="7" s="1"/>
  <c r="L1581" i="7" s="1"/>
  <c r="H1580" i="7"/>
  <c r="J1580" i="7" s="1"/>
  <c r="L1580" i="7" s="1"/>
  <c r="H1579" i="7"/>
  <c r="J1579" i="7" s="1"/>
  <c r="L1579" i="7" s="1"/>
  <c r="H1578" i="7"/>
  <c r="J1578" i="7" s="1"/>
  <c r="L1578" i="7" s="1"/>
  <c r="H1577" i="7"/>
  <c r="J1577" i="7" s="1"/>
  <c r="L1577" i="7" s="1"/>
  <c r="H1576" i="7"/>
  <c r="J1576" i="7" s="1"/>
  <c r="L1576" i="7" s="1"/>
  <c r="H1575" i="7"/>
  <c r="J1575" i="7" s="1"/>
  <c r="L1575" i="7" s="1"/>
  <c r="H1574" i="7"/>
  <c r="J1574" i="7" s="1"/>
  <c r="L1574" i="7" s="1"/>
  <c r="H1573" i="7"/>
  <c r="J1573" i="7" s="1"/>
  <c r="L1573" i="7" s="1"/>
  <c r="H1572" i="7"/>
  <c r="J1572" i="7" s="1"/>
  <c r="L1572" i="7" s="1"/>
  <c r="H1571" i="7"/>
  <c r="J1571" i="7" s="1"/>
  <c r="L1571" i="7" s="1"/>
  <c r="H1570" i="7"/>
  <c r="J1570" i="7" s="1"/>
  <c r="L1570" i="7" s="1"/>
  <c r="H1569" i="7"/>
  <c r="J1569" i="7" s="1"/>
  <c r="L1569" i="7" s="1"/>
  <c r="H1568" i="7"/>
  <c r="J1568" i="7" s="1"/>
  <c r="L1568" i="7" s="1"/>
  <c r="H1567" i="7"/>
  <c r="J1567" i="7" s="1"/>
  <c r="L1567" i="7" s="1"/>
  <c r="H1566" i="7"/>
  <c r="J1566" i="7" s="1"/>
  <c r="L1566" i="7" s="1"/>
  <c r="H1565" i="7"/>
  <c r="J1565" i="7" s="1"/>
  <c r="L1565" i="7" s="1"/>
  <c r="H1564" i="7"/>
  <c r="J1564" i="7" s="1"/>
  <c r="L1564" i="7" s="1"/>
  <c r="H1563" i="7"/>
  <c r="J1563" i="7" s="1"/>
  <c r="L1563" i="7" s="1"/>
  <c r="H1562" i="7"/>
  <c r="J1562" i="7" s="1"/>
  <c r="L1562" i="7" s="1"/>
  <c r="H1561" i="7"/>
  <c r="J1561" i="7" s="1"/>
  <c r="L1561" i="7" s="1"/>
  <c r="H1560" i="7"/>
  <c r="J1560" i="7" s="1"/>
  <c r="L1560" i="7" s="1"/>
  <c r="H1559" i="7"/>
  <c r="J1559" i="7" s="1"/>
  <c r="L1559" i="7" s="1"/>
  <c r="H1558" i="7"/>
  <c r="J1558" i="7" s="1"/>
  <c r="L1558" i="7" s="1"/>
  <c r="H1557" i="7"/>
  <c r="J1557" i="7" s="1"/>
  <c r="L1557" i="7" s="1"/>
  <c r="H1556" i="7"/>
  <c r="J1556" i="7" s="1"/>
  <c r="L1556" i="7" s="1"/>
  <c r="H1555" i="7"/>
  <c r="J1555" i="7" s="1"/>
  <c r="L1555" i="7" s="1"/>
  <c r="H1554" i="7"/>
  <c r="J1554" i="7" s="1"/>
  <c r="L1554" i="7" s="1"/>
  <c r="H1553" i="7"/>
  <c r="J1553" i="7" s="1"/>
  <c r="L1553" i="7" s="1"/>
  <c r="H1552" i="7"/>
  <c r="J1552" i="7" s="1"/>
  <c r="L1552" i="7" s="1"/>
  <c r="H1551" i="7"/>
  <c r="J1551" i="7" s="1"/>
  <c r="L1551" i="7" s="1"/>
  <c r="H1550" i="7"/>
  <c r="J1550" i="7" s="1"/>
  <c r="L1550" i="7" s="1"/>
  <c r="H1549" i="7"/>
  <c r="J1549" i="7" s="1"/>
  <c r="L1549" i="7" s="1"/>
  <c r="H1548" i="7"/>
  <c r="J1548" i="7" s="1"/>
  <c r="L1548" i="7" s="1"/>
  <c r="H1547" i="7"/>
  <c r="J1547" i="7" s="1"/>
  <c r="L1547" i="7" s="1"/>
  <c r="H1546" i="7"/>
  <c r="J1546" i="7" s="1"/>
  <c r="L1546" i="7" s="1"/>
  <c r="H1545" i="7"/>
  <c r="J1545" i="7" s="1"/>
  <c r="L1545" i="7" s="1"/>
  <c r="H1544" i="7"/>
  <c r="J1544" i="7" s="1"/>
  <c r="L1544" i="7" s="1"/>
  <c r="H1543" i="7"/>
  <c r="J1543" i="7" s="1"/>
  <c r="L1543" i="7" s="1"/>
  <c r="H1542" i="7"/>
  <c r="J1542" i="7" s="1"/>
  <c r="L1542" i="7" s="1"/>
  <c r="H1541" i="7"/>
  <c r="J1541" i="7" s="1"/>
  <c r="L1541" i="7" s="1"/>
  <c r="H1540" i="7"/>
  <c r="J1540" i="7" s="1"/>
  <c r="L1540" i="7" s="1"/>
  <c r="H1539" i="7"/>
  <c r="J1539" i="7" s="1"/>
  <c r="L1539" i="7" s="1"/>
  <c r="H1538" i="7"/>
  <c r="J1538" i="7" s="1"/>
  <c r="L1538" i="7" s="1"/>
  <c r="H1537" i="7"/>
  <c r="J1537" i="7" s="1"/>
  <c r="L1537" i="7" s="1"/>
  <c r="H1536" i="7"/>
  <c r="J1536" i="7" s="1"/>
  <c r="L1536" i="7" s="1"/>
  <c r="H1535" i="7"/>
  <c r="J1535" i="7" s="1"/>
  <c r="L1535" i="7" s="1"/>
  <c r="H1534" i="7"/>
  <c r="J1534" i="7" s="1"/>
  <c r="L1534" i="7" s="1"/>
  <c r="H1533" i="7"/>
  <c r="J1533" i="7" s="1"/>
  <c r="L1533" i="7" s="1"/>
  <c r="H1532" i="7"/>
  <c r="J1532" i="7" s="1"/>
  <c r="L1532" i="7" s="1"/>
  <c r="H1531" i="7"/>
  <c r="J1531" i="7" s="1"/>
  <c r="L1531" i="7" s="1"/>
  <c r="H1530" i="7"/>
  <c r="J1530" i="7" s="1"/>
  <c r="L1530" i="7" s="1"/>
  <c r="H1529" i="7"/>
  <c r="J1529" i="7" s="1"/>
  <c r="L1529" i="7" s="1"/>
  <c r="H1528" i="7"/>
  <c r="J1528" i="7" s="1"/>
  <c r="L1528" i="7" s="1"/>
  <c r="H1527" i="7"/>
  <c r="J1527" i="7" s="1"/>
  <c r="L1527" i="7" s="1"/>
  <c r="H1526" i="7"/>
  <c r="J1526" i="7" s="1"/>
  <c r="L1526" i="7" s="1"/>
  <c r="H1525" i="7"/>
  <c r="J1525" i="7" s="1"/>
  <c r="L1525" i="7" s="1"/>
  <c r="H1524" i="7"/>
  <c r="J1524" i="7" s="1"/>
  <c r="L1524" i="7" s="1"/>
  <c r="H1523" i="7"/>
  <c r="J1523" i="7" s="1"/>
  <c r="L1523" i="7" s="1"/>
  <c r="H1522" i="7"/>
  <c r="J1522" i="7" s="1"/>
  <c r="L1522" i="7" s="1"/>
  <c r="H1521" i="7"/>
  <c r="J1521" i="7" s="1"/>
  <c r="L1521" i="7" s="1"/>
  <c r="H1520" i="7"/>
  <c r="J1520" i="7" s="1"/>
  <c r="L1520" i="7" s="1"/>
  <c r="H1519" i="7"/>
  <c r="J1519" i="7" s="1"/>
  <c r="L1519" i="7" s="1"/>
  <c r="H1518" i="7"/>
  <c r="J1518" i="7" s="1"/>
  <c r="L1518" i="7" s="1"/>
  <c r="H1517" i="7"/>
  <c r="J1517" i="7" s="1"/>
  <c r="L1517" i="7" s="1"/>
  <c r="H1516" i="7"/>
  <c r="J1516" i="7" s="1"/>
  <c r="L1516" i="7" s="1"/>
  <c r="H1515" i="7"/>
  <c r="J1515" i="7" s="1"/>
  <c r="L1515" i="7" s="1"/>
  <c r="H1514" i="7"/>
  <c r="J1514" i="7" s="1"/>
  <c r="L1514" i="7" s="1"/>
  <c r="H1513" i="7"/>
  <c r="J1513" i="7" s="1"/>
  <c r="L1513" i="7" s="1"/>
  <c r="H1512" i="7"/>
  <c r="J1512" i="7" s="1"/>
  <c r="L1512" i="7" s="1"/>
  <c r="H1511" i="7"/>
  <c r="J1511" i="7" s="1"/>
  <c r="L1511" i="7" s="1"/>
  <c r="H1510" i="7"/>
  <c r="J1510" i="7" s="1"/>
  <c r="L1510" i="7" s="1"/>
  <c r="H1509" i="7"/>
  <c r="J1509" i="7" s="1"/>
  <c r="L1509" i="7" s="1"/>
  <c r="H1508" i="7"/>
  <c r="J1508" i="7" s="1"/>
  <c r="L1508" i="7" s="1"/>
  <c r="H1507" i="7"/>
  <c r="J1507" i="7" s="1"/>
  <c r="L1507" i="7" s="1"/>
  <c r="H1506" i="7"/>
  <c r="J1506" i="7" s="1"/>
  <c r="L1506" i="7" s="1"/>
  <c r="H1505" i="7"/>
  <c r="J1505" i="7" s="1"/>
  <c r="L1505" i="7" s="1"/>
  <c r="H1504" i="7"/>
  <c r="J1504" i="7" s="1"/>
  <c r="L1504" i="7" s="1"/>
  <c r="H1503" i="7"/>
  <c r="J1503" i="7" s="1"/>
  <c r="L1503" i="7" s="1"/>
  <c r="H1502" i="7"/>
  <c r="J1502" i="7" s="1"/>
  <c r="L1502" i="7" s="1"/>
  <c r="H1501" i="7"/>
  <c r="J1501" i="7" s="1"/>
  <c r="L1501" i="7" s="1"/>
  <c r="H1500" i="7"/>
  <c r="J1500" i="7" s="1"/>
  <c r="L1500" i="7" s="1"/>
  <c r="H1499" i="7"/>
  <c r="J1499" i="7" s="1"/>
  <c r="L1499" i="7" s="1"/>
  <c r="H1498" i="7"/>
  <c r="J1498" i="7" s="1"/>
  <c r="L1498" i="7" s="1"/>
  <c r="H1497" i="7"/>
  <c r="J1497" i="7" s="1"/>
  <c r="L1497" i="7" s="1"/>
  <c r="H1496" i="7"/>
  <c r="J1496" i="7" s="1"/>
  <c r="L1496" i="7" s="1"/>
  <c r="H1495" i="7"/>
  <c r="J1495" i="7" s="1"/>
  <c r="L1495" i="7" s="1"/>
  <c r="H1494" i="7"/>
  <c r="J1494" i="7" s="1"/>
  <c r="L1494" i="7" s="1"/>
  <c r="H1493" i="7"/>
  <c r="J1493" i="7" s="1"/>
  <c r="L1493" i="7" s="1"/>
  <c r="H1492" i="7"/>
  <c r="J1492" i="7" s="1"/>
  <c r="L1492" i="7" s="1"/>
  <c r="H1491" i="7"/>
  <c r="J1491" i="7" s="1"/>
  <c r="L1491" i="7" s="1"/>
  <c r="H1490" i="7"/>
  <c r="J1490" i="7" s="1"/>
  <c r="L1490" i="7" s="1"/>
  <c r="H1489" i="7"/>
  <c r="J1489" i="7" s="1"/>
  <c r="L1489" i="7" s="1"/>
  <c r="H1488" i="7"/>
  <c r="J1488" i="7" s="1"/>
  <c r="L1488" i="7" s="1"/>
  <c r="H1487" i="7"/>
  <c r="J1487" i="7" s="1"/>
  <c r="L1487" i="7" s="1"/>
  <c r="H1486" i="7"/>
  <c r="J1486" i="7" s="1"/>
  <c r="L1486" i="7" s="1"/>
  <c r="H1485" i="7"/>
  <c r="J1485" i="7" s="1"/>
  <c r="L1485" i="7" s="1"/>
  <c r="H1484" i="7"/>
  <c r="J1484" i="7" s="1"/>
  <c r="L1484" i="7" s="1"/>
  <c r="H1483" i="7"/>
  <c r="J1483" i="7" s="1"/>
  <c r="L1483" i="7" s="1"/>
  <c r="H1482" i="7"/>
  <c r="J1482" i="7" s="1"/>
  <c r="L1482" i="7" s="1"/>
  <c r="H1481" i="7"/>
  <c r="J1481" i="7" s="1"/>
  <c r="L1481" i="7" s="1"/>
  <c r="H1480" i="7"/>
  <c r="J1480" i="7" s="1"/>
  <c r="L1480" i="7" s="1"/>
  <c r="H1479" i="7"/>
  <c r="J1479" i="7" s="1"/>
  <c r="L1479" i="7" s="1"/>
  <c r="H1478" i="7"/>
  <c r="J1478" i="7" s="1"/>
  <c r="L1478" i="7" s="1"/>
  <c r="H1477" i="7"/>
  <c r="J1477" i="7" s="1"/>
  <c r="L1477" i="7" s="1"/>
  <c r="H1476" i="7"/>
  <c r="J1476" i="7" s="1"/>
  <c r="L1476" i="7" s="1"/>
  <c r="H1475" i="7"/>
  <c r="J1475" i="7" s="1"/>
  <c r="L1475" i="7" s="1"/>
  <c r="H1474" i="7"/>
  <c r="J1474" i="7" s="1"/>
  <c r="L1474" i="7" s="1"/>
  <c r="H1473" i="7"/>
  <c r="J1473" i="7" s="1"/>
  <c r="L1473" i="7" s="1"/>
  <c r="H1472" i="7"/>
  <c r="J1472" i="7" s="1"/>
  <c r="L1472" i="7" s="1"/>
  <c r="H1471" i="7"/>
  <c r="J1471" i="7" s="1"/>
  <c r="L1471" i="7" s="1"/>
  <c r="H1470" i="7"/>
  <c r="J1470" i="7" s="1"/>
  <c r="L1470" i="7" s="1"/>
  <c r="H1469" i="7"/>
  <c r="J1469" i="7" s="1"/>
  <c r="L1469" i="7" s="1"/>
  <c r="H1468" i="7"/>
  <c r="J1468" i="7" s="1"/>
  <c r="L1468" i="7" s="1"/>
  <c r="H1467" i="7"/>
  <c r="J1467" i="7" s="1"/>
  <c r="L1467" i="7" s="1"/>
  <c r="H1466" i="7"/>
  <c r="J1466" i="7" s="1"/>
  <c r="L1466" i="7" s="1"/>
  <c r="H1465" i="7"/>
  <c r="J1465" i="7" s="1"/>
  <c r="L1465" i="7" s="1"/>
  <c r="H1464" i="7"/>
  <c r="J1464" i="7" s="1"/>
  <c r="L1464" i="7" s="1"/>
  <c r="H1463" i="7"/>
  <c r="J1463" i="7" s="1"/>
  <c r="L1463" i="7" s="1"/>
  <c r="H1462" i="7"/>
  <c r="J1462" i="7" s="1"/>
  <c r="L1462" i="7" s="1"/>
  <c r="H1461" i="7"/>
  <c r="J1461" i="7" s="1"/>
  <c r="L1461" i="7" s="1"/>
  <c r="H1460" i="7"/>
  <c r="J1460" i="7" s="1"/>
  <c r="L1460" i="7" s="1"/>
  <c r="H1459" i="7"/>
  <c r="J1459" i="7" s="1"/>
  <c r="L1459" i="7" s="1"/>
  <c r="H1458" i="7"/>
  <c r="J1458" i="7" s="1"/>
  <c r="L1458" i="7" s="1"/>
  <c r="H1457" i="7"/>
  <c r="J1457" i="7" s="1"/>
  <c r="L1457" i="7" s="1"/>
  <c r="H1456" i="7"/>
  <c r="J1456" i="7" s="1"/>
  <c r="L1456" i="7" s="1"/>
  <c r="H1455" i="7"/>
  <c r="J1455" i="7" s="1"/>
  <c r="L1455" i="7" s="1"/>
  <c r="H1454" i="7"/>
  <c r="J1454" i="7" s="1"/>
  <c r="L1454" i="7" s="1"/>
  <c r="H1453" i="7"/>
  <c r="J1453" i="7" s="1"/>
  <c r="L1453" i="7" s="1"/>
  <c r="H1452" i="7"/>
  <c r="J1452" i="7" s="1"/>
  <c r="L1452" i="7" s="1"/>
  <c r="H1451" i="7"/>
  <c r="J1451" i="7" s="1"/>
  <c r="L1451" i="7" s="1"/>
  <c r="H1450" i="7"/>
  <c r="J1450" i="7" s="1"/>
  <c r="L1450" i="7" s="1"/>
  <c r="H1449" i="7"/>
  <c r="J1449" i="7" s="1"/>
  <c r="L1449" i="7" s="1"/>
  <c r="H1448" i="7"/>
  <c r="J1448" i="7" s="1"/>
  <c r="L1448" i="7" s="1"/>
  <c r="H1447" i="7"/>
  <c r="J1447" i="7" s="1"/>
  <c r="L1447" i="7" s="1"/>
  <c r="H1446" i="7"/>
  <c r="J1446" i="7" s="1"/>
  <c r="L1446" i="7" s="1"/>
  <c r="H1445" i="7"/>
  <c r="J1445" i="7" s="1"/>
  <c r="L1445" i="7" s="1"/>
  <c r="H1444" i="7"/>
  <c r="J1444" i="7" s="1"/>
  <c r="L1444" i="7" s="1"/>
  <c r="H1443" i="7"/>
  <c r="J1443" i="7" s="1"/>
  <c r="L1443" i="7" s="1"/>
  <c r="H1442" i="7"/>
  <c r="J1442" i="7" s="1"/>
  <c r="L1442" i="7" s="1"/>
  <c r="H1441" i="7"/>
  <c r="J1441" i="7" s="1"/>
  <c r="L1441" i="7" s="1"/>
  <c r="H1440" i="7"/>
  <c r="J1440" i="7" s="1"/>
  <c r="L1440" i="7" s="1"/>
  <c r="H1439" i="7"/>
  <c r="J1439" i="7" s="1"/>
  <c r="L1439" i="7" s="1"/>
  <c r="H1438" i="7"/>
  <c r="J1438" i="7" s="1"/>
  <c r="L1438" i="7" s="1"/>
  <c r="H1437" i="7"/>
  <c r="J1437" i="7" s="1"/>
  <c r="L1437" i="7" s="1"/>
  <c r="H1436" i="7"/>
  <c r="J1436" i="7" s="1"/>
  <c r="L1436" i="7" s="1"/>
  <c r="H1435" i="7"/>
  <c r="J1435" i="7" s="1"/>
  <c r="L1435" i="7" s="1"/>
  <c r="H1434" i="7"/>
  <c r="J1434" i="7" s="1"/>
  <c r="L1434" i="7" s="1"/>
  <c r="H1433" i="7"/>
  <c r="J1433" i="7" s="1"/>
  <c r="L1433" i="7" s="1"/>
  <c r="H1432" i="7"/>
  <c r="J1432" i="7" s="1"/>
  <c r="L1432" i="7" s="1"/>
  <c r="H1431" i="7"/>
  <c r="J1431" i="7" s="1"/>
  <c r="L1431" i="7" s="1"/>
  <c r="H1430" i="7"/>
  <c r="J1430" i="7" s="1"/>
  <c r="L1430" i="7" s="1"/>
  <c r="H1429" i="7"/>
  <c r="J1429" i="7" s="1"/>
  <c r="L1429" i="7" s="1"/>
  <c r="H1428" i="7"/>
  <c r="J1428" i="7" s="1"/>
  <c r="L1428" i="7" s="1"/>
  <c r="H1427" i="7"/>
  <c r="J1427" i="7" s="1"/>
  <c r="L1427" i="7" s="1"/>
  <c r="H1426" i="7"/>
  <c r="J1426" i="7" s="1"/>
  <c r="L1426" i="7" s="1"/>
  <c r="H1425" i="7"/>
  <c r="J1425" i="7" s="1"/>
  <c r="L1425" i="7" s="1"/>
  <c r="H1424" i="7"/>
  <c r="J1424" i="7" s="1"/>
  <c r="L1424" i="7" s="1"/>
  <c r="H1423" i="7"/>
  <c r="J1423" i="7" s="1"/>
  <c r="L1423" i="7" s="1"/>
  <c r="H1422" i="7"/>
  <c r="J1422" i="7" s="1"/>
  <c r="L1422" i="7" s="1"/>
  <c r="H1421" i="7"/>
  <c r="J1421" i="7" s="1"/>
  <c r="L1421" i="7" s="1"/>
  <c r="H1420" i="7"/>
  <c r="J1420" i="7" s="1"/>
  <c r="L1420" i="7" s="1"/>
  <c r="H1419" i="7"/>
  <c r="J1419" i="7" s="1"/>
  <c r="L1419" i="7" s="1"/>
  <c r="H1418" i="7"/>
  <c r="J1418" i="7" s="1"/>
  <c r="L1418" i="7" s="1"/>
  <c r="H1417" i="7"/>
  <c r="J1417" i="7" s="1"/>
  <c r="L1417" i="7" s="1"/>
  <c r="H1416" i="7"/>
  <c r="J1416" i="7" s="1"/>
  <c r="L1416" i="7" s="1"/>
  <c r="H1415" i="7"/>
  <c r="J1415" i="7" s="1"/>
  <c r="L1415" i="7" s="1"/>
  <c r="H1414" i="7"/>
  <c r="J1414" i="7" s="1"/>
  <c r="L1414" i="7" s="1"/>
  <c r="H1413" i="7"/>
  <c r="J1413" i="7" s="1"/>
  <c r="L1413" i="7" s="1"/>
  <c r="H1412" i="7"/>
  <c r="J1412" i="7" s="1"/>
  <c r="L1412" i="7" s="1"/>
  <c r="H1411" i="7"/>
  <c r="J1411" i="7" s="1"/>
  <c r="L1411" i="7" s="1"/>
  <c r="H1410" i="7"/>
  <c r="J1410" i="7" s="1"/>
  <c r="L1410" i="7" s="1"/>
  <c r="H1409" i="7"/>
  <c r="J1409" i="7" s="1"/>
  <c r="L1409" i="7" s="1"/>
  <c r="H1408" i="7"/>
  <c r="J1408" i="7" s="1"/>
  <c r="L1408" i="7" s="1"/>
  <c r="H1407" i="7"/>
  <c r="J1407" i="7" s="1"/>
  <c r="L1407" i="7" s="1"/>
  <c r="H1406" i="7"/>
  <c r="J1406" i="7" s="1"/>
  <c r="L1406" i="7" s="1"/>
  <c r="H1405" i="7"/>
  <c r="J1405" i="7" s="1"/>
  <c r="L1405" i="7" s="1"/>
  <c r="H1404" i="7"/>
  <c r="J1404" i="7" s="1"/>
  <c r="L1404" i="7" s="1"/>
  <c r="H1403" i="7"/>
  <c r="J1403" i="7" s="1"/>
  <c r="L1403" i="7" s="1"/>
  <c r="H1402" i="7"/>
  <c r="J1402" i="7" s="1"/>
  <c r="L1402" i="7" s="1"/>
  <c r="H1401" i="7"/>
  <c r="J1401" i="7" s="1"/>
  <c r="L1401" i="7" s="1"/>
  <c r="H1400" i="7"/>
  <c r="J1400" i="7" s="1"/>
  <c r="L1400" i="7" s="1"/>
  <c r="H1399" i="7"/>
  <c r="J1399" i="7" s="1"/>
  <c r="L1399" i="7" s="1"/>
  <c r="H1398" i="7"/>
  <c r="J1398" i="7" s="1"/>
  <c r="L1398" i="7" s="1"/>
  <c r="H1397" i="7"/>
  <c r="J1397" i="7" s="1"/>
  <c r="L1397" i="7" s="1"/>
  <c r="H1396" i="7"/>
  <c r="J1396" i="7" s="1"/>
  <c r="L1396" i="7" s="1"/>
  <c r="H1395" i="7"/>
  <c r="J1395" i="7" s="1"/>
  <c r="L1395" i="7" s="1"/>
  <c r="H1394" i="7"/>
  <c r="J1394" i="7" s="1"/>
  <c r="L1394" i="7" s="1"/>
  <c r="H1393" i="7"/>
  <c r="J1393" i="7" s="1"/>
  <c r="L1393" i="7" s="1"/>
  <c r="H1392" i="7"/>
  <c r="J1392" i="7" s="1"/>
  <c r="L1392" i="7" s="1"/>
  <c r="H1391" i="7"/>
  <c r="J1391" i="7" s="1"/>
  <c r="L1391" i="7" s="1"/>
  <c r="H1390" i="7"/>
  <c r="J1390" i="7" s="1"/>
  <c r="L1390" i="7" s="1"/>
  <c r="H1389" i="7"/>
  <c r="J1389" i="7" s="1"/>
  <c r="L1389" i="7" s="1"/>
  <c r="H1388" i="7"/>
  <c r="J1388" i="7" s="1"/>
  <c r="L1388" i="7" s="1"/>
  <c r="H1387" i="7"/>
  <c r="J1387" i="7" s="1"/>
  <c r="L1387" i="7" s="1"/>
  <c r="H1386" i="7"/>
  <c r="J1386" i="7" s="1"/>
  <c r="L1386" i="7" s="1"/>
  <c r="H1385" i="7"/>
  <c r="J1385" i="7" s="1"/>
  <c r="L1385" i="7" s="1"/>
  <c r="H1384" i="7"/>
  <c r="J1384" i="7" s="1"/>
  <c r="L1384" i="7" s="1"/>
  <c r="H1383" i="7"/>
  <c r="J1383" i="7" s="1"/>
  <c r="L1383" i="7" s="1"/>
  <c r="H1382" i="7"/>
  <c r="J1382" i="7" s="1"/>
  <c r="L1382" i="7" s="1"/>
  <c r="H1381" i="7"/>
  <c r="J1381" i="7" s="1"/>
  <c r="L1381" i="7" s="1"/>
  <c r="H1380" i="7"/>
  <c r="J1380" i="7" s="1"/>
  <c r="L1380" i="7" s="1"/>
  <c r="H1379" i="7"/>
  <c r="J1379" i="7" s="1"/>
  <c r="L1379" i="7" s="1"/>
  <c r="H1378" i="7"/>
  <c r="J1378" i="7" s="1"/>
  <c r="L1378" i="7" s="1"/>
  <c r="H1377" i="7"/>
  <c r="J1377" i="7" s="1"/>
  <c r="L1377" i="7" s="1"/>
  <c r="H1376" i="7"/>
  <c r="J1376" i="7" s="1"/>
  <c r="L1376" i="7" s="1"/>
  <c r="H1375" i="7"/>
  <c r="J1375" i="7" s="1"/>
  <c r="L1375" i="7" s="1"/>
  <c r="H1374" i="7"/>
  <c r="J1374" i="7" s="1"/>
  <c r="L1374" i="7" s="1"/>
  <c r="H1373" i="7"/>
  <c r="J1373" i="7" s="1"/>
  <c r="L1373" i="7" s="1"/>
  <c r="H1372" i="7"/>
  <c r="J1372" i="7" s="1"/>
  <c r="L1372" i="7" s="1"/>
  <c r="H1371" i="7"/>
  <c r="J1371" i="7" s="1"/>
  <c r="L1371" i="7" s="1"/>
  <c r="H1370" i="7"/>
  <c r="J1370" i="7" s="1"/>
  <c r="L1370" i="7" s="1"/>
  <c r="H1369" i="7"/>
  <c r="J1369" i="7" s="1"/>
  <c r="L1369" i="7" s="1"/>
  <c r="H1368" i="7"/>
  <c r="J1368" i="7" s="1"/>
  <c r="L1368" i="7" s="1"/>
  <c r="H1367" i="7"/>
  <c r="J1367" i="7" s="1"/>
  <c r="L1367" i="7" s="1"/>
  <c r="H1366" i="7"/>
  <c r="J1366" i="7" s="1"/>
  <c r="L1366" i="7" s="1"/>
  <c r="H1365" i="7"/>
  <c r="J1365" i="7" s="1"/>
  <c r="L1365" i="7" s="1"/>
  <c r="H1364" i="7"/>
  <c r="J1364" i="7" s="1"/>
  <c r="L1364" i="7" s="1"/>
  <c r="H1363" i="7"/>
  <c r="J1363" i="7" s="1"/>
  <c r="L1363" i="7" s="1"/>
  <c r="H1362" i="7"/>
  <c r="J1362" i="7" s="1"/>
  <c r="L1362" i="7" s="1"/>
  <c r="H1361" i="7"/>
  <c r="J1361" i="7" s="1"/>
  <c r="L1361" i="7" s="1"/>
  <c r="H1360" i="7"/>
  <c r="J1360" i="7" s="1"/>
  <c r="L1360" i="7" s="1"/>
  <c r="H1359" i="7"/>
  <c r="J1359" i="7" s="1"/>
  <c r="L1359" i="7" s="1"/>
  <c r="H1358" i="7"/>
  <c r="J1358" i="7" s="1"/>
  <c r="L1358" i="7" s="1"/>
  <c r="H1357" i="7"/>
  <c r="J1357" i="7" s="1"/>
  <c r="L1357" i="7" s="1"/>
  <c r="H1356" i="7"/>
  <c r="J1356" i="7" s="1"/>
  <c r="L1356" i="7" s="1"/>
  <c r="H1355" i="7"/>
  <c r="J1355" i="7" s="1"/>
  <c r="L1355" i="7" s="1"/>
  <c r="H1354" i="7"/>
  <c r="J1354" i="7" s="1"/>
  <c r="L1354" i="7" s="1"/>
  <c r="H1353" i="7"/>
  <c r="J1353" i="7" s="1"/>
  <c r="L1353" i="7" s="1"/>
  <c r="H1352" i="7"/>
  <c r="J1352" i="7" s="1"/>
  <c r="L1352" i="7" s="1"/>
  <c r="H1351" i="7"/>
  <c r="J1351" i="7" s="1"/>
  <c r="L1351" i="7" s="1"/>
  <c r="H1350" i="7"/>
  <c r="J1350" i="7" s="1"/>
  <c r="L1350" i="7" s="1"/>
  <c r="H1349" i="7"/>
  <c r="J1349" i="7" s="1"/>
  <c r="L1349" i="7" s="1"/>
  <c r="H1348" i="7"/>
  <c r="J1348" i="7" s="1"/>
  <c r="L1348" i="7" s="1"/>
  <c r="H1347" i="7"/>
  <c r="J1347" i="7" s="1"/>
  <c r="L1347" i="7" s="1"/>
  <c r="H1346" i="7"/>
  <c r="J1346" i="7" s="1"/>
  <c r="L1346" i="7" s="1"/>
  <c r="H1345" i="7"/>
  <c r="J1345" i="7" s="1"/>
  <c r="L1345" i="7" s="1"/>
  <c r="H1344" i="7"/>
  <c r="J1344" i="7" s="1"/>
  <c r="L1344" i="7" s="1"/>
  <c r="H1343" i="7"/>
  <c r="J1343" i="7" s="1"/>
  <c r="L1343" i="7" s="1"/>
  <c r="H1342" i="7"/>
  <c r="J1342" i="7" s="1"/>
  <c r="L1342" i="7" s="1"/>
  <c r="H1341" i="7"/>
  <c r="J1341" i="7" s="1"/>
  <c r="L1341" i="7" s="1"/>
  <c r="H1340" i="7"/>
  <c r="J1340" i="7" s="1"/>
  <c r="L1340" i="7" s="1"/>
  <c r="H1339" i="7"/>
  <c r="J1339" i="7" s="1"/>
  <c r="L1339" i="7" s="1"/>
  <c r="H1338" i="7"/>
  <c r="J1338" i="7" s="1"/>
  <c r="L1338" i="7" s="1"/>
  <c r="H1337" i="7"/>
  <c r="J1337" i="7" s="1"/>
  <c r="L1337" i="7" s="1"/>
  <c r="H1336" i="7"/>
  <c r="J1336" i="7" s="1"/>
  <c r="L1336" i="7" s="1"/>
  <c r="H1335" i="7"/>
  <c r="J1335" i="7" s="1"/>
  <c r="L1335" i="7" s="1"/>
  <c r="H1334" i="7"/>
  <c r="J1334" i="7" s="1"/>
  <c r="L1334" i="7" s="1"/>
  <c r="H1333" i="7"/>
  <c r="J1333" i="7" s="1"/>
  <c r="L1333" i="7" s="1"/>
  <c r="H1332" i="7"/>
  <c r="J1332" i="7" s="1"/>
  <c r="L1332" i="7" s="1"/>
  <c r="H1331" i="7"/>
  <c r="J1331" i="7" s="1"/>
  <c r="L1331" i="7" s="1"/>
  <c r="H1330" i="7"/>
  <c r="J1330" i="7" s="1"/>
  <c r="L1330" i="7" s="1"/>
  <c r="H1329" i="7"/>
  <c r="J1329" i="7" s="1"/>
  <c r="L1329" i="7" s="1"/>
  <c r="H1328" i="7"/>
  <c r="J1328" i="7" s="1"/>
  <c r="L1328" i="7" s="1"/>
  <c r="H1327" i="7"/>
  <c r="J1327" i="7" s="1"/>
  <c r="L1327" i="7" s="1"/>
  <c r="H1326" i="7"/>
  <c r="J1326" i="7" s="1"/>
  <c r="L1326" i="7" s="1"/>
  <c r="H1325" i="7"/>
  <c r="J1325" i="7" s="1"/>
  <c r="L1325" i="7" s="1"/>
  <c r="H1324" i="7"/>
  <c r="J1324" i="7" s="1"/>
  <c r="L1324" i="7" s="1"/>
  <c r="H1323" i="7"/>
  <c r="J1323" i="7" s="1"/>
  <c r="L1323" i="7" s="1"/>
  <c r="H1322" i="7"/>
  <c r="J1322" i="7" s="1"/>
  <c r="L1322" i="7" s="1"/>
  <c r="H1321" i="7"/>
  <c r="J1321" i="7" s="1"/>
  <c r="L1321" i="7" s="1"/>
  <c r="H1320" i="7"/>
  <c r="J1320" i="7" s="1"/>
  <c r="L1320" i="7" s="1"/>
  <c r="H1319" i="7"/>
  <c r="J1319" i="7" s="1"/>
  <c r="L1319" i="7" s="1"/>
  <c r="H1318" i="7"/>
  <c r="J1318" i="7" s="1"/>
  <c r="L1318" i="7" s="1"/>
  <c r="H1317" i="7"/>
  <c r="J1317" i="7" s="1"/>
  <c r="L1317" i="7" s="1"/>
  <c r="H1316" i="7"/>
  <c r="J1316" i="7" s="1"/>
  <c r="L1316" i="7" s="1"/>
  <c r="H1315" i="7"/>
  <c r="J1315" i="7" s="1"/>
  <c r="L1315" i="7" s="1"/>
  <c r="H1314" i="7"/>
  <c r="J1314" i="7" s="1"/>
  <c r="L1314" i="7" s="1"/>
  <c r="H1313" i="7"/>
  <c r="J1313" i="7" s="1"/>
  <c r="L1313" i="7" s="1"/>
  <c r="H1312" i="7"/>
  <c r="J1312" i="7" s="1"/>
  <c r="L1312" i="7" s="1"/>
  <c r="H1311" i="7"/>
  <c r="J1311" i="7" s="1"/>
  <c r="L1311" i="7" s="1"/>
  <c r="H1310" i="7"/>
  <c r="J1310" i="7" s="1"/>
  <c r="L1310" i="7" s="1"/>
  <c r="H1309" i="7"/>
  <c r="J1309" i="7" s="1"/>
  <c r="L1309" i="7" s="1"/>
  <c r="H1308" i="7"/>
  <c r="J1308" i="7" s="1"/>
  <c r="L1308" i="7" s="1"/>
  <c r="H1307" i="7"/>
  <c r="J1307" i="7" s="1"/>
  <c r="L1307" i="7" s="1"/>
  <c r="H1306" i="7"/>
  <c r="J1306" i="7" s="1"/>
  <c r="L1306" i="7" s="1"/>
  <c r="H1305" i="7"/>
  <c r="J1305" i="7" s="1"/>
  <c r="L1305" i="7" s="1"/>
  <c r="H1304" i="7"/>
  <c r="J1304" i="7" s="1"/>
  <c r="L1304" i="7" s="1"/>
  <c r="H1303" i="7"/>
  <c r="J1303" i="7" s="1"/>
  <c r="L1303" i="7" s="1"/>
  <c r="H1302" i="7"/>
  <c r="J1302" i="7" s="1"/>
  <c r="L1302" i="7" s="1"/>
  <c r="H1301" i="7"/>
  <c r="J1301" i="7" s="1"/>
  <c r="L1301" i="7" s="1"/>
  <c r="H1300" i="7"/>
  <c r="J1300" i="7" s="1"/>
  <c r="L1300" i="7" s="1"/>
  <c r="H1299" i="7"/>
  <c r="J1299" i="7" s="1"/>
  <c r="L1299" i="7" s="1"/>
  <c r="H1298" i="7"/>
  <c r="J1298" i="7" s="1"/>
  <c r="L1298" i="7" s="1"/>
  <c r="H1297" i="7"/>
  <c r="J1297" i="7" s="1"/>
  <c r="L1297" i="7" s="1"/>
  <c r="H1296" i="7"/>
  <c r="J1296" i="7" s="1"/>
  <c r="L1296" i="7" s="1"/>
  <c r="H1295" i="7"/>
  <c r="J1295" i="7" s="1"/>
  <c r="L1295" i="7" s="1"/>
  <c r="H1294" i="7"/>
  <c r="J1294" i="7" s="1"/>
  <c r="L1294" i="7" s="1"/>
  <c r="H1293" i="7"/>
  <c r="J1293" i="7" s="1"/>
  <c r="L1293" i="7" s="1"/>
  <c r="H1292" i="7"/>
  <c r="J1292" i="7" s="1"/>
  <c r="L1292" i="7" s="1"/>
  <c r="H1291" i="7"/>
  <c r="J1291" i="7" s="1"/>
  <c r="L1291" i="7" s="1"/>
  <c r="H1290" i="7"/>
  <c r="J1290" i="7" s="1"/>
  <c r="L1290" i="7" s="1"/>
  <c r="H1289" i="7"/>
  <c r="J1289" i="7" s="1"/>
  <c r="L1289" i="7" s="1"/>
  <c r="H1288" i="7"/>
  <c r="J1288" i="7" s="1"/>
  <c r="L1288" i="7" s="1"/>
  <c r="H1287" i="7"/>
  <c r="J1287" i="7" s="1"/>
  <c r="L1287" i="7" s="1"/>
  <c r="H1286" i="7"/>
  <c r="J1286" i="7" s="1"/>
  <c r="L1286" i="7" s="1"/>
  <c r="H1285" i="7"/>
  <c r="J1285" i="7" s="1"/>
  <c r="L1285" i="7" s="1"/>
  <c r="H1284" i="7"/>
  <c r="J1284" i="7" s="1"/>
  <c r="L1284" i="7" s="1"/>
  <c r="H1283" i="7"/>
  <c r="J1283" i="7" s="1"/>
  <c r="L1283" i="7" s="1"/>
  <c r="H1282" i="7"/>
  <c r="J1282" i="7" s="1"/>
  <c r="L1282" i="7" s="1"/>
  <c r="H1281" i="7"/>
  <c r="J1281" i="7" s="1"/>
  <c r="L1281" i="7" s="1"/>
  <c r="H1280" i="7"/>
  <c r="J1280" i="7" s="1"/>
  <c r="L1280" i="7" s="1"/>
  <c r="H1279" i="7"/>
  <c r="J1279" i="7" s="1"/>
  <c r="L1279" i="7" s="1"/>
  <c r="H1278" i="7"/>
  <c r="J1278" i="7" s="1"/>
  <c r="L1278" i="7" s="1"/>
  <c r="H1277" i="7"/>
  <c r="J1277" i="7" s="1"/>
  <c r="L1277" i="7" s="1"/>
  <c r="H1276" i="7"/>
  <c r="J1276" i="7" s="1"/>
  <c r="L1276" i="7" s="1"/>
  <c r="H1275" i="7"/>
  <c r="J1275" i="7" s="1"/>
  <c r="L1275" i="7" s="1"/>
  <c r="H1274" i="7"/>
  <c r="J1274" i="7" s="1"/>
  <c r="L1274" i="7" s="1"/>
  <c r="H1273" i="7"/>
  <c r="J1273" i="7" s="1"/>
  <c r="L1273" i="7" s="1"/>
  <c r="H1272" i="7"/>
  <c r="J1272" i="7" s="1"/>
  <c r="L1272" i="7" s="1"/>
  <c r="H1271" i="7"/>
  <c r="J1271" i="7" s="1"/>
  <c r="L1271" i="7" s="1"/>
  <c r="H1270" i="7"/>
  <c r="J1270" i="7" s="1"/>
  <c r="L1270" i="7" s="1"/>
  <c r="H1269" i="7"/>
  <c r="J1269" i="7" s="1"/>
  <c r="L1269" i="7" s="1"/>
  <c r="H1268" i="7"/>
  <c r="J1268" i="7" s="1"/>
  <c r="L1268" i="7" s="1"/>
  <c r="H1267" i="7"/>
  <c r="J1267" i="7" s="1"/>
  <c r="L1267" i="7" s="1"/>
  <c r="H1266" i="7"/>
  <c r="J1266" i="7" s="1"/>
  <c r="L1266" i="7" s="1"/>
  <c r="H1265" i="7"/>
  <c r="J1265" i="7" s="1"/>
  <c r="L1265" i="7" s="1"/>
  <c r="H1264" i="7"/>
  <c r="J1264" i="7" s="1"/>
  <c r="L1264" i="7" s="1"/>
  <c r="H1263" i="7"/>
  <c r="J1263" i="7" s="1"/>
  <c r="L1263" i="7" s="1"/>
  <c r="H1262" i="7"/>
  <c r="J1262" i="7" s="1"/>
  <c r="L1262" i="7" s="1"/>
  <c r="H1261" i="7"/>
  <c r="J1261" i="7" s="1"/>
  <c r="L1261" i="7" s="1"/>
  <c r="H1260" i="7"/>
  <c r="J1260" i="7" s="1"/>
  <c r="L1260" i="7" s="1"/>
  <c r="H1259" i="7"/>
  <c r="J1259" i="7" s="1"/>
  <c r="L1259" i="7" s="1"/>
  <c r="H1258" i="7"/>
  <c r="J1258" i="7" s="1"/>
  <c r="L1258" i="7" s="1"/>
  <c r="H1257" i="7"/>
  <c r="J1257" i="7" s="1"/>
  <c r="L1257" i="7" s="1"/>
  <c r="H1256" i="7"/>
  <c r="J1256" i="7" s="1"/>
  <c r="L1256" i="7" s="1"/>
  <c r="H1255" i="7"/>
  <c r="J1255" i="7" s="1"/>
  <c r="L1255" i="7" s="1"/>
  <c r="H1254" i="7"/>
  <c r="J1254" i="7" s="1"/>
  <c r="L1254" i="7" s="1"/>
  <c r="H1253" i="7"/>
  <c r="J1253" i="7" s="1"/>
  <c r="L1253" i="7" s="1"/>
  <c r="H1252" i="7"/>
  <c r="J1252" i="7" s="1"/>
  <c r="L1252" i="7" s="1"/>
  <c r="H1251" i="7"/>
  <c r="J1251" i="7" s="1"/>
  <c r="L1251" i="7" s="1"/>
  <c r="H1250" i="7"/>
  <c r="J1250" i="7" s="1"/>
  <c r="L1250" i="7" s="1"/>
  <c r="H1249" i="7"/>
  <c r="J1249" i="7" s="1"/>
  <c r="L1249" i="7" s="1"/>
  <c r="H1248" i="7"/>
  <c r="J1248" i="7" s="1"/>
  <c r="L1248" i="7" s="1"/>
  <c r="H1247" i="7"/>
  <c r="J1247" i="7" s="1"/>
  <c r="L1247" i="7" s="1"/>
  <c r="H1246" i="7"/>
  <c r="J1246" i="7" s="1"/>
  <c r="L1246" i="7" s="1"/>
  <c r="H1245" i="7"/>
  <c r="J1245" i="7" s="1"/>
  <c r="L1245" i="7" s="1"/>
  <c r="H1244" i="7"/>
  <c r="J1244" i="7" s="1"/>
  <c r="L1244" i="7" s="1"/>
  <c r="H1243" i="7"/>
  <c r="J1243" i="7" s="1"/>
  <c r="L1243" i="7" s="1"/>
  <c r="H1242" i="7"/>
  <c r="J1242" i="7" s="1"/>
  <c r="L1242" i="7" s="1"/>
  <c r="H1241" i="7"/>
  <c r="J1241" i="7" s="1"/>
  <c r="L1241" i="7" s="1"/>
  <c r="H1240" i="7"/>
  <c r="J1240" i="7" s="1"/>
  <c r="L1240" i="7" s="1"/>
  <c r="H1239" i="7"/>
  <c r="J1239" i="7" s="1"/>
  <c r="L1239" i="7" s="1"/>
  <c r="H1238" i="7"/>
  <c r="J1238" i="7" s="1"/>
  <c r="L1238" i="7" s="1"/>
  <c r="H1237" i="7"/>
  <c r="J1237" i="7" s="1"/>
  <c r="L1237" i="7" s="1"/>
  <c r="H1236" i="7"/>
  <c r="J1236" i="7" s="1"/>
  <c r="L1236" i="7" s="1"/>
  <c r="H1235" i="7"/>
  <c r="J1235" i="7" s="1"/>
  <c r="L1235" i="7" s="1"/>
  <c r="H1234" i="7"/>
  <c r="J1234" i="7" s="1"/>
  <c r="L1234" i="7" s="1"/>
  <c r="H1233" i="7"/>
  <c r="J1233" i="7" s="1"/>
  <c r="L1233" i="7" s="1"/>
  <c r="H1232" i="7"/>
  <c r="J1232" i="7" s="1"/>
  <c r="L1232" i="7" s="1"/>
  <c r="H1231" i="7"/>
  <c r="J1231" i="7" s="1"/>
  <c r="L1231" i="7" s="1"/>
  <c r="H1230" i="7"/>
  <c r="J1230" i="7" s="1"/>
  <c r="L1230" i="7" s="1"/>
  <c r="H1229" i="7"/>
  <c r="J1229" i="7" s="1"/>
  <c r="L1229" i="7" s="1"/>
  <c r="H1228" i="7"/>
  <c r="J1228" i="7" s="1"/>
  <c r="L1228" i="7" s="1"/>
  <c r="H1227" i="7"/>
  <c r="J1227" i="7" s="1"/>
  <c r="L1227" i="7" s="1"/>
  <c r="H1226" i="7"/>
  <c r="J1226" i="7" s="1"/>
  <c r="L1226" i="7" s="1"/>
  <c r="H1225" i="7"/>
  <c r="J1225" i="7" s="1"/>
  <c r="L1225" i="7" s="1"/>
  <c r="H1224" i="7"/>
  <c r="J1224" i="7" s="1"/>
  <c r="L1224" i="7" s="1"/>
  <c r="H1223" i="7"/>
  <c r="J1223" i="7" s="1"/>
  <c r="L1223" i="7" s="1"/>
  <c r="H1222" i="7"/>
  <c r="J1222" i="7" s="1"/>
  <c r="L1222" i="7" s="1"/>
  <c r="H1221" i="7"/>
  <c r="J1221" i="7" s="1"/>
  <c r="L1221" i="7" s="1"/>
  <c r="H1220" i="7"/>
  <c r="J1220" i="7" s="1"/>
  <c r="L1220" i="7" s="1"/>
  <c r="H1219" i="7"/>
  <c r="J1219" i="7" s="1"/>
  <c r="L1219" i="7" s="1"/>
  <c r="H1218" i="7"/>
  <c r="J1218" i="7" s="1"/>
  <c r="L1218" i="7" s="1"/>
  <c r="H1217" i="7"/>
  <c r="J1217" i="7" s="1"/>
  <c r="L1217" i="7" s="1"/>
  <c r="H1216" i="7"/>
  <c r="J1216" i="7" s="1"/>
  <c r="L1216" i="7" s="1"/>
  <c r="H1215" i="7"/>
  <c r="J1215" i="7" s="1"/>
  <c r="L1215" i="7" s="1"/>
  <c r="H1214" i="7"/>
  <c r="J1214" i="7" s="1"/>
  <c r="L1214" i="7" s="1"/>
  <c r="H1213" i="7"/>
  <c r="J1213" i="7" s="1"/>
  <c r="L1213" i="7" s="1"/>
  <c r="H1212" i="7"/>
  <c r="J1212" i="7" s="1"/>
  <c r="L1212" i="7" s="1"/>
  <c r="H1211" i="7"/>
  <c r="J1211" i="7" s="1"/>
  <c r="L1211" i="7" s="1"/>
  <c r="H1210" i="7"/>
  <c r="J1210" i="7" s="1"/>
  <c r="L1210" i="7" s="1"/>
  <c r="H1209" i="7"/>
  <c r="J1209" i="7" s="1"/>
  <c r="L1209" i="7" s="1"/>
  <c r="H1208" i="7"/>
  <c r="J1208" i="7" s="1"/>
  <c r="L1208" i="7" s="1"/>
  <c r="H1207" i="7"/>
  <c r="J1207" i="7" s="1"/>
  <c r="L1207" i="7" s="1"/>
  <c r="H1206" i="7"/>
  <c r="J1206" i="7" s="1"/>
  <c r="L1206" i="7" s="1"/>
  <c r="H1205" i="7"/>
  <c r="J1205" i="7" s="1"/>
  <c r="L1205" i="7" s="1"/>
  <c r="H1204" i="7"/>
  <c r="J1204" i="7" s="1"/>
  <c r="L1204" i="7" s="1"/>
  <c r="H1203" i="7"/>
  <c r="J1203" i="7" s="1"/>
  <c r="L1203" i="7" s="1"/>
  <c r="H1202" i="7"/>
  <c r="J1202" i="7" s="1"/>
  <c r="L1202" i="7" s="1"/>
  <c r="H1201" i="7"/>
  <c r="J1201" i="7" s="1"/>
  <c r="L1201" i="7" s="1"/>
  <c r="H1200" i="7"/>
  <c r="J1200" i="7" s="1"/>
  <c r="L1200" i="7" s="1"/>
  <c r="H1199" i="7"/>
  <c r="J1199" i="7" s="1"/>
  <c r="L1199" i="7" s="1"/>
  <c r="H1198" i="7"/>
  <c r="J1198" i="7" s="1"/>
  <c r="L1198" i="7" s="1"/>
  <c r="H1197" i="7"/>
  <c r="J1197" i="7" s="1"/>
  <c r="L1197" i="7" s="1"/>
  <c r="H1196" i="7"/>
  <c r="J1196" i="7" s="1"/>
  <c r="L1196" i="7" s="1"/>
  <c r="H1195" i="7"/>
  <c r="J1195" i="7" s="1"/>
  <c r="L1195" i="7" s="1"/>
  <c r="H1194" i="7"/>
  <c r="J1194" i="7" s="1"/>
  <c r="L1194" i="7" s="1"/>
  <c r="H1193" i="7"/>
  <c r="J1193" i="7" s="1"/>
  <c r="L1193" i="7" s="1"/>
  <c r="H1192" i="7"/>
  <c r="J1192" i="7" s="1"/>
  <c r="L1192" i="7" s="1"/>
  <c r="H1191" i="7"/>
  <c r="J1191" i="7" s="1"/>
  <c r="L1191" i="7" s="1"/>
  <c r="H1190" i="7"/>
  <c r="J1190" i="7" s="1"/>
  <c r="L1190" i="7" s="1"/>
  <c r="H1189" i="7"/>
  <c r="J1189" i="7" s="1"/>
  <c r="L1189" i="7" s="1"/>
  <c r="H1188" i="7"/>
  <c r="J1188" i="7" s="1"/>
  <c r="L1188" i="7" s="1"/>
  <c r="H1187" i="7"/>
  <c r="J1187" i="7" s="1"/>
  <c r="L1187" i="7" s="1"/>
  <c r="H1186" i="7"/>
  <c r="J1186" i="7" s="1"/>
  <c r="L1186" i="7" s="1"/>
  <c r="H1185" i="7"/>
  <c r="J1185" i="7" s="1"/>
  <c r="L1185" i="7" s="1"/>
  <c r="H1184" i="7"/>
  <c r="J1184" i="7" s="1"/>
  <c r="L1184" i="7" s="1"/>
  <c r="H1183" i="7"/>
  <c r="J1183" i="7" s="1"/>
  <c r="L1183" i="7" s="1"/>
  <c r="H1182" i="7"/>
  <c r="J1182" i="7" s="1"/>
  <c r="L1182" i="7" s="1"/>
  <c r="H1181" i="7"/>
  <c r="J1181" i="7" s="1"/>
  <c r="L1181" i="7" s="1"/>
  <c r="H1180" i="7"/>
  <c r="J1180" i="7" s="1"/>
  <c r="L1180" i="7" s="1"/>
  <c r="H1179" i="7"/>
  <c r="J1179" i="7" s="1"/>
  <c r="L1179" i="7" s="1"/>
  <c r="H1178" i="7"/>
  <c r="J1178" i="7" s="1"/>
  <c r="L1178" i="7" s="1"/>
  <c r="H1177" i="7"/>
  <c r="J1177" i="7" s="1"/>
  <c r="L1177" i="7" s="1"/>
  <c r="H1176" i="7"/>
  <c r="J1176" i="7" s="1"/>
  <c r="L1176" i="7" s="1"/>
  <c r="H1175" i="7"/>
  <c r="J1175" i="7" s="1"/>
  <c r="L1175" i="7" s="1"/>
  <c r="H1174" i="7"/>
  <c r="J1174" i="7" s="1"/>
  <c r="L1174" i="7" s="1"/>
  <c r="H1173" i="7"/>
  <c r="J1173" i="7" s="1"/>
  <c r="L1173" i="7" s="1"/>
  <c r="H1172" i="7"/>
  <c r="J1172" i="7" s="1"/>
  <c r="L1172" i="7" s="1"/>
  <c r="H1171" i="7"/>
  <c r="J1171" i="7" s="1"/>
  <c r="L1171" i="7" s="1"/>
  <c r="H1170" i="7"/>
  <c r="J1170" i="7" s="1"/>
  <c r="L1170" i="7" s="1"/>
  <c r="H1169" i="7"/>
  <c r="J1169" i="7" s="1"/>
  <c r="L1169" i="7" s="1"/>
  <c r="H1168" i="7"/>
  <c r="J1168" i="7" s="1"/>
  <c r="L1168" i="7" s="1"/>
  <c r="H1167" i="7"/>
  <c r="J1167" i="7" s="1"/>
  <c r="L1167" i="7" s="1"/>
  <c r="H1166" i="7"/>
  <c r="J1166" i="7" s="1"/>
  <c r="L1166" i="7" s="1"/>
  <c r="H1165" i="7"/>
  <c r="J1165" i="7" s="1"/>
  <c r="L1165" i="7" s="1"/>
  <c r="H1164" i="7"/>
  <c r="J1164" i="7" s="1"/>
  <c r="L1164" i="7" s="1"/>
  <c r="H1163" i="7"/>
  <c r="J1163" i="7" s="1"/>
  <c r="L1163" i="7" s="1"/>
  <c r="H1162" i="7"/>
  <c r="J1162" i="7" s="1"/>
  <c r="L1162" i="7" s="1"/>
  <c r="H1161" i="7"/>
  <c r="J1161" i="7" s="1"/>
  <c r="L1161" i="7" s="1"/>
  <c r="H1160" i="7"/>
  <c r="J1160" i="7" s="1"/>
  <c r="L1160" i="7" s="1"/>
  <c r="H1159" i="7"/>
  <c r="J1159" i="7" s="1"/>
  <c r="L1159" i="7" s="1"/>
  <c r="H1158" i="7"/>
  <c r="J1158" i="7" s="1"/>
  <c r="L1158" i="7" s="1"/>
  <c r="H1157" i="7"/>
  <c r="J1157" i="7" s="1"/>
  <c r="L1157" i="7" s="1"/>
  <c r="H1156" i="7"/>
  <c r="J1156" i="7" s="1"/>
  <c r="L1156" i="7" s="1"/>
  <c r="H1155" i="7"/>
  <c r="J1155" i="7" s="1"/>
  <c r="L1155" i="7" s="1"/>
  <c r="H1154" i="7"/>
  <c r="J1154" i="7" s="1"/>
  <c r="L1154" i="7" s="1"/>
  <c r="H1153" i="7"/>
  <c r="J1153" i="7" s="1"/>
  <c r="L1153" i="7" s="1"/>
  <c r="H1152" i="7"/>
  <c r="J1152" i="7" s="1"/>
  <c r="L1152" i="7" s="1"/>
  <c r="H1151" i="7"/>
  <c r="J1151" i="7" s="1"/>
  <c r="L1151" i="7" s="1"/>
  <c r="H1150" i="7"/>
  <c r="J1150" i="7" s="1"/>
  <c r="L1150" i="7" s="1"/>
  <c r="H1149" i="7"/>
  <c r="J1149" i="7" s="1"/>
  <c r="L1149" i="7" s="1"/>
  <c r="H1148" i="7"/>
  <c r="J1148" i="7" s="1"/>
  <c r="L1148" i="7" s="1"/>
  <c r="H1147" i="7"/>
  <c r="J1147" i="7" s="1"/>
  <c r="L1147" i="7" s="1"/>
  <c r="H1146" i="7"/>
  <c r="J1146" i="7" s="1"/>
  <c r="L1146" i="7" s="1"/>
  <c r="H1145" i="7"/>
  <c r="J1145" i="7" s="1"/>
  <c r="L1145" i="7" s="1"/>
  <c r="H1144" i="7"/>
  <c r="J1144" i="7" s="1"/>
  <c r="L1144" i="7" s="1"/>
  <c r="H1143" i="7"/>
  <c r="J1143" i="7" s="1"/>
  <c r="L1143" i="7" s="1"/>
  <c r="H1142" i="7"/>
  <c r="J1142" i="7" s="1"/>
  <c r="L1142" i="7" s="1"/>
  <c r="H1141" i="7"/>
  <c r="J1141" i="7" s="1"/>
  <c r="L1141" i="7" s="1"/>
  <c r="H1140" i="7"/>
  <c r="J1140" i="7" s="1"/>
  <c r="L1140" i="7" s="1"/>
  <c r="H1139" i="7"/>
  <c r="J1139" i="7" s="1"/>
  <c r="L1139" i="7" s="1"/>
  <c r="H1138" i="7"/>
  <c r="J1138" i="7" s="1"/>
  <c r="L1138" i="7" s="1"/>
  <c r="H1137" i="7"/>
  <c r="J1137" i="7" s="1"/>
  <c r="L1137" i="7" s="1"/>
  <c r="H1136" i="7"/>
  <c r="J1136" i="7" s="1"/>
  <c r="L1136" i="7" s="1"/>
  <c r="H1135" i="7"/>
  <c r="J1135" i="7" s="1"/>
  <c r="L1135" i="7" s="1"/>
  <c r="H1134" i="7"/>
  <c r="J1134" i="7" s="1"/>
  <c r="L1134" i="7" s="1"/>
  <c r="H1133" i="7"/>
  <c r="J1133" i="7" s="1"/>
  <c r="L1133" i="7" s="1"/>
  <c r="H1132" i="7"/>
  <c r="J1132" i="7" s="1"/>
  <c r="L1132" i="7" s="1"/>
  <c r="H1131" i="7"/>
  <c r="J1131" i="7" s="1"/>
  <c r="L1131" i="7" s="1"/>
  <c r="H1130" i="7"/>
  <c r="J1130" i="7" s="1"/>
  <c r="L1130" i="7" s="1"/>
  <c r="H1129" i="7"/>
  <c r="J1129" i="7" s="1"/>
  <c r="L1129" i="7" s="1"/>
  <c r="H1128" i="7"/>
  <c r="J1128" i="7" s="1"/>
  <c r="L1128" i="7" s="1"/>
  <c r="H1127" i="7"/>
  <c r="J1127" i="7" s="1"/>
  <c r="L1127" i="7" s="1"/>
  <c r="H1126" i="7"/>
  <c r="J1126" i="7" s="1"/>
  <c r="L1126" i="7" s="1"/>
  <c r="H1125" i="7"/>
  <c r="J1125" i="7" s="1"/>
  <c r="L1125" i="7" s="1"/>
  <c r="H1124" i="7"/>
  <c r="J1124" i="7" s="1"/>
  <c r="L1124" i="7" s="1"/>
  <c r="H1123" i="7"/>
  <c r="J1123" i="7" s="1"/>
  <c r="L1123" i="7" s="1"/>
  <c r="H1122" i="7"/>
  <c r="J1122" i="7" s="1"/>
  <c r="L1122" i="7" s="1"/>
  <c r="H1121" i="7"/>
  <c r="J1121" i="7" s="1"/>
  <c r="L1121" i="7" s="1"/>
  <c r="H1120" i="7"/>
  <c r="J1120" i="7" s="1"/>
  <c r="L1120" i="7" s="1"/>
  <c r="H1119" i="7"/>
  <c r="J1119" i="7" s="1"/>
  <c r="L1119" i="7" s="1"/>
  <c r="H1118" i="7"/>
  <c r="J1118" i="7" s="1"/>
  <c r="L1118" i="7" s="1"/>
  <c r="H1117" i="7"/>
  <c r="J1117" i="7" s="1"/>
  <c r="L1117" i="7" s="1"/>
  <c r="H1116" i="7"/>
  <c r="J1116" i="7" s="1"/>
  <c r="L1116" i="7" s="1"/>
  <c r="H1115" i="7"/>
  <c r="J1115" i="7" s="1"/>
  <c r="L1115" i="7" s="1"/>
  <c r="H1114" i="7"/>
  <c r="J1114" i="7" s="1"/>
  <c r="L1114" i="7" s="1"/>
  <c r="H1113" i="7"/>
  <c r="J1113" i="7" s="1"/>
  <c r="L1113" i="7" s="1"/>
  <c r="H1112" i="7"/>
  <c r="J1112" i="7" s="1"/>
  <c r="L1112" i="7" s="1"/>
  <c r="H1111" i="7"/>
  <c r="J1111" i="7" s="1"/>
  <c r="L1111" i="7" s="1"/>
  <c r="H1110" i="7"/>
  <c r="J1110" i="7" s="1"/>
  <c r="L1110" i="7" s="1"/>
  <c r="H1109" i="7"/>
  <c r="J1109" i="7" s="1"/>
  <c r="L1109" i="7" s="1"/>
  <c r="H1108" i="7"/>
  <c r="J1108" i="7" s="1"/>
  <c r="L1108" i="7" s="1"/>
  <c r="H1107" i="7"/>
  <c r="J1107" i="7" s="1"/>
  <c r="L1107" i="7" s="1"/>
  <c r="H1106" i="7"/>
  <c r="J1106" i="7" s="1"/>
  <c r="L1106" i="7" s="1"/>
  <c r="H1105" i="7"/>
  <c r="J1105" i="7" s="1"/>
  <c r="L1105" i="7" s="1"/>
  <c r="H1104" i="7"/>
  <c r="J1104" i="7" s="1"/>
  <c r="L1104" i="7" s="1"/>
  <c r="H1103" i="7"/>
  <c r="J1103" i="7" s="1"/>
  <c r="L1103" i="7" s="1"/>
  <c r="H1102" i="7"/>
  <c r="J1102" i="7" s="1"/>
  <c r="L1102" i="7" s="1"/>
  <c r="H1101" i="7"/>
  <c r="J1101" i="7" s="1"/>
  <c r="L1101" i="7" s="1"/>
  <c r="H1100" i="7"/>
  <c r="J1100" i="7" s="1"/>
  <c r="L1100" i="7" s="1"/>
  <c r="H1099" i="7"/>
  <c r="J1099" i="7" s="1"/>
  <c r="L1099" i="7" s="1"/>
  <c r="H1098" i="7"/>
  <c r="J1098" i="7" s="1"/>
  <c r="L1098" i="7" s="1"/>
  <c r="H1097" i="7"/>
  <c r="J1097" i="7" s="1"/>
  <c r="L1097" i="7" s="1"/>
  <c r="H1096" i="7"/>
  <c r="J1096" i="7" s="1"/>
  <c r="L1096" i="7" s="1"/>
  <c r="H1095" i="7"/>
  <c r="J1095" i="7" s="1"/>
  <c r="L1095" i="7" s="1"/>
  <c r="H1094" i="7"/>
  <c r="J1094" i="7" s="1"/>
  <c r="L1094" i="7" s="1"/>
  <c r="H1093" i="7"/>
  <c r="J1093" i="7" s="1"/>
  <c r="L1093" i="7" s="1"/>
  <c r="H1092" i="7"/>
  <c r="J1092" i="7" s="1"/>
  <c r="L1092" i="7" s="1"/>
  <c r="H1091" i="7"/>
  <c r="J1091" i="7" s="1"/>
  <c r="L1091" i="7" s="1"/>
  <c r="H1090" i="7"/>
  <c r="J1090" i="7" s="1"/>
  <c r="L1090" i="7" s="1"/>
  <c r="H1089" i="7"/>
  <c r="J1089" i="7" s="1"/>
  <c r="L1089" i="7" s="1"/>
  <c r="H1088" i="7"/>
  <c r="J1088" i="7" s="1"/>
  <c r="L1088" i="7" s="1"/>
  <c r="H1087" i="7"/>
  <c r="J1087" i="7" s="1"/>
  <c r="L1087" i="7" s="1"/>
  <c r="H1086" i="7"/>
  <c r="J1086" i="7" s="1"/>
  <c r="L1086" i="7" s="1"/>
  <c r="H1085" i="7"/>
  <c r="J1085" i="7" s="1"/>
  <c r="L1085" i="7" s="1"/>
  <c r="H1084" i="7"/>
  <c r="J1084" i="7" s="1"/>
  <c r="L1084" i="7" s="1"/>
  <c r="H1083" i="7"/>
  <c r="J1083" i="7" s="1"/>
  <c r="L1083" i="7" s="1"/>
  <c r="H1082" i="7"/>
  <c r="J1082" i="7" s="1"/>
  <c r="L1082" i="7" s="1"/>
  <c r="H1081" i="7"/>
  <c r="J1081" i="7" s="1"/>
  <c r="L1081" i="7" s="1"/>
  <c r="H1080" i="7"/>
  <c r="J1080" i="7" s="1"/>
  <c r="L1080" i="7" s="1"/>
  <c r="H1079" i="7"/>
  <c r="J1079" i="7" s="1"/>
  <c r="L1079" i="7" s="1"/>
  <c r="H1078" i="7"/>
  <c r="J1078" i="7" s="1"/>
  <c r="L1078" i="7" s="1"/>
  <c r="H1077" i="7"/>
  <c r="J1077" i="7" s="1"/>
  <c r="L1077" i="7" s="1"/>
  <c r="H1076" i="7"/>
  <c r="J1076" i="7" s="1"/>
  <c r="L1076" i="7" s="1"/>
  <c r="H1075" i="7"/>
  <c r="J1075" i="7" s="1"/>
  <c r="L1075" i="7" s="1"/>
  <c r="H1074" i="7"/>
  <c r="J1074" i="7" s="1"/>
  <c r="L1074" i="7" s="1"/>
  <c r="H1073" i="7"/>
  <c r="J1073" i="7" s="1"/>
  <c r="L1073" i="7" s="1"/>
  <c r="H1072" i="7"/>
  <c r="J1072" i="7" s="1"/>
  <c r="L1072" i="7" s="1"/>
  <c r="H1071" i="7"/>
  <c r="J1071" i="7" s="1"/>
  <c r="L1071" i="7" s="1"/>
  <c r="H1070" i="7"/>
  <c r="J1070" i="7" s="1"/>
  <c r="L1070" i="7" s="1"/>
  <c r="H1069" i="7"/>
  <c r="J1069" i="7" s="1"/>
  <c r="L1069" i="7" s="1"/>
  <c r="H1068" i="7"/>
  <c r="J1068" i="7" s="1"/>
  <c r="L1068" i="7" s="1"/>
  <c r="H1067" i="7"/>
  <c r="J1067" i="7" s="1"/>
  <c r="L1067" i="7" s="1"/>
  <c r="H1066" i="7"/>
  <c r="J1066" i="7" s="1"/>
  <c r="L1066" i="7" s="1"/>
  <c r="H1065" i="7"/>
  <c r="J1065" i="7" s="1"/>
  <c r="L1065" i="7" s="1"/>
  <c r="H1064" i="7"/>
  <c r="J1064" i="7" s="1"/>
  <c r="L1064" i="7" s="1"/>
  <c r="H1063" i="7"/>
  <c r="J1063" i="7" s="1"/>
  <c r="L1063" i="7" s="1"/>
  <c r="H1062" i="7"/>
  <c r="J1062" i="7" s="1"/>
  <c r="L1062" i="7" s="1"/>
  <c r="H1061" i="7"/>
  <c r="J1061" i="7" s="1"/>
  <c r="L1061" i="7" s="1"/>
  <c r="Q1061" i="7" s="1"/>
  <c r="H1060" i="7"/>
  <c r="J1060" i="7" s="1"/>
  <c r="L1060" i="7" s="1"/>
  <c r="Q1060" i="7" s="1"/>
  <c r="H1059" i="7"/>
  <c r="J1059" i="7" s="1"/>
  <c r="L1059" i="7" s="1"/>
  <c r="Q1059" i="7" s="1"/>
  <c r="H1058" i="7"/>
  <c r="J1058" i="7" s="1"/>
  <c r="L1058" i="7" s="1"/>
  <c r="Q1058" i="7" s="1"/>
  <c r="H1057" i="7"/>
  <c r="J1057" i="7" s="1"/>
  <c r="L1057" i="7" s="1"/>
  <c r="Q1057" i="7" s="1"/>
  <c r="H1056" i="7"/>
  <c r="J1056" i="7" s="1"/>
  <c r="L1056" i="7" s="1"/>
  <c r="Q1056" i="7" s="1"/>
  <c r="H1055" i="7"/>
  <c r="J1055" i="7" s="1"/>
  <c r="L1055" i="7" s="1"/>
  <c r="Q1055" i="7" s="1"/>
  <c r="H1054" i="7"/>
  <c r="J1054" i="7" s="1"/>
  <c r="L1054" i="7" s="1"/>
  <c r="Q1054" i="7" s="1"/>
  <c r="H1053" i="7"/>
  <c r="J1053" i="7" s="1"/>
  <c r="L1053" i="7" s="1"/>
  <c r="Q1053" i="7" s="1"/>
  <c r="H1052" i="7"/>
  <c r="J1052" i="7" s="1"/>
  <c r="L1052" i="7" s="1"/>
  <c r="Q1052" i="7" s="1"/>
  <c r="H1051" i="7"/>
  <c r="J1051" i="7" s="1"/>
  <c r="L1051" i="7" s="1"/>
  <c r="Q1051" i="7" s="1"/>
  <c r="E1063" i="6" s="1"/>
  <c r="H1050" i="7"/>
  <c r="J1050" i="7" s="1"/>
  <c r="L1050" i="7" s="1"/>
  <c r="Q1050" i="7" s="1"/>
  <c r="E1062" i="6" s="1"/>
  <c r="H1049" i="7"/>
  <c r="J1049" i="7" s="1"/>
  <c r="L1049" i="7" s="1"/>
  <c r="Q1049" i="7" s="1"/>
  <c r="E1061" i="6" s="1"/>
  <c r="H1048" i="7"/>
  <c r="J1048" i="7" s="1"/>
  <c r="L1048" i="7" s="1"/>
  <c r="Q1048" i="7" s="1"/>
  <c r="E1060" i="6" s="1"/>
  <c r="H1047" i="7"/>
  <c r="J1047" i="7" s="1"/>
  <c r="L1047" i="7" s="1"/>
  <c r="Q1047" i="7" s="1"/>
  <c r="E1059" i="6" s="1"/>
  <c r="H1046" i="7"/>
  <c r="J1046" i="7" s="1"/>
  <c r="L1046" i="7" s="1"/>
  <c r="Q1046" i="7" s="1"/>
  <c r="E1058" i="6" s="1"/>
  <c r="H1045" i="7"/>
  <c r="J1045" i="7" s="1"/>
  <c r="L1045" i="7" s="1"/>
  <c r="Q1045" i="7" s="1"/>
  <c r="E1057" i="6" s="1"/>
  <c r="H1044" i="7"/>
  <c r="J1044" i="7" s="1"/>
  <c r="L1044" i="7" s="1"/>
  <c r="Q1044" i="7" s="1"/>
  <c r="E1056" i="6" s="1"/>
  <c r="H1043" i="7"/>
  <c r="J1043" i="7" s="1"/>
  <c r="L1043" i="7" s="1"/>
  <c r="Q1043" i="7" s="1"/>
  <c r="E1055" i="6" s="1"/>
  <c r="H1042" i="7"/>
  <c r="J1042" i="7" s="1"/>
  <c r="L1042" i="7" s="1"/>
  <c r="Q1042" i="7" s="1"/>
  <c r="E1054" i="6" s="1"/>
  <c r="H1041" i="7"/>
  <c r="J1041" i="7" s="1"/>
  <c r="L1041" i="7" s="1"/>
  <c r="Q1041" i="7" s="1"/>
  <c r="E1053" i="6" s="1"/>
  <c r="H1040" i="7"/>
  <c r="J1040" i="7" s="1"/>
  <c r="L1040" i="7" s="1"/>
  <c r="Q1040" i="7" s="1"/>
  <c r="E1052" i="6" s="1"/>
  <c r="H1039" i="7"/>
  <c r="J1039" i="7" s="1"/>
  <c r="L1039" i="7" s="1"/>
  <c r="Q1039" i="7" s="1"/>
  <c r="E1051" i="6" s="1"/>
  <c r="H1038" i="7"/>
  <c r="J1038" i="7" s="1"/>
  <c r="L1038" i="7" s="1"/>
  <c r="Q1038" i="7" s="1"/>
  <c r="E1050" i="6" s="1"/>
  <c r="H1037" i="7"/>
  <c r="J1037" i="7" s="1"/>
  <c r="L1037" i="7" s="1"/>
  <c r="Q1037" i="7" s="1"/>
  <c r="E1049" i="6" s="1"/>
  <c r="H1036" i="7"/>
  <c r="J1036" i="7" s="1"/>
  <c r="L1036" i="7" s="1"/>
  <c r="Q1036" i="7" s="1"/>
  <c r="E1048" i="6" s="1"/>
  <c r="H1035" i="7"/>
  <c r="J1035" i="7" s="1"/>
  <c r="L1035" i="7" s="1"/>
  <c r="Q1035" i="7" s="1"/>
  <c r="H1034" i="7"/>
  <c r="J1034" i="7" s="1"/>
  <c r="L1034" i="7" s="1"/>
  <c r="Q1034" i="7" s="1"/>
  <c r="H1033" i="7"/>
  <c r="J1033" i="7" s="1"/>
  <c r="L1033" i="7" s="1"/>
  <c r="Q1033" i="7" s="1"/>
  <c r="E1045" i="6" s="1"/>
  <c r="H1032" i="7"/>
  <c r="J1032" i="7" s="1"/>
  <c r="L1032" i="7" s="1"/>
  <c r="Q1032" i="7" s="1"/>
  <c r="E1044" i="6" s="1"/>
  <c r="H1031" i="7"/>
  <c r="J1031" i="7" s="1"/>
  <c r="L1031" i="7" s="1"/>
  <c r="Q1031" i="7" s="1"/>
  <c r="E1043" i="6" s="1"/>
  <c r="H1030" i="7"/>
  <c r="J1030" i="7" s="1"/>
  <c r="L1030" i="7" s="1"/>
  <c r="Q1030" i="7" s="1"/>
  <c r="H1029" i="7"/>
  <c r="J1029" i="7" s="1"/>
  <c r="L1029" i="7" s="1"/>
  <c r="Q1029" i="7" s="1"/>
  <c r="H1028" i="7"/>
  <c r="J1028" i="7" s="1"/>
  <c r="L1028" i="7" s="1"/>
  <c r="Q1028" i="7" s="1"/>
  <c r="E1040" i="6" s="1"/>
  <c r="H1027" i="7"/>
  <c r="J1027" i="7" s="1"/>
  <c r="L1027" i="7" s="1"/>
  <c r="Q1027" i="7" s="1"/>
  <c r="E1039" i="6" s="1"/>
  <c r="H1026" i="7"/>
  <c r="J1026" i="7" s="1"/>
  <c r="L1026" i="7" s="1"/>
  <c r="Q1026" i="7" s="1"/>
  <c r="E1038" i="6" s="1"/>
  <c r="H1025" i="7"/>
  <c r="J1025" i="7" s="1"/>
  <c r="L1025" i="7" s="1"/>
  <c r="Q1025" i="7" s="1"/>
  <c r="E1037" i="6" s="1"/>
  <c r="H1024" i="7"/>
  <c r="J1024" i="7" s="1"/>
  <c r="L1024" i="7" s="1"/>
  <c r="Q1024" i="7" s="1"/>
  <c r="E1036" i="6" s="1"/>
  <c r="H1023" i="7"/>
  <c r="J1023" i="7" s="1"/>
  <c r="L1023" i="7" s="1"/>
  <c r="Q1023" i="7" s="1"/>
  <c r="H1022" i="7"/>
  <c r="J1022" i="7" s="1"/>
  <c r="L1022" i="7" s="1"/>
  <c r="Q1022" i="7" s="1"/>
  <c r="H1021" i="7"/>
  <c r="J1021" i="7" s="1"/>
  <c r="L1021" i="7" s="1"/>
  <c r="Q1021" i="7" s="1"/>
  <c r="H1020" i="7"/>
  <c r="J1020" i="7" s="1"/>
  <c r="L1020" i="7" s="1"/>
  <c r="Q1020" i="7" s="1"/>
  <c r="H1019" i="7"/>
  <c r="J1019" i="7" s="1"/>
  <c r="L1019" i="7" s="1"/>
  <c r="Q1019" i="7" s="1"/>
  <c r="H1018" i="7"/>
  <c r="J1018" i="7" s="1"/>
  <c r="L1018" i="7" s="1"/>
  <c r="Q1018" i="7" s="1"/>
  <c r="H1017" i="7"/>
  <c r="J1017" i="7" s="1"/>
  <c r="L1017" i="7" s="1"/>
  <c r="Q1017" i="7" s="1"/>
  <c r="H1016" i="7"/>
  <c r="J1016" i="7" s="1"/>
  <c r="L1016" i="7" s="1"/>
  <c r="Q1016" i="7" s="1"/>
  <c r="Q1015" i="7"/>
  <c r="E1027" i="6" s="1"/>
  <c r="Q1014" i="7"/>
  <c r="E1026" i="6" s="1"/>
  <c r="H1013" i="7"/>
  <c r="J1013" i="7" s="1"/>
  <c r="L1013" i="7" s="1"/>
  <c r="Q1013" i="7" s="1"/>
  <c r="E1025" i="6" s="1"/>
  <c r="Q1012" i="7"/>
  <c r="Q1011" i="7"/>
  <c r="H1010" i="7"/>
  <c r="J1010" i="7" s="1"/>
  <c r="L1010" i="7" s="1"/>
  <c r="Q1010" i="7" s="1"/>
  <c r="H1009" i="7"/>
  <c r="J1009" i="7" s="1"/>
  <c r="L1009" i="7" s="1"/>
  <c r="Q1009" i="7" s="1"/>
  <c r="E1021" i="6" s="1"/>
  <c r="H1008" i="7"/>
  <c r="J1008" i="7" s="1"/>
  <c r="L1008" i="7" s="1"/>
  <c r="Q1008" i="7" s="1"/>
  <c r="E1020" i="6" s="1"/>
  <c r="H1007" i="7"/>
  <c r="J1007" i="7" s="1"/>
  <c r="L1007" i="7" s="1"/>
  <c r="Q1007" i="7" s="1"/>
  <c r="E1019" i="6" s="1"/>
  <c r="H1006" i="7"/>
  <c r="J1006" i="7" s="1"/>
  <c r="L1006" i="7" s="1"/>
  <c r="Q1006" i="7" s="1"/>
  <c r="E1018" i="6" s="1"/>
  <c r="H1005" i="7"/>
  <c r="J1005" i="7" s="1"/>
  <c r="L1005" i="7" s="1"/>
  <c r="Q1005" i="7" s="1"/>
  <c r="E1017" i="6" s="1"/>
  <c r="H1004" i="7"/>
  <c r="J1004" i="7" s="1"/>
  <c r="L1004" i="7" s="1"/>
  <c r="Q1004" i="7" s="1"/>
  <c r="E1016" i="6" s="1"/>
  <c r="H1003" i="7"/>
  <c r="J1003" i="7" s="1"/>
  <c r="L1003" i="7" s="1"/>
  <c r="Q1003" i="7" s="1"/>
  <c r="E1015" i="6" s="1"/>
  <c r="H1002" i="7"/>
  <c r="J1002" i="7" s="1"/>
  <c r="L1002" i="7" s="1"/>
  <c r="Q1002" i="7" s="1"/>
  <c r="E1014" i="6" s="1"/>
  <c r="J1001" i="7"/>
  <c r="L1001" i="7" s="1"/>
  <c r="Q1001" i="7" s="1"/>
  <c r="E1013" i="6" s="1"/>
  <c r="H1000" i="7"/>
  <c r="J1000" i="7" s="1"/>
  <c r="L1000" i="7" s="1"/>
  <c r="Q1000" i="7" s="1"/>
  <c r="E1012" i="6" s="1"/>
  <c r="H999" i="7"/>
  <c r="J999" i="7" s="1"/>
  <c r="L999" i="7" s="1"/>
  <c r="Q999" i="7" s="1"/>
  <c r="H998" i="7"/>
  <c r="J998" i="7" s="1"/>
  <c r="L998" i="7" s="1"/>
  <c r="Q998" i="7" s="1"/>
  <c r="H997" i="7"/>
  <c r="J997" i="7" s="1"/>
  <c r="L997" i="7" s="1"/>
  <c r="Q997" i="7" s="1"/>
  <c r="H996" i="7"/>
  <c r="J996" i="7" s="1"/>
  <c r="L996" i="7" s="1"/>
  <c r="Q996" i="7" s="1"/>
  <c r="E1008" i="6" s="1"/>
  <c r="H995" i="7"/>
  <c r="J995" i="7" s="1"/>
  <c r="L995" i="7" s="1"/>
  <c r="Q995" i="7" s="1"/>
  <c r="E1007" i="6" s="1"/>
  <c r="H994" i="7"/>
  <c r="J994" i="7" s="1"/>
  <c r="L994" i="7" s="1"/>
  <c r="Q994" i="7" s="1"/>
  <c r="E1006" i="6" s="1"/>
  <c r="H993" i="7"/>
  <c r="J993" i="7" s="1"/>
  <c r="L993" i="7" s="1"/>
  <c r="Q993" i="7" s="1"/>
  <c r="E1005" i="6" s="1"/>
  <c r="H992" i="7"/>
  <c r="J992" i="7" s="1"/>
  <c r="L992" i="7" s="1"/>
  <c r="Q992" i="7" s="1"/>
  <c r="E1004" i="6" s="1"/>
  <c r="H991" i="7"/>
  <c r="J991" i="7" s="1"/>
  <c r="L991" i="7" s="1"/>
  <c r="Q991" i="7" s="1"/>
  <c r="E1003" i="6" s="1"/>
  <c r="H990" i="7"/>
  <c r="J990" i="7" s="1"/>
  <c r="L990" i="7" s="1"/>
  <c r="Q990" i="7" s="1"/>
  <c r="H989" i="7"/>
  <c r="J989" i="7" s="1"/>
  <c r="L989" i="7" s="1"/>
  <c r="Q989" i="7" s="1"/>
  <c r="E1001" i="6" s="1"/>
  <c r="H988" i="7"/>
  <c r="J988" i="7" s="1"/>
  <c r="L988" i="7" s="1"/>
  <c r="Q988" i="7" s="1"/>
  <c r="E1000" i="6" s="1"/>
  <c r="H987" i="7"/>
  <c r="J987" i="7" s="1"/>
  <c r="L987" i="7" s="1"/>
  <c r="Q987" i="7" s="1"/>
  <c r="E999" i="6" s="1"/>
  <c r="H986" i="7"/>
  <c r="J986" i="7" s="1"/>
  <c r="L986" i="7" s="1"/>
  <c r="Q986" i="7" s="1"/>
  <c r="E998" i="6" s="1"/>
  <c r="H985" i="7"/>
  <c r="J985" i="7" s="1"/>
  <c r="L985" i="7" s="1"/>
  <c r="Q985" i="7" s="1"/>
  <c r="E997" i="6" s="1"/>
  <c r="H984" i="7"/>
  <c r="J984" i="7" s="1"/>
  <c r="L984" i="7" s="1"/>
  <c r="Q984" i="7" s="1"/>
  <c r="E996" i="6" s="1"/>
  <c r="H983" i="7"/>
  <c r="J983" i="7" s="1"/>
  <c r="L983" i="7" s="1"/>
  <c r="Q983" i="7" s="1"/>
  <c r="H982" i="7"/>
  <c r="J982" i="7" s="1"/>
  <c r="L982" i="7" s="1"/>
  <c r="Q982" i="7" s="1"/>
  <c r="H981" i="7"/>
  <c r="J981" i="7" s="1"/>
  <c r="L981" i="7" s="1"/>
  <c r="Q981" i="7" s="1"/>
  <c r="E993" i="6" s="1"/>
  <c r="H980" i="7"/>
  <c r="J980" i="7" s="1"/>
  <c r="L980" i="7" s="1"/>
  <c r="Q980" i="7" s="1"/>
  <c r="E992" i="6" s="1"/>
  <c r="H979" i="7"/>
  <c r="J979" i="7" s="1"/>
  <c r="L979" i="7" s="1"/>
  <c r="Q979" i="7" s="1"/>
  <c r="E991" i="6" s="1"/>
  <c r="H978" i="7"/>
  <c r="J978" i="7" s="1"/>
  <c r="L978" i="7" s="1"/>
  <c r="Q978" i="7" s="1"/>
  <c r="E990" i="6" s="1"/>
  <c r="H977" i="7"/>
  <c r="J977" i="7" s="1"/>
  <c r="L977" i="7" s="1"/>
  <c r="Q977" i="7" s="1"/>
  <c r="E989" i="6" s="1"/>
  <c r="H976" i="7"/>
  <c r="J976" i="7" s="1"/>
  <c r="L976" i="7" s="1"/>
  <c r="Q976" i="7" s="1"/>
  <c r="E988" i="6" s="1"/>
  <c r="H975" i="7"/>
  <c r="J975" i="7" s="1"/>
  <c r="L975" i="7" s="1"/>
  <c r="Q975" i="7" s="1"/>
  <c r="E987" i="6" s="1"/>
  <c r="H974" i="7"/>
  <c r="J974" i="7" s="1"/>
  <c r="L974" i="7" s="1"/>
  <c r="Q974" i="7" s="1"/>
  <c r="E986" i="6" s="1"/>
  <c r="H973" i="7"/>
  <c r="J973" i="7" s="1"/>
  <c r="L973" i="7" s="1"/>
  <c r="Q973" i="7" s="1"/>
  <c r="E985" i="6" s="1"/>
  <c r="H972" i="7"/>
  <c r="J972" i="7" s="1"/>
  <c r="L972" i="7" s="1"/>
  <c r="Q972" i="7" s="1"/>
  <c r="H971" i="7"/>
  <c r="J971" i="7" s="1"/>
  <c r="L971" i="7" s="1"/>
  <c r="Q971" i="7" s="1"/>
  <c r="H970" i="7"/>
  <c r="J970" i="7" s="1"/>
  <c r="L970" i="7" s="1"/>
  <c r="Q970" i="7" s="1"/>
  <c r="E982" i="6" s="1"/>
  <c r="H969" i="7"/>
  <c r="J969" i="7" s="1"/>
  <c r="L969" i="7" s="1"/>
  <c r="Q969" i="7" s="1"/>
  <c r="E981" i="6" s="1"/>
  <c r="H968" i="7"/>
  <c r="J968" i="7" s="1"/>
  <c r="L968" i="7" s="1"/>
  <c r="Q968" i="7" s="1"/>
  <c r="E980" i="6" s="1"/>
  <c r="H967" i="7"/>
  <c r="J967" i="7" s="1"/>
  <c r="L967" i="7" s="1"/>
  <c r="Q967" i="7" s="1"/>
  <c r="E979" i="6" s="1"/>
  <c r="H966" i="7"/>
  <c r="J966" i="7" s="1"/>
  <c r="L966" i="7" s="1"/>
  <c r="Q966" i="7" s="1"/>
  <c r="H965" i="7"/>
  <c r="J965" i="7" s="1"/>
  <c r="L965" i="7" s="1"/>
  <c r="Q965" i="7" s="1"/>
  <c r="E977" i="6" s="1"/>
  <c r="H964" i="7"/>
  <c r="J964" i="7" s="1"/>
  <c r="L964" i="7" s="1"/>
  <c r="Q964" i="7" s="1"/>
  <c r="E976" i="6" s="1"/>
  <c r="H963" i="7"/>
  <c r="J963" i="7" s="1"/>
  <c r="L963" i="7" s="1"/>
  <c r="Q963" i="7" s="1"/>
  <c r="H962" i="7"/>
  <c r="J962" i="7" s="1"/>
  <c r="L962" i="7" s="1"/>
  <c r="Q962" i="7" s="1"/>
  <c r="E974" i="6" s="1"/>
  <c r="H961" i="7"/>
  <c r="J961" i="7" s="1"/>
  <c r="L961" i="7" s="1"/>
  <c r="Q961" i="7" s="1"/>
  <c r="E973" i="6" s="1"/>
  <c r="H960" i="7"/>
  <c r="J960" i="7" s="1"/>
  <c r="L960" i="7" s="1"/>
  <c r="Q960" i="7" s="1"/>
  <c r="E972" i="6" s="1"/>
  <c r="H959" i="7"/>
  <c r="J959" i="7" s="1"/>
  <c r="L959" i="7" s="1"/>
  <c r="Q959" i="7" s="1"/>
  <c r="E971" i="6" s="1"/>
  <c r="H958" i="7"/>
  <c r="J958" i="7" s="1"/>
  <c r="L958" i="7" s="1"/>
  <c r="Q958" i="7" s="1"/>
  <c r="E970" i="6" s="1"/>
  <c r="H957" i="7"/>
  <c r="J957" i="7" s="1"/>
  <c r="L957" i="7" s="1"/>
  <c r="Q957" i="7" s="1"/>
  <c r="E969" i="6" s="1"/>
  <c r="H956" i="7"/>
  <c r="J956" i="7" s="1"/>
  <c r="L956" i="7" s="1"/>
  <c r="Q956" i="7" s="1"/>
  <c r="E968" i="6" s="1"/>
  <c r="H955" i="7"/>
  <c r="J955" i="7" s="1"/>
  <c r="L955" i="7" s="1"/>
  <c r="Q955" i="7" s="1"/>
  <c r="H954" i="7"/>
  <c r="J954" i="7" s="1"/>
  <c r="L954" i="7" s="1"/>
  <c r="Q954" i="7" s="1"/>
  <c r="H953" i="7"/>
  <c r="J953" i="7" s="1"/>
  <c r="L953" i="7" s="1"/>
  <c r="Q953" i="7" s="1"/>
  <c r="E965" i="6" s="1"/>
  <c r="H952" i="7"/>
  <c r="J952" i="7" s="1"/>
  <c r="L952" i="7" s="1"/>
  <c r="Q952" i="7" s="1"/>
  <c r="E964" i="6" s="1"/>
  <c r="H951" i="7"/>
  <c r="J951" i="7" s="1"/>
  <c r="L951" i="7" s="1"/>
  <c r="Q951" i="7" s="1"/>
  <c r="E963" i="6" s="1"/>
  <c r="H950" i="7"/>
  <c r="J950" i="7" s="1"/>
  <c r="L950" i="7" s="1"/>
  <c r="Q950" i="7" s="1"/>
  <c r="E962" i="6" s="1"/>
  <c r="H949" i="7"/>
  <c r="J949" i="7" s="1"/>
  <c r="H948" i="7"/>
  <c r="J948" i="7" s="1"/>
  <c r="L948" i="7" s="1"/>
  <c r="Q948" i="7" s="1"/>
  <c r="E960" i="6" s="1"/>
  <c r="H947" i="7"/>
  <c r="J947" i="7" s="1"/>
  <c r="L947" i="7" s="1"/>
  <c r="Q947" i="7" s="1"/>
  <c r="E959" i="6" s="1"/>
  <c r="H946" i="7"/>
  <c r="J946" i="7" s="1"/>
  <c r="L946" i="7" s="1"/>
  <c r="Q946" i="7" s="1"/>
  <c r="H945" i="7"/>
  <c r="J945" i="7" s="1"/>
  <c r="L945" i="7" s="1"/>
  <c r="Q945" i="7" s="1"/>
  <c r="H944" i="7"/>
  <c r="J944" i="7" s="1"/>
  <c r="L944" i="7" s="1"/>
  <c r="Q944" i="7" s="1"/>
  <c r="E956" i="6" s="1"/>
  <c r="H943" i="7"/>
  <c r="J943" i="7" s="1"/>
  <c r="L943" i="7" s="1"/>
  <c r="Q943" i="7" s="1"/>
  <c r="E955" i="6" s="1"/>
  <c r="H942" i="7"/>
  <c r="J942" i="7" s="1"/>
  <c r="L942" i="7" s="1"/>
  <c r="Q942" i="7" s="1"/>
  <c r="E954" i="6" s="1"/>
  <c r="H941" i="7"/>
  <c r="J941" i="7" s="1"/>
  <c r="L941" i="7" s="1"/>
  <c r="Q941" i="7" s="1"/>
  <c r="H940" i="7"/>
  <c r="J940" i="7" s="1"/>
  <c r="L940" i="7" s="1"/>
  <c r="Q940" i="7" s="1"/>
  <c r="E952" i="6" s="1"/>
  <c r="H939" i="7"/>
  <c r="J939" i="7" s="1"/>
  <c r="L939" i="7" s="1"/>
  <c r="Q939" i="7" s="1"/>
  <c r="E951" i="6" s="1"/>
  <c r="H938" i="7"/>
  <c r="J938" i="7" s="1"/>
  <c r="L938" i="7" s="1"/>
  <c r="Q938" i="7" s="1"/>
  <c r="E950" i="6" s="1"/>
  <c r="H937" i="7"/>
  <c r="J937" i="7" s="1"/>
  <c r="L937" i="7" s="1"/>
  <c r="Q937" i="7" s="1"/>
  <c r="E949" i="6" s="1"/>
  <c r="H936" i="7"/>
  <c r="J936" i="7" s="1"/>
  <c r="L936" i="7" s="1"/>
  <c r="Q936" i="7" s="1"/>
  <c r="E948" i="6" s="1"/>
  <c r="H935" i="7"/>
  <c r="J935" i="7" s="1"/>
  <c r="L935" i="7" s="1"/>
  <c r="Q935" i="7" s="1"/>
  <c r="H934" i="7"/>
  <c r="J934" i="7" s="1"/>
  <c r="L934" i="7" s="1"/>
  <c r="Q934" i="7" s="1"/>
  <c r="H933" i="7"/>
  <c r="J933" i="7" s="1"/>
  <c r="L933" i="7" s="1"/>
  <c r="Q933" i="7" s="1"/>
  <c r="H932" i="7"/>
  <c r="J932" i="7" s="1"/>
  <c r="L932" i="7" s="1"/>
  <c r="Q932" i="7" s="1"/>
  <c r="E944" i="6" s="1"/>
  <c r="H931" i="7"/>
  <c r="J931" i="7" s="1"/>
  <c r="L931" i="7" s="1"/>
  <c r="Q931" i="7" s="1"/>
  <c r="E943" i="6" s="1"/>
  <c r="H930" i="7"/>
  <c r="J930" i="7" s="1"/>
  <c r="L930" i="7" s="1"/>
  <c r="Q930" i="7" s="1"/>
  <c r="E942" i="6" s="1"/>
  <c r="H929" i="7"/>
  <c r="J929" i="7" s="1"/>
  <c r="L929" i="7" s="1"/>
  <c r="Q929" i="7" s="1"/>
  <c r="E941" i="6" s="1"/>
  <c r="H928" i="7"/>
  <c r="J928" i="7" s="1"/>
  <c r="L928" i="7" s="1"/>
  <c r="Q928" i="7" s="1"/>
  <c r="E940" i="6" s="1"/>
  <c r="H927" i="7"/>
  <c r="J927" i="7" s="1"/>
  <c r="L927" i="7" s="1"/>
  <c r="Q927" i="7" s="1"/>
  <c r="E939" i="6" s="1"/>
  <c r="H926" i="7"/>
  <c r="J926" i="7" s="1"/>
  <c r="L926" i="7" s="1"/>
  <c r="Q926" i="7" s="1"/>
  <c r="E938" i="6" s="1"/>
  <c r="H925" i="7"/>
  <c r="J925" i="7" s="1"/>
  <c r="L925" i="7" s="1"/>
  <c r="Q925" i="7" s="1"/>
  <c r="H924" i="7"/>
  <c r="J924" i="7" s="1"/>
  <c r="L924" i="7" s="1"/>
  <c r="Q924" i="7" s="1"/>
  <c r="E936" i="6" s="1"/>
  <c r="H923" i="7"/>
  <c r="J923" i="7" s="1"/>
  <c r="L923" i="7" s="1"/>
  <c r="Q923" i="7" s="1"/>
  <c r="E935" i="6" s="1"/>
  <c r="H922" i="7"/>
  <c r="J922" i="7" s="1"/>
  <c r="L922" i="7" s="1"/>
  <c r="Q922" i="7" s="1"/>
  <c r="E934" i="6" s="1"/>
  <c r="H921" i="7"/>
  <c r="J921" i="7" s="1"/>
  <c r="L921" i="7" s="1"/>
  <c r="Q921" i="7" s="1"/>
  <c r="E933" i="6" s="1"/>
  <c r="H920" i="7"/>
  <c r="J920" i="7" s="1"/>
  <c r="L920" i="7" s="1"/>
  <c r="Q920" i="7" s="1"/>
  <c r="H919" i="7"/>
  <c r="J919" i="7" s="1"/>
  <c r="L919" i="7" s="1"/>
  <c r="Q919" i="7" s="1"/>
  <c r="H918" i="7"/>
  <c r="J918" i="7" s="1"/>
  <c r="L918" i="7" s="1"/>
  <c r="Q918" i="7" s="1"/>
  <c r="H917" i="7"/>
  <c r="J917" i="7" s="1"/>
  <c r="L917" i="7" s="1"/>
  <c r="Q917" i="7" s="1"/>
  <c r="E929" i="6" s="1"/>
  <c r="H916" i="7"/>
  <c r="J916" i="7" s="1"/>
  <c r="L916" i="7" s="1"/>
  <c r="Q916" i="7" s="1"/>
  <c r="E928" i="6" s="1"/>
  <c r="H915" i="7"/>
  <c r="J915" i="7" s="1"/>
  <c r="L915" i="7" s="1"/>
  <c r="Q915" i="7" s="1"/>
  <c r="E927" i="6" s="1"/>
  <c r="Q914" i="7"/>
  <c r="E926" i="6" s="1"/>
  <c r="H913" i="7"/>
  <c r="J913" i="7" s="1"/>
  <c r="L913" i="7" s="1"/>
  <c r="Q913" i="7" s="1"/>
  <c r="E925" i="6" s="1"/>
  <c r="H912" i="7"/>
  <c r="J912" i="7" s="1"/>
  <c r="L912" i="7" s="1"/>
  <c r="Q912" i="7" s="1"/>
  <c r="H911" i="7"/>
  <c r="J911" i="7" s="1"/>
  <c r="L911" i="7" s="1"/>
  <c r="Q911" i="7" s="1"/>
  <c r="H910" i="7"/>
  <c r="J910" i="7" s="1"/>
  <c r="L910" i="7" s="1"/>
  <c r="Q910" i="7" s="1"/>
  <c r="H909" i="7"/>
  <c r="J909" i="7" s="1"/>
  <c r="L909" i="7" s="1"/>
  <c r="Q909" i="7" s="1"/>
  <c r="E921" i="6" s="1"/>
  <c r="H908" i="7"/>
  <c r="J908" i="7" s="1"/>
  <c r="L908" i="7" s="1"/>
  <c r="Q908" i="7" s="1"/>
  <c r="E920" i="6" s="1"/>
  <c r="H907" i="7"/>
  <c r="J907" i="7" s="1"/>
  <c r="L907" i="7" s="1"/>
  <c r="Q907" i="7" s="1"/>
  <c r="E919" i="6" s="1"/>
  <c r="H906" i="7"/>
  <c r="J906" i="7" s="1"/>
  <c r="L906" i="7" s="1"/>
  <c r="Q906" i="7" s="1"/>
  <c r="H905" i="7"/>
  <c r="J905" i="7" s="1"/>
  <c r="L905" i="7" s="1"/>
  <c r="Q905" i="7" s="1"/>
  <c r="E917" i="6" s="1"/>
  <c r="H904" i="7"/>
  <c r="J904" i="7" s="1"/>
  <c r="L904" i="7" s="1"/>
  <c r="Q904" i="7" s="1"/>
  <c r="E916" i="6" s="1"/>
  <c r="H903" i="7"/>
  <c r="J903" i="7" s="1"/>
  <c r="L903" i="7" s="1"/>
  <c r="Q903" i="7" s="1"/>
  <c r="H902" i="7"/>
  <c r="J902" i="7" s="1"/>
  <c r="L902" i="7" s="1"/>
  <c r="Q902" i="7" s="1"/>
  <c r="H901" i="7"/>
  <c r="J901" i="7" s="1"/>
  <c r="L901" i="7" s="1"/>
  <c r="Q901" i="7" s="1"/>
  <c r="H900" i="7"/>
  <c r="J900" i="7" s="1"/>
  <c r="L900" i="7" s="1"/>
  <c r="Q900" i="7" s="1"/>
  <c r="E912" i="6" s="1"/>
  <c r="H899" i="7"/>
  <c r="J899" i="7" s="1"/>
  <c r="L899" i="7" s="1"/>
  <c r="Q899" i="7" s="1"/>
  <c r="E911" i="6" s="1"/>
  <c r="H898" i="7"/>
  <c r="J898" i="7" s="1"/>
  <c r="L898" i="7" s="1"/>
  <c r="Q898" i="7" s="1"/>
  <c r="E910" i="6" s="1"/>
  <c r="H897" i="7"/>
  <c r="J897" i="7" s="1"/>
  <c r="L897" i="7" s="1"/>
  <c r="Q897" i="7" s="1"/>
  <c r="E909" i="6" s="1"/>
  <c r="H896" i="7"/>
  <c r="J896" i="7" s="1"/>
  <c r="L896" i="7" s="1"/>
  <c r="Q896" i="7" s="1"/>
  <c r="H895" i="7"/>
  <c r="J895" i="7" s="1"/>
  <c r="L895" i="7" s="1"/>
  <c r="Q895" i="7" s="1"/>
  <c r="E907" i="6" s="1"/>
  <c r="H894" i="7"/>
  <c r="J894" i="7" s="1"/>
  <c r="L894" i="7" s="1"/>
  <c r="Q894" i="7" s="1"/>
  <c r="E906" i="6" s="1"/>
  <c r="H893" i="7"/>
  <c r="J893" i="7" s="1"/>
  <c r="L893" i="7" s="1"/>
  <c r="Q893" i="7" s="1"/>
  <c r="E905" i="6" s="1"/>
  <c r="H892" i="7"/>
  <c r="J892" i="7" s="1"/>
  <c r="L892" i="7" s="1"/>
  <c r="Q892" i="7" s="1"/>
  <c r="E904" i="6" s="1"/>
  <c r="H891" i="7"/>
  <c r="J891" i="7" s="1"/>
  <c r="L891" i="7" s="1"/>
  <c r="Q891" i="7" s="1"/>
  <c r="E903" i="6" s="1"/>
  <c r="H890" i="7"/>
  <c r="J890" i="7" s="1"/>
  <c r="L890" i="7" s="1"/>
  <c r="Q890" i="7" s="1"/>
  <c r="E902" i="6" s="1"/>
  <c r="H889" i="7"/>
  <c r="J889" i="7" s="1"/>
  <c r="L889" i="7" s="1"/>
  <c r="Q889" i="7" s="1"/>
  <c r="E901" i="6" s="1"/>
  <c r="H888" i="7"/>
  <c r="J888" i="7" s="1"/>
  <c r="L888" i="7" s="1"/>
  <c r="Q888" i="7" s="1"/>
  <c r="E900" i="6" s="1"/>
  <c r="H887" i="7"/>
  <c r="J887" i="7" s="1"/>
  <c r="L887" i="7" s="1"/>
  <c r="Q887" i="7" s="1"/>
  <c r="E899" i="6" s="1"/>
  <c r="H886" i="7"/>
  <c r="J886" i="7" s="1"/>
  <c r="L886" i="7" s="1"/>
  <c r="Q886" i="7" s="1"/>
  <c r="E898" i="6" s="1"/>
  <c r="H885" i="7"/>
  <c r="J885" i="7" s="1"/>
  <c r="L885" i="7" s="1"/>
  <c r="Q885" i="7" s="1"/>
  <c r="E897" i="6" s="1"/>
  <c r="H884" i="7"/>
  <c r="J884" i="7" s="1"/>
  <c r="L884" i="7" s="1"/>
  <c r="Q884" i="7" s="1"/>
  <c r="E896" i="6" s="1"/>
  <c r="H883" i="7"/>
  <c r="J883" i="7" s="1"/>
  <c r="L883" i="7" s="1"/>
  <c r="Q883" i="7" s="1"/>
  <c r="E895" i="6" s="1"/>
  <c r="H882" i="7"/>
  <c r="J882" i="7" s="1"/>
  <c r="L882" i="7" s="1"/>
  <c r="Q882" i="7" s="1"/>
  <c r="E894" i="6" s="1"/>
  <c r="H881" i="7"/>
  <c r="J881" i="7" s="1"/>
  <c r="L881" i="7" s="1"/>
  <c r="Q881" i="7" s="1"/>
  <c r="E893" i="6" s="1"/>
  <c r="H880" i="7"/>
  <c r="J880" i="7" s="1"/>
  <c r="L880" i="7" s="1"/>
  <c r="Q880" i="7" s="1"/>
  <c r="H879" i="7"/>
  <c r="J879" i="7" s="1"/>
  <c r="L879" i="7" s="1"/>
  <c r="Q879" i="7" s="1"/>
  <c r="E891" i="6" s="1"/>
  <c r="H878" i="7"/>
  <c r="J878" i="7" s="1"/>
  <c r="L878" i="7" s="1"/>
  <c r="Q878" i="7" s="1"/>
  <c r="E890" i="6" s="1"/>
  <c r="H877" i="7"/>
  <c r="J877" i="7" s="1"/>
  <c r="L877" i="7" s="1"/>
  <c r="Q877" i="7" s="1"/>
  <c r="E889" i="6" s="1"/>
  <c r="H876" i="7"/>
  <c r="J876" i="7" s="1"/>
  <c r="L876" i="7" s="1"/>
  <c r="Q876" i="7" s="1"/>
  <c r="E888" i="6" s="1"/>
  <c r="H875" i="7"/>
  <c r="J875" i="7" s="1"/>
  <c r="L875" i="7" s="1"/>
  <c r="Q875" i="7" s="1"/>
  <c r="E887" i="6" s="1"/>
  <c r="H874" i="7"/>
  <c r="J874" i="7" s="1"/>
  <c r="L874" i="7" s="1"/>
  <c r="Q874" i="7" s="1"/>
  <c r="E886" i="6" s="1"/>
  <c r="H873" i="7"/>
  <c r="J873" i="7" s="1"/>
  <c r="L873" i="7" s="1"/>
  <c r="Q873" i="7" s="1"/>
  <c r="H869" i="7"/>
  <c r="J869" i="7" s="1"/>
  <c r="L869" i="7" s="1"/>
  <c r="Q869" i="7" s="1"/>
  <c r="E881" i="6" s="1"/>
  <c r="H868" i="7"/>
  <c r="J868" i="7" s="1"/>
  <c r="L868" i="7" s="1"/>
  <c r="Q868" i="7" s="1"/>
  <c r="E880" i="6" s="1"/>
  <c r="H867" i="7"/>
  <c r="J867" i="7" s="1"/>
  <c r="L867" i="7" s="1"/>
  <c r="Q867" i="7" s="1"/>
  <c r="E879" i="6" s="1"/>
  <c r="H866" i="7"/>
  <c r="J866" i="7" s="1"/>
  <c r="L866" i="7" s="1"/>
  <c r="Q866" i="7" s="1"/>
  <c r="E878" i="6" s="1"/>
  <c r="H865" i="7"/>
  <c r="J865" i="7" s="1"/>
  <c r="L865" i="7" s="1"/>
  <c r="Q865" i="7" s="1"/>
  <c r="E877" i="6" s="1"/>
  <c r="H864" i="7"/>
  <c r="J864" i="7" s="1"/>
  <c r="L864" i="7" s="1"/>
  <c r="Q864" i="7" s="1"/>
  <c r="E876" i="6" s="1"/>
  <c r="H863" i="7"/>
  <c r="J863" i="7" s="1"/>
  <c r="L863" i="7" s="1"/>
  <c r="Q863" i="7" s="1"/>
  <c r="E875" i="6" s="1"/>
  <c r="H862" i="7"/>
  <c r="J862" i="7" s="1"/>
  <c r="L862" i="7" s="1"/>
  <c r="Q862" i="7" s="1"/>
  <c r="E874" i="6" s="1"/>
  <c r="H861" i="7"/>
  <c r="J861" i="7" s="1"/>
  <c r="L861" i="7" s="1"/>
  <c r="Q861" i="7" s="1"/>
  <c r="E873" i="6" s="1"/>
  <c r="H860" i="7"/>
  <c r="J860" i="7" s="1"/>
  <c r="L860" i="7" s="1"/>
  <c r="Q860" i="7" s="1"/>
  <c r="E872" i="6" s="1"/>
  <c r="H859" i="7"/>
  <c r="J859" i="7" s="1"/>
  <c r="L859" i="7" s="1"/>
  <c r="Q859" i="7" s="1"/>
  <c r="E871" i="6" s="1"/>
  <c r="H858" i="7"/>
  <c r="J858" i="7" s="1"/>
  <c r="L858" i="7" s="1"/>
  <c r="Q858" i="7" s="1"/>
  <c r="E870" i="6" s="1"/>
  <c r="H872" i="7"/>
  <c r="J872" i="7" s="1"/>
  <c r="L872" i="7" s="1"/>
  <c r="Q872" i="7" s="1"/>
  <c r="E884" i="6" s="1"/>
  <c r="H871" i="7"/>
  <c r="J871" i="7" s="1"/>
  <c r="L871" i="7" s="1"/>
  <c r="Q871" i="7" s="1"/>
  <c r="E883" i="6" s="1"/>
  <c r="H870" i="7"/>
  <c r="J870" i="7" s="1"/>
  <c r="L870" i="7" s="1"/>
  <c r="Q870" i="7" s="1"/>
  <c r="E882" i="6" s="1"/>
  <c r="H854" i="7"/>
  <c r="J854" i="7" s="1"/>
  <c r="L854" i="7" s="1"/>
  <c r="Q854" i="7" s="1"/>
  <c r="H853" i="7"/>
  <c r="J853" i="7" s="1"/>
  <c r="L853" i="7" s="1"/>
  <c r="Q853" i="7" s="1"/>
  <c r="H852" i="7"/>
  <c r="J852" i="7" s="1"/>
  <c r="L852" i="7" s="1"/>
  <c r="Q852" i="7" s="1"/>
  <c r="H851" i="7"/>
  <c r="J851" i="7" s="1"/>
  <c r="L851" i="7" s="1"/>
  <c r="Q851" i="7" s="1"/>
  <c r="H850" i="7"/>
  <c r="J850" i="7" s="1"/>
  <c r="L850" i="7" s="1"/>
  <c r="Q850" i="7" s="1"/>
  <c r="H849" i="7"/>
  <c r="J849" i="7" s="1"/>
  <c r="L849" i="7" s="1"/>
  <c r="Q849" i="7" s="1"/>
  <c r="H848" i="7"/>
  <c r="J848" i="7" s="1"/>
  <c r="L848" i="7" s="1"/>
  <c r="Q848" i="7" s="1"/>
  <c r="H847" i="7"/>
  <c r="J847" i="7" s="1"/>
  <c r="L847" i="7" s="1"/>
  <c r="Q847" i="7" s="1"/>
  <c r="H846" i="7"/>
  <c r="J846" i="7" s="1"/>
  <c r="L846" i="7" s="1"/>
  <c r="Q846" i="7" s="1"/>
  <c r="H845" i="7"/>
  <c r="J845" i="7" s="1"/>
  <c r="L845" i="7" s="1"/>
  <c r="Q845" i="7" s="1"/>
  <c r="E857" i="6" s="1"/>
  <c r="H844" i="7"/>
  <c r="J844" i="7" s="1"/>
  <c r="L844" i="7" s="1"/>
  <c r="Q844" i="7" s="1"/>
  <c r="H843" i="7"/>
  <c r="J843" i="7" s="1"/>
  <c r="L843" i="7" s="1"/>
  <c r="Q843" i="7" s="1"/>
  <c r="H842" i="7"/>
  <c r="J842" i="7" s="1"/>
  <c r="L842" i="7" s="1"/>
  <c r="Q842" i="7" s="1"/>
  <c r="E854" i="6" s="1"/>
  <c r="H841" i="7"/>
  <c r="J841" i="7" s="1"/>
  <c r="L841" i="7" s="1"/>
  <c r="Q841" i="7" s="1"/>
  <c r="E853" i="6" s="1"/>
  <c r="H840" i="7"/>
  <c r="J840" i="7" s="1"/>
  <c r="L840" i="7" s="1"/>
  <c r="Q840" i="7" s="1"/>
  <c r="E852" i="6" s="1"/>
  <c r="H839" i="7"/>
  <c r="J839" i="7" s="1"/>
  <c r="L839" i="7" s="1"/>
  <c r="Q839" i="7" s="1"/>
  <c r="H838" i="7"/>
  <c r="J838" i="7" s="1"/>
  <c r="L838" i="7" s="1"/>
  <c r="Q838" i="7" s="1"/>
  <c r="H837" i="7"/>
  <c r="J837" i="7" s="1"/>
  <c r="L837" i="7" s="1"/>
  <c r="Q837" i="7" s="1"/>
  <c r="H836" i="7"/>
  <c r="J836" i="7" s="1"/>
  <c r="L836" i="7" s="1"/>
  <c r="Q836" i="7" s="1"/>
  <c r="H835" i="7"/>
  <c r="J835" i="7" s="1"/>
  <c r="L835" i="7" s="1"/>
  <c r="Q835" i="7" s="1"/>
  <c r="E847" i="6" s="1"/>
  <c r="H834" i="7"/>
  <c r="J834" i="7" s="1"/>
  <c r="L834" i="7" s="1"/>
  <c r="Q834" i="7" s="1"/>
  <c r="E846" i="6" s="1"/>
  <c r="H833" i="7"/>
  <c r="J833" i="7" s="1"/>
  <c r="L833" i="7" s="1"/>
  <c r="Q833" i="7" s="1"/>
  <c r="E845" i="6" s="1"/>
  <c r="H832" i="7"/>
  <c r="J832" i="7" s="1"/>
  <c r="L832" i="7" s="1"/>
  <c r="Q832" i="7" s="1"/>
  <c r="H831" i="7"/>
  <c r="J831" i="7" s="1"/>
  <c r="L831" i="7" s="1"/>
  <c r="Q831" i="7" s="1"/>
  <c r="E843" i="6" s="1"/>
  <c r="H830" i="7"/>
  <c r="J830" i="7" s="1"/>
  <c r="L830" i="7" s="1"/>
  <c r="Q830" i="7" s="1"/>
  <c r="H829" i="7"/>
  <c r="J829" i="7" s="1"/>
  <c r="L829" i="7" s="1"/>
  <c r="Q829" i="7" s="1"/>
  <c r="H828" i="7"/>
  <c r="J828" i="7" s="1"/>
  <c r="L828" i="7" s="1"/>
  <c r="Q828" i="7" s="1"/>
  <c r="E840" i="6" s="1"/>
  <c r="H827" i="7"/>
  <c r="J827" i="7" s="1"/>
  <c r="L827" i="7" s="1"/>
  <c r="Q827" i="7" s="1"/>
  <c r="H826" i="7"/>
  <c r="J826" i="7" s="1"/>
  <c r="L826" i="7" s="1"/>
  <c r="Q826" i="7" s="1"/>
  <c r="H825" i="7"/>
  <c r="J825" i="7" s="1"/>
  <c r="L825" i="7" s="1"/>
  <c r="Q825" i="7" s="1"/>
  <c r="E837" i="6" s="1"/>
  <c r="H824" i="7"/>
  <c r="J824" i="7" s="1"/>
  <c r="L824" i="7" s="1"/>
  <c r="Q824" i="7" s="1"/>
  <c r="E836" i="6" s="1"/>
  <c r="H823" i="7"/>
  <c r="J823" i="7" s="1"/>
  <c r="L823" i="7" s="1"/>
  <c r="Q823" i="7" s="1"/>
  <c r="E835" i="6" s="1"/>
  <c r="H822" i="7"/>
  <c r="J822" i="7" s="1"/>
  <c r="L822" i="7" s="1"/>
  <c r="Q822" i="7" s="1"/>
  <c r="E834" i="6" s="1"/>
  <c r="H821" i="7"/>
  <c r="J821" i="7" s="1"/>
  <c r="L821" i="7" s="1"/>
  <c r="Q821" i="7" s="1"/>
  <c r="E833" i="6" s="1"/>
  <c r="H820" i="7"/>
  <c r="J820" i="7" s="1"/>
  <c r="L820" i="7" s="1"/>
  <c r="Q820" i="7" s="1"/>
  <c r="H819" i="7"/>
  <c r="J819" i="7" s="1"/>
  <c r="L819" i="7" s="1"/>
  <c r="Q819" i="7" s="1"/>
  <c r="E831" i="6" s="1"/>
  <c r="H818" i="7"/>
  <c r="J818" i="7" s="1"/>
  <c r="L818" i="7" s="1"/>
  <c r="Q818" i="7" s="1"/>
  <c r="E830" i="6" s="1"/>
  <c r="H817" i="7"/>
  <c r="J817" i="7" s="1"/>
  <c r="L817" i="7" s="1"/>
  <c r="Q817" i="7" s="1"/>
  <c r="H816" i="7"/>
  <c r="J816" i="7" s="1"/>
  <c r="L816" i="7" s="1"/>
  <c r="Q816" i="7" s="1"/>
  <c r="H815" i="7"/>
  <c r="J815" i="7" s="1"/>
  <c r="L815" i="7" s="1"/>
  <c r="Q815" i="7" s="1"/>
  <c r="H814" i="7"/>
  <c r="J814" i="7" s="1"/>
  <c r="L814" i="7" s="1"/>
  <c r="Q814" i="7" s="1"/>
  <c r="E826" i="6" s="1"/>
  <c r="H813" i="7"/>
  <c r="J813" i="7" s="1"/>
  <c r="L813" i="7" s="1"/>
  <c r="Q813" i="7" s="1"/>
  <c r="E825" i="6" s="1"/>
  <c r="H812" i="7"/>
  <c r="J812" i="7" s="1"/>
  <c r="L812" i="7" s="1"/>
  <c r="Q812" i="7" s="1"/>
  <c r="H811" i="7"/>
  <c r="J811" i="7" s="1"/>
  <c r="L811" i="7" s="1"/>
  <c r="Q811" i="7" s="1"/>
  <c r="E823" i="6" s="1"/>
  <c r="H810" i="7"/>
  <c r="J810" i="7" s="1"/>
  <c r="L810" i="7" s="1"/>
  <c r="Q810" i="7" s="1"/>
  <c r="E822" i="6" s="1"/>
  <c r="H809" i="7"/>
  <c r="J809" i="7" s="1"/>
  <c r="L809" i="7" s="1"/>
  <c r="Q809" i="7" s="1"/>
  <c r="E821" i="6" s="1"/>
  <c r="H808" i="7"/>
  <c r="J808" i="7" s="1"/>
  <c r="L808" i="7" s="1"/>
  <c r="Q808" i="7" s="1"/>
  <c r="E820" i="6" s="1"/>
  <c r="H807" i="7"/>
  <c r="J807" i="7" s="1"/>
  <c r="L807" i="7" s="1"/>
  <c r="Q807" i="7" s="1"/>
  <c r="E819" i="6" s="1"/>
  <c r="H806" i="7"/>
  <c r="J806" i="7" s="1"/>
  <c r="L806" i="7" s="1"/>
  <c r="Q806" i="7" s="1"/>
  <c r="H805" i="7"/>
  <c r="J805" i="7" s="1"/>
  <c r="L805" i="7" s="1"/>
  <c r="Q805" i="7" s="1"/>
  <c r="H804" i="7"/>
  <c r="J804" i="7" s="1"/>
  <c r="L804" i="7" s="1"/>
  <c r="Q804" i="7" s="1"/>
  <c r="H803" i="7"/>
  <c r="J803" i="7" s="1"/>
  <c r="L803" i="7" s="1"/>
  <c r="Q803" i="7" s="1"/>
  <c r="E815" i="6" s="1"/>
  <c r="H802" i="7"/>
  <c r="J802" i="7" s="1"/>
  <c r="L802" i="7" s="1"/>
  <c r="Q802" i="7" s="1"/>
  <c r="E814" i="6" s="1"/>
  <c r="H801" i="7"/>
  <c r="J801" i="7" s="1"/>
  <c r="L801" i="7" s="1"/>
  <c r="Q801" i="7" s="1"/>
  <c r="E813" i="6" s="1"/>
  <c r="H800" i="7"/>
  <c r="J800" i="7" s="1"/>
  <c r="L800" i="7" s="1"/>
  <c r="Q800" i="7" s="1"/>
  <c r="E812" i="6" s="1"/>
  <c r="H799" i="7"/>
  <c r="Q798" i="7"/>
  <c r="Q797" i="7"/>
  <c r="E809" i="6" s="1"/>
  <c r="Q796" i="7"/>
  <c r="E808" i="6" s="1"/>
  <c r="Q795" i="7"/>
  <c r="Q794" i="7"/>
  <c r="E806" i="6" s="1"/>
  <c r="Q793" i="7"/>
  <c r="E805" i="6" s="1"/>
  <c r="Q792" i="7"/>
  <c r="E804" i="6" s="1"/>
  <c r="Q791" i="7"/>
  <c r="E803" i="6" s="1"/>
  <c r="Q790" i="7"/>
  <c r="Q789" i="7"/>
  <c r="E801" i="6" s="1"/>
  <c r="Q788" i="7"/>
  <c r="E800" i="6" s="1"/>
  <c r="Q787" i="7"/>
  <c r="Q786" i="7"/>
  <c r="Q785" i="7"/>
  <c r="Q784" i="7"/>
  <c r="E796" i="6" s="1"/>
  <c r="Q783" i="7"/>
  <c r="E795" i="6" s="1"/>
  <c r="Q782" i="7"/>
  <c r="E794" i="6" s="1"/>
  <c r="Q781" i="7"/>
  <c r="Q780" i="7"/>
  <c r="E792" i="6" s="1"/>
  <c r="Q779" i="7"/>
  <c r="E791" i="6" s="1"/>
  <c r="Q778" i="7"/>
  <c r="Q777" i="7"/>
  <c r="E789" i="6" s="1"/>
  <c r="Q776" i="7"/>
  <c r="E788" i="6" s="1"/>
  <c r="Q775" i="7"/>
  <c r="E787" i="6" s="1"/>
  <c r="Q774" i="7"/>
  <c r="Q773" i="7"/>
  <c r="E785" i="6" s="1"/>
  <c r="Q772" i="7"/>
  <c r="E784" i="6" s="1"/>
  <c r="Q771" i="7"/>
  <c r="E783" i="6" s="1"/>
  <c r="Q770" i="7"/>
  <c r="E782" i="6" s="1"/>
  <c r="Q769" i="7"/>
  <c r="E781" i="6" s="1"/>
  <c r="Q768" i="7"/>
  <c r="E780" i="6" s="1"/>
  <c r="Q767" i="7"/>
  <c r="E779" i="6" s="1"/>
  <c r="Q766" i="7"/>
  <c r="E778" i="6" s="1"/>
  <c r="Q765" i="7"/>
  <c r="E777" i="6" s="1"/>
  <c r="Q764" i="7"/>
  <c r="E776" i="6" s="1"/>
  <c r="Q763" i="7"/>
  <c r="E775" i="6" s="1"/>
  <c r="Q762" i="7"/>
  <c r="E774" i="6" s="1"/>
  <c r="Q761" i="7"/>
  <c r="Q760" i="7"/>
  <c r="Q759" i="7"/>
  <c r="E771" i="6" s="1"/>
  <c r="Q758" i="7"/>
  <c r="E770" i="6" s="1"/>
  <c r="Q757" i="7"/>
  <c r="E769" i="6" s="1"/>
  <c r="Q756" i="7"/>
  <c r="E768" i="6" s="1"/>
  <c r="Q755" i="7"/>
  <c r="Q754" i="7"/>
  <c r="E766" i="6" s="1"/>
  <c r="Q753" i="7"/>
  <c r="E765" i="6" s="1"/>
  <c r="Q752" i="7"/>
  <c r="E764" i="6" s="1"/>
  <c r="Q751" i="7"/>
  <c r="E763" i="6" s="1"/>
  <c r="Q750" i="7"/>
  <c r="E762" i="6" s="1"/>
  <c r="Q749" i="7"/>
  <c r="Q748" i="7"/>
  <c r="E760" i="6" s="1"/>
  <c r="Q747" i="7"/>
  <c r="E759" i="6" s="1"/>
  <c r="Q746" i="7"/>
  <c r="E758" i="6" s="1"/>
  <c r="Q745" i="7"/>
  <c r="Q744" i="7"/>
  <c r="E756" i="6" s="1"/>
  <c r="Q743" i="7"/>
  <c r="Q742" i="7"/>
  <c r="Q741" i="7"/>
  <c r="Q740" i="7"/>
  <c r="Q739" i="7"/>
  <c r="Q738" i="7"/>
  <c r="Q737" i="7"/>
  <c r="E749" i="6" s="1"/>
  <c r="Q736" i="7"/>
  <c r="E748" i="6" s="1"/>
  <c r="Q735" i="7"/>
  <c r="Q734" i="7"/>
  <c r="E746" i="6" s="1"/>
  <c r="Q733" i="7"/>
  <c r="E745" i="6" s="1"/>
  <c r="Q732" i="7"/>
  <c r="E744" i="6" s="1"/>
  <c r="Q731" i="7"/>
  <c r="E743" i="6" s="1"/>
  <c r="Q730" i="7"/>
  <c r="E742" i="6" s="1"/>
  <c r="Q729" i="7"/>
  <c r="E741" i="6" s="1"/>
  <c r="Q728" i="7"/>
  <c r="Q727" i="7"/>
  <c r="Q726" i="7"/>
  <c r="E738" i="6" s="1"/>
  <c r="Q725" i="7"/>
  <c r="E737" i="6" s="1"/>
  <c r="Q724" i="7"/>
  <c r="E736" i="6" s="1"/>
  <c r="Q723" i="7"/>
  <c r="E735" i="6" s="1"/>
  <c r="Q722" i="7"/>
  <c r="E734" i="6" s="1"/>
  <c r="Q721" i="7"/>
  <c r="Q720" i="7"/>
  <c r="Q719" i="7"/>
  <c r="E731" i="6" s="1"/>
  <c r="Q718" i="7"/>
  <c r="E730" i="6" s="1"/>
  <c r="Q717" i="7"/>
  <c r="E729" i="6" s="1"/>
  <c r="Q716" i="7"/>
  <c r="Q715" i="7"/>
  <c r="Q714" i="7"/>
  <c r="Q713" i="7"/>
  <c r="Q712" i="7"/>
  <c r="Q711" i="7"/>
  <c r="Q710" i="7"/>
  <c r="Q709" i="7"/>
  <c r="Q708" i="7"/>
  <c r="Q707" i="7"/>
  <c r="E719" i="6" s="1"/>
  <c r="Q706" i="7"/>
  <c r="E718" i="6" s="1"/>
  <c r="Q705" i="7"/>
  <c r="E717" i="6" s="1"/>
  <c r="Q704" i="7"/>
  <c r="E716" i="6" s="1"/>
  <c r="Q703" i="7"/>
  <c r="Q702" i="7"/>
  <c r="E714" i="6" s="1"/>
  <c r="Q701" i="7"/>
  <c r="E713" i="6" s="1"/>
  <c r="Q700" i="7"/>
  <c r="E712" i="6" s="1"/>
  <c r="Q699" i="7"/>
  <c r="Q698" i="7"/>
  <c r="E710" i="6" s="1"/>
  <c r="Q697" i="7"/>
  <c r="E709" i="6" s="1"/>
  <c r="Q696" i="7"/>
  <c r="Q695" i="7"/>
  <c r="E707" i="6" s="1"/>
  <c r="Q694" i="7"/>
  <c r="E706" i="6" s="1"/>
  <c r="Q693" i="7"/>
  <c r="E705" i="6" s="1"/>
  <c r="Q692" i="7"/>
  <c r="E704" i="6" s="1"/>
  <c r="Q691" i="7"/>
  <c r="Q690" i="7"/>
  <c r="E702" i="6" s="1"/>
  <c r="Q689" i="7"/>
  <c r="E701" i="6" s="1"/>
  <c r="Q688" i="7"/>
  <c r="E700" i="6" s="1"/>
  <c r="Q687" i="7"/>
  <c r="E699" i="6" s="1"/>
  <c r="Q686" i="7"/>
  <c r="E698" i="6" s="1"/>
  <c r="Q685" i="7"/>
  <c r="Q684" i="7"/>
  <c r="Q683" i="7"/>
  <c r="Q682" i="7"/>
  <c r="E694" i="6" s="1"/>
  <c r="Q681" i="7"/>
  <c r="E693" i="6" s="1"/>
  <c r="Q680" i="7"/>
  <c r="E692" i="6" s="1"/>
  <c r="Q679" i="7"/>
  <c r="E691" i="6" s="1"/>
  <c r="Q678" i="7"/>
  <c r="Q677" i="7"/>
  <c r="E689" i="6" s="1"/>
  <c r="Q676" i="7"/>
  <c r="E688" i="6" s="1"/>
  <c r="Q675" i="7"/>
  <c r="E687" i="6" s="1"/>
  <c r="Q674" i="7"/>
  <c r="E686" i="6" s="1"/>
  <c r="Q673" i="7"/>
  <c r="E685" i="6" s="1"/>
  <c r="Q672" i="7"/>
  <c r="Q671" i="7"/>
  <c r="Q670" i="7"/>
  <c r="E682" i="6" s="1"/>
  <c r="Q669" i="7"/>
  <c r="E681" i="6" s="1"/>
  <c r="Q668" i="7"/>
  <c r="E680" i="6" s="1"/>
  <c r="Q667" i="7"/>
  <c r="E679" i="6" s="1"/>
  <c r="Q666" i="7"/>
  <c r="Q665" i="7"/>
  <c r="Q664" i="7"/>
  <c r="E676" i="6" s="1"/>
  <c r="Q663" i="7"/>
  <c r="E675" i="6" s="1"/>
  <c r="Q662" i="7"/>
  <c r="E674" i="6" s="1"/>
  <c r="Q661" i="7"/>
  <c r="E673" i="6" s="1"/>
  <c r="Q660" i="7"/>
  <c r="E672" i="6" s="1"/>
  <c r="Q659" i="7"/>
  <c r="Q658" i="7"/>
  <c r="E670" i="6" s="1"/>
  <c r="Q657" i="7"/>
  <c r="Q656" i="7"/>
  <c r="Q655" i="7"/>
  <c r="Q654" i="7"/>
  <c r="E666" i="6" s="1"/>
  <c r="Q653" i="7"/>
  <c r="Q652" i="7"/>
  <c r="Q651" i="7"/>
  <c r="Q650" i="7"/>
  <c r="E662" i="6" s="1"/>
  <c r="Q649" i="7"/>
  <c r="Q648" i="7"/>
  <c r="E660" i="6" s="1"/>
  <c r="Q647" i="7"/>
  <c r="E659" i="6" s="1"/>
  <c r="Q646" i="7"/>
  <c r="E658" i="6" s="1"/>
  <c r="Q645" i="7"/>
  <c r="E657" i="6" s="1"/>
  <c r="Q644" i="7"/>
  <c r="E656" i="6" s="1"/>
  <c r="Q643" i="7"/>
  <c r="E655" i="6" s="1"/>
  <c r="Q642" i="7"/>
  <c r="E654" i="6" s="1"/>
  <c r="Q641" i="7"/>
  <c r="E653" i="6" s="1"/>
  <c r="Q640" i="7"/>
  <c r="E652" i="6" s="1"/>
  <c r="Q639" i="7"/>
  <c r="E651" i="6" s="1"/>
  <c r="Q638" i="7"/>
  <c r="E650" i="6" s="1"/>
  <c r="Q637" i="7"/>
  <c r="Q636" i="7"/>
  <c r="E648" i="6" s="1"/>
  <c r="Q635" i="7"/>
  <c r="E647" i="6" s="1"/>
  <c r="Q634" i="7"/>
  <c r="Q633" i="7"/>
  <c r="Q632" i="7"/>
  <c r="E644" i="6" s="1"/>
  <c r="Q629" i="7"/>
  <c r="E641" i="6" s="1"/>
  <c r="Q628" i="7"/>
  <c r="E640" i="6" s="1"/>
  <c r="Q627" i="7"/>
  <c r="E639" i="6" s="1"/>
  <c r="Q626" i="7"/>
  <c r="E638" i="6" s="1"/>
  <c r="Q625" i="7"/>
  <c r="E637" i="6" s="1"/>
  <c r="Q624" i="7"/>
  <c r="E636" i="6" s="1"/>
  <c r="Q623" i="7"/>
  <c r="E635" i="6" s="1"/>
  <c r="Q622" i="7"/>
  <c r="E634" i="6" s="1"/>
  <c r="Q621" i="7"/>
  <c r="E633" i="6" s="1"/>
  <c r="Q620" i="7"/>
  <c r="E632" i="6" s="1"/>
  <c r="Q619" i="7"/>
  <c r="E631" i="6" s="1"/>
  <c r="Q618" i="7"/>
  <c r="Q617" i="7"/>
  <c r="Q616" i="7"/>
  <c r="E628" i="6" s="1"/>
  <c r="Q615" i="7"/>
  <c r="E627" i="6" s="1"/>
  <c r="Q614" i="7"/>
  <c r="Q613" i="7"/>
  <c r="E625" i="6" s="1"/>
  <c r="Q612" i="7"/>
  <c r="E624" i="6" s="1"/>
  <c r="Q611" i="7"/>
  <c r="E623" i="6" s="1"/>
  <c r="Q610" i="7"/>
  <c r="Q609" i="7"/>
  <c r="E621" i="6" s="1"/>
  <c r="Q608" i="7"/>
  <c r="E620" i="6" s="1"/>
  <c r="Q607" i="7"/>
  <c r="Q606" i="7"/>
  <c r="Q605" i="7"/>
  <c r="E617" i="6" s="1"/>
  <c r="Q604" i="7"/>
  <c r="E616" i="6" s="1"/>
  <c r="Q603" i="7"/>
  <c r="Q602" i="7"/>
  <c r="E614" i="6" s="1"/>
  <c r="Q601" i="7"/>
  <c r="E613" i="6" s="1"/>
  <c r="Q600" i="7"/>
  <c r="E612" i="6" s="1"/>
  <c r="Q599" i="7"/>
  <c r="Q598" i="7"/>
  <c r="Q597" i="7"/>
  <c r="E609" i="6" s="1"/>
  <c r="Q596" i="7"/>
  <c r="E608" i="6" s="1"/>
  <c r="Q595" i="7"/>
  <c r="E607" i="6" s="1"/>
  <c r="Q594" i="7"/>
  <c r="E606" i="6" s="1"/>
  <c r="Q593" i="7"/>
  <c r="E605" i="6" s="1"/>
  <c r="Q592" i="7"/>
  <c r="Q591" i="7"/>
  <c r="E603" i="6" s="1"/>
  <c r="Q590" i="7"/>
  <c r="E602" i="6" s="1"/>
  <c r="Q589" i="7"/>
  <c r="E601" i="6" s="1"/>
  <c r="Q588" i="7"/>
  <c r="E600" i="6" s="1"/>
  <c r="Q587" i="7"/>
  <c r="E599" i="6" s="1"/>
  <c r="Q586" i="7"/>
  <c r="Q585" i="7"/>
  <c r="E597" i="6" s="1"/>
  <c r="Q584" i="7"/>
  <c r="E596" i="6" s="1"/>
  <c r="Q583" i="7"/>
  <c r="E595" i="6" s="1"/>
  <c r="Q582" i="7"/>
  <c r="E594" i="6" s="1"/>
  <c r="Q581" i="7"/>
  <c r="E593" i="6" s="1"/>
  <c r="Q580" i="7"/>
  <c r="E592" i="6" s="1"/>
  <c r="Q579" i="7"/>
  <c r="E591" i="6" s="1"/>
  <c r="Q578" i="7"/>
  <c r="E590" i="6" s="1"/>
  <c r="Q577" i="7"/>
  <c r="E589" i="6" s="1"/>
  <c r="Q576" i="7"/>
  <c r="E588" i="6" s="1"/>
  <c r="Q575" i="7"/>
  <c r="E587" i="6" s="1"/>
  <c r="Q574" i="7"/>
  <c r="Q573" i="7"/>
  <c r="E585" i="6" s="1"/>
  <c r="Q572" i="7"/>
  <c r="E584" i="6" s="1"/>
  <c r="Q571" i="7"/>
  <c r="E583" i="6" s="1"/>
  <c r="Q570" i="7"/>
  <c r="E582" i="6" s="1"/>
  <c r="Q569" i="7"/>
  <c r="E581" i="6" s="1"/>
  <c r="Q568" i="7"/>
  <c r="Q567" i="7"/>
  <c r="E579" i="6" s="1"/>
  <c r="Q566" i="7"/>
  <c r="E578" i="6" s="1"/>
  <c r="Q565" i="7"/>
  <c r="Q564" i="7"/>
  <c r="E576" i="6" s="1"/>
  <c r="Q563" i="7"/>
  <c r="E575" i="6" s="1"/>
  <c r="Q562" i="7"/>
  <c r="E574" i="6" s="1"/>
  <c r="Q561" i="7"/>
  <c r="E573" i="6" s="1"/>
  <c r="Q560" i="7"/>
  <c r="Q559" i="7"/>
  <c r="Q558" i="7"/>
  <c r="Q557" i="7"/>
  <c r="Q556" i="7"/>
  <c r="Q555" i="7"/>
  <c r="Q554" i="7"/>
  <c r="E566" i="6" s="1"/>
  <c r="Q553" i="7"/>
  <c r="E565" i="6" s="1"/>
  <c r="Q552" i="7"/>
  <c r="E564" i="6" s="1"/>
  <c r="Q551" i="7"/>
  <c r="E563" i="6" s="1"/>
  <c r="Q550" i="7"/>
  <c r="Q549" i="7"/>
  <c r="E561" i="6" s="1"/>
  <c r="Q548" i="7"/>
  <c r="E559" i="6" s="1"/>
  <c r="Q547" i="7"/>
  <c r="E558" i="6" s="1"/>
  <c r="Q546" i="7"/>
  <c r="E557" i="6" s="1"/>
  <c r="Q545" i="7"/>
  <c r="E556" i="6" s="1"/>
  <c r="Q544" i="7"/>
  <c r="E555" i="6" s="1"/>
  <c r="Q543" i="7"/>
  <c r="E554" i="6" s="1"/>
  <c r="Q542" i="7"/>
  <c r="E553" i="6" s="1"/>
  <c r="Q541" i="7"/>
  <c r="E552" i="6" s="1"/>
  <c r="Q540" i="7"/>
  <c r="Q539" i="7"/>
  <c r="Q538" i="7"/>
  <c r="Q537" i="7"/>
  <c r="Q536" i="7"/>
  <c r="Q535" i="7"/>
  <c r="E546" i="6" s="1"/>
  <c r="Q534" i="7"/>
  <c r="E545" i="6" s="1"/>
  <c r="Q533" i="7"/>
  <c r="E544" i="6" s="1"/>
  <c r="Q532" i="7"/>
  <c r="E543" i="6" s="1"/>
  <c r="Q531" i="7"/>
  <c r="E542" i="6" s="1"/>
  <c r="Q530" i="7"/>
  <c r="Q529" i="7"/>
  <c r="E540" i="6" s="1"/>
  <c r="Q528" i="7"/>
  <c r="E539" i="6" s="1"/>
  <c r="Q527" i="7"/>
  <c r="E538" i="6" s="1"/>
  <c r="Q526" i="7"/>
  <c r="E537" i="6" s="1"/>
  <c r="Q525" i="7"/>
  <c r="E536" i="6" s="1"/>
  <c r="Q524" i="7"/>
  <c r="Q523" i="7"/>
  <c r="Q522" i="7"/>
  <c r="Q521" i="7"/>
  <c r="E532" i="6" s="1"/>
  <c r="E531" i="6"/>
  <c r="Q519" i="7"/>
  <c r="E530" i="6" s="1"/>
  <c r="Q518" i="7"/>
  <c r="E529" i="6" s="1"/>
  <c r="Q517" i="7"/>
  <c r="E528" i="6" s="1"/>
  <c r="Q516" i="7"/>
  <c r="E527" i="6" s="1"/>
  <c r="Q515" i="7"/>
  <c r="E526" i="6" s="1"/>
  <c r="Q514" i="7"/>
  <c r="E525" i="6" s="1"/>
  <c r="Q513" i="7"/>
  <c r="E524" i="6" s="1"/>
  <c r="Q512" i="7"/>
  <c r="E523" i="6" s="1"/>
  <c r="Q511" i="7"/>
  <c r="E522" i="6" s="1"/>
  <c r="Q510" i="7"/>
  <c r="E521" i="6" s="1"/>
  <c r="Q509" i="7"/>
  <c r="E520" i="6" s="1"/>
  <c r="Q508" i="7"/>
  <c r="E519" i="6" s="1"/>
  <c r="Q507" i="7"/>
  <c r="E518" i="6" s="1"/>
  <c r="Q506" i="7"/>
  <c r="E517" i="6" s="1"/>
  <c r="Q505" i="7"/>
  <c r="E516" i="6" s="1"/>
  <c r="Q504" i="7"/>
  <c r="Q503" i="7"/>
  <c r="E514" i="6" s="1"/>
  <c r="Q502" i="7"/>
  <c r="E513" i="6" s="1"/>
  <c r="Q501" i="7"/>
  <c r="E512" i="6" s="1"/>
  <c r="Q500" i="7"/>
  <c r="E511" i="6" s="1"/>
  <c r="Q499" i="7"/>
  <c r="Q498" i="7"/>
  <c r="E509" i="6" s="1"/>
  <c r="Q497" i="7"/>
  <c r="E508" i="6" s="1"/>
  <c r="Q496" i="7"/>
  <c r="Q495" i="7"/>
  <c r="E506" i="6" s="1"/>
  <c r="Q494" i="7"/>
  <c r="E505" i="6" s="1"/>
  <c r="Q493" i="7"/>
  <c r="E504" i="6" s="1"/>
  <c r="Q492" i="7"/>
  <c r="E503" i="6" s="1"/>
  <c r="Q491" i="7"/>
  <c r="Q490" i="7"/>
  <c r="E501" i="6" s="1"/>
  <c r="Q489" i="7"/>
  <c r="E500" i="6" s="1"/>
  <c r="Q488" i="7"/>
  <c r="E499" i="6" s="1"/>
  <c r="Q487" i="7"/>
  <c r="E498" i="6" s="1"/>
  <c r="Q486" i="7"/>
  <c r="E497" i="6" s="1"/>
  <c r="Q485" i="7"/>
  <c r="E496" i="6" s="1"/>
  <c r="Q484" i="7"/>
  <c r="Q483" i="7"/>
  <c r="E494" i="6" s="1"/>
  <c r="Q482" i="7"/>
  <c r="E493" i="6" s="1"/>
  <c r="Q481" i="7"/>
  <c r="Q480" i="7"/>
  <c r="Q479" i="7"/>
  <c r="E490" i="6" s="1"/>
  <c r="Q478" i="7"/>
  <c r="E489" i="6" s="1"/>
  <c r="Q477" i="7"/>
  <c r="E488" i="6" s="1"/>
  <c r="Q476" i="7"/>
  <c r="E487" i="6" s="1"/>
  <c r="Q475" i="7"/>
  <c r="E486" i="6" s="1"/>
  <c r="Q474" i="7"/>
  <c r="E485" i="6" s="1"/>
  <c r="Q473" i="7"/>
  <c r="E484" i="6" s="1"/>
  <c r="Q472" i="7"/>
  <c r="E483" i="6" s="1"/>
  <c r="Q471" i="7"/>
  <c r="E482" i="6" s="1"/>
  <c r="Q470" i="7"/>
  <c r="E481" i="6" s="1"/>
  <c r="Q469" i="7"/>
  <c r="Q468" i="7"/>
  <c r="Q467" i="7"/>
  <c r="E478" i="6" s="1"/>
  <c r="Q466" i="7"/>
  <c r="E477" i="6" s="1"/>
  <c r="Q465" i="7"/>
  <c r="E476" i="6" s="1"/>
  <c r="Q464" i="7"/>
  <c r="E475" i="6" s="1"/>
  <c r="Q463" i="7"/>
  <c r="Q462" i="7"/>
  <c r="E473" i="6" s="1"/>
  <c r="Q461" i="7"/>
  <c r="E472" i="6" s="1"/>
  <c r="Q460" i="7"/>
  <c r="E471" i="6" s="1"/>
  <c r="Q459" i="7"/>
  <c r="E470" i="6" s="1"/>
  <c r="Q458" i="7"/>
  <c r="E469" i="6" s="1"/>
  <c r="Q457" i="7"/>
  <c r="E468" i="6" s="1"/>
  <c r="Q456" i="7"/>
  <c r="E467" i="6" s="1"/>
  <c r="Q455" i="7"/>
  <c r="E466" i="6" s="1"/>
  <c r="Q454" i="7"/>
  <c r="E465" i="6" s="1"/>
  <c r="Q453" i="7"/>
  <c r="Q452" i="7"/>
  <c r="E463" i="6" s="1"/>
  <c r="Q451" i="7"/>
  <c r="E462" i="6" s="1"/>
  <c r="Q450" i="7"/>
  <c r="Q449" i="7"/>
  <c r="Q448" i="7"/>
  <c r="Q447" i="7"/>
  <c r="E458" i="6" s="1"/>
  <c r="Q446" i="7"/>
  <c r="E457" i="6" s="1"/>
  <c r="Q445" i="7"/>
  <c r="Q444" i="7"/>
  <c r="E455" i="6" s="1"/>
  <c r="Q443" i="7"/>
  <c r="E454" i="6" s="1"/>
  <c r="Q442" i="7"/>
  <c r="E453" i="6" s="1"/>
  <c r="Q441" i="7"/>
  <c r="E452" i="6" s="1"/>
  <c r="Q440" i="7"/>
  <c r="E451" i="6" s="1"/>
  <c r="Q439" i="7"/>
  <c r="E450" i="6" s="1"/>
  <c r="Q438" i="7"/>
  <c r="E449" i="6" s="1"/>
  <c r="Q437" i="7"/>
  <c r="E448" i="6" s="1"/>
  <c r="Q436" i="7"/>
  <c r="E447" i="6" s="1"/>
  <c r="Q435" i="7"/>
  <c r="Q434" i="7"/>
  <c r="E445" i="6" s="1"/>
  <c r="Q433" i="7"/>
  <c r="E444" i="6" s="1"/>
  <c r="Q432" i="7"/>
  <c r="Q431" i="7"/>
  <c r="Q430" i="7"/>
  <c r="Q429" i="7"/>
  <c r="Q428" i="7"/>
  <c r="Q427" i="7"/>
  <c r="Q426" i="7"/>
  <c r="Q425" i="7"/>
  <c r="E436" i="6" s="1"/>
  <c r="Q424" i="7"/>
  <c r="E435" i="6" s="1"/>
  <c r="Q423" i="7"/>
  <c r="E434" i="6" s="1"/>
  <c r="Q422" i="7"/>
  <c r="E433" i="6" s="1"/>
  <c r="Q421" i="7"/>
  <c r="E432" i="6" s="1"/>
  <c r="Q420" i="7"/>
  <c r="E431" i="6" s="1"/>
  <c r="Q419" i="7"/>
  <c r="Q418" i="7"/>
  <c r="E422" i="6"/>
  <c r="E420" i="6"/>
  <c r="E419" i="6"/>
  <c r="E418" i="6"/>
  <c r="E416" i="6"/>
  <c r="E413" i="6"/>
  <c r="E412" i="6"/>
  <c r="E411" i="6"/>
  <c r="E409" i="6"/>
  <c r="E408" i="6"/>
  <c r="E407" i="6"/>
  <c r="E406" i="6"/>
  <c r="E405" i="6"/>
  <c r="E402" i="6"/>
  <c r="E401" i="6"/>
  <c r="E398" i="6"/>
  <c r="E397" i="6"/>
  <c r="E391" i="6"/>
  <c r="E390" i="6"/>
  <c r="E388" i="6"/>
  <c r="E386" i="6"/>
  <c r="E383" i="6"/>
  <c r="E379" i="6"/>
  <c r="E378" i="6"/>
  <c r="E375" i="6"/>
  <c r="E374" i="6"/>
  <c r="E373" i="6"/>
  <c r="E372" i="6"/>
  <c r="E367" i="6"/>
  <c r="E363" i="6"/>
  <c r="E360" i="6"/>
  <c r="E359" i="6"/>
  <c r="E358" i="6"/>
  <c r="E357" i="6"/>
  <c r="E356" i="6"/>
  <c r="E355" i="6"/>
  <c r="E352" i="6"/>
  <c r="E351" i="6"/>
  <c r="E350" i="6"/>
  <c r="E349" i="6"/>
  <c r="E345" i="6"/>
  <c r="E344" i="6"/>
  <c r="E341" i="6"/>
  <c r="E340" i="6"/>
  <c r="E339" i="6"/>
  <c r="E337" i="6"/>
  <c r="E336" i="6"/>
  <c r="E335" i="6"/>
  <c r="E333" i="6"/>
  <c r="E332" i="6"/>
  <c r="E329" i="6"/>
  <c r="E326" i="6"/>
  <c r="E325" i="6"/>
  <c r="E324" i="6"/>
  <c r="E323" i="6"/>
  <c r="E322" i="6"/>
  <c r="E321" i="6"/>
  <c r="E320" i="6"/>
  <c r="E319" i="6"/>
  <c r="E318" i="6"/>
  <c r="Q298" i="7"/>
  <c r="Q297" i="7"/>
  <c r="Q296" i="7"/>
  <c r="Q295" i="7"/>
  <c r="E306" i="6" s="1"/>
  <c r="Q294" i="7"/>
  <c r="E305" i="6" s="1"/>
  <c r="Q293" i="7"/>
  <c r="E304" i="6" s="1"/>
  <c r="Q292" i="7"/>
  <c r="E303" i="6" s="1"/>
  <c r="Q291" i="7"/>
  <c r="E302" i="6" s="1"/>
  <c r="Q290" i="7"/>
  <c r="Q289" i="7"/>
  <c r="E300" i="6" s="1"/>
  <c r="Q288" i="7"/>
  <c r="Q287" i="7"/>
  <c r="E298" i="6" s="1"/>
  <c r="Q286" i="7"/>
  <c r="E297" i="6" s="1"/>
  <c r="Q285" i="7"/>
  <c r="E296" i="6" s="1"/>
  <c r="Q284" i="7"/>
  <c r="Q283" i="7"/>
  <c r="Q282" i="7"/>
  <c r="Q281" i="7"/>
  <c r="Q280" i="7"/>
  <c r="Q279" i="7"/>
  <c r="Q278" i="7"/>
  <c r="E289" i="6" s="1"/>
  <c r="Q277" i="7"/>
  <c r="E288" i="6" s="1"/>
  <c r="Q276" i="7"/>
  <c r="E287" i="6" s="1"/>
  <c r="Q275" i="7"/>
  <c r="E286" i="6" s="1"/>
  <c r="Q274" i="7"/>
  <c r="Q273" i="7"/>
  <c r="Q272" i="7"/>
  <c r="Q271" i="7"/>
  <c r="Q270" i="7"/>
  <c r="E281" i="6" s="1"/>
  <c r="Q269" i="7"/>
  <c r="E280" i="6" s="1"/>
  <c r="Q267" i="7"/>
  <c r="Q266" i="7"/>
  <c r="E277" i="6" s="1"/>
  <c r="Q265" i="7"/>
  <c r="Q264" i="7"/>
  <c r="E275" i="6" s="1"/>
  <c r="Q263" i="7"/>
  <c r="E274" i="6" s="1"/>
  <c r="Q262" i="7"/>
  <c r="E273" i="6" s="1"/>
  <c r="Q261" i="7"/>
  <c r="E272" i="6" s="1"/>
  <c r="Q260" i="7"/>
  <c r="Q259" i="7"/>
  <c r="Q258" i="7"/>
  <c r="Q257" i="7"/>
  <c r="Q256" i="7"/>
  <c r="E267" i="6" s="1"/>
  <c r="Q255" i="7"/>
  <c r="E266" i="6" s="1"/>
  <c r="Q254" i="7"/>
  <c r="Q253" i="7"/>
  <c r="E264" i="6" s="1"/>
  <c r="Q252" i="7"/>
  <c r="E263" i="6" s="1"/>
  <c r="Q251" i="7"/>
  <c r="E262" i="6" s="1"/>
  <c r="Q250" i="7"/>
  <c r="E261" i="6" s="1"/>
  <c r="Q249" i="7"/>
  <c r="E260" i="6" s="1"/>
  <c r="Q248" i="7"/>
  <c r="E259" i="6" s="1"/>
  <c r="Q247" i="7"/>
  <c r="E258" i="6" s="1"/>
  <c r="Q246" i="7"/>
  <c r="Q245" i="7"/>
  <c r="Q244" i="7"/>
  <c r="Q243" i="7"/>
  <c r="Q242" i="7"/>
  <c r="E253" i="6" s="1"/>
  <c r="Q241" i="7"/>
  <c r="Q240" i="7"/>
  <c r="E251" i="6" s="1"/>
  <c r="Q239" i="7"/>
  <c r="E250" i="6" s="1"/>
  <c r="Q238" i="7"/>
  <c r="E249" i="6" s="1"/>
  <c r="Q237" i="7"/>
  <c r="E248" i="6" s="1"/>
  <c r="Q236" i="7"/>
  <c r="Q235" i="7"/>
  <c r="Q234" i="7"/>
  <c r="E245" i="6" s="1"/>
  <c r="Q233" i="7"/>
  <c r="E244" i="6" s="1"/>
  <c r="Q232" i="7"/>
  <c r="E243" i="6" s="1"/>
  <c r="Q231" i="7"/>
  <c r="E242" i="6" s="1"/>
  <c r="Q230" i="7"/>
  <c r="E241" i="6" s="1"/>
  <c r="Q229" i="7"/>
  <c r="Q228" i="7"/>
  <c r="E239" i="6" s="1"/>
  <c r="Q227" i="7"/>
  <c r="E238" i="6" s="1"/>
  <c r="Q226" i="7"/>
  <c r="E237" i="6" s="1"/>
  <c r="Q225" i="7"/>
  <c r="E236" i="6" s="1"/>
  <c r="Q224" i="7"/>
  <c r="E235" i="6" s="1"/>
  <c r="Q223" i="7"/>
  <c r="Q222" i="7"/>
  <c r="Q221" i="7"/>
  <c r="Q220" i="7"/>
  <c r="E231" i="6" s="1"/>
  <c r="Q219" i="7"/>
  <c r="E230" i="6" s="1"/>
  <c r="Q218" i="7"/>
  <c r="E229" i="6" s="1"/>
  <c r="Q217" i="7"/>
  <c r="E228" i="6" s="1"/>
  <c r="Q216" i="7"/>
  <c r="E227" i="6" s="1"/>
  <c r="Q215" i="7"/>
  <c r="E226" i="6" s="1"/>
  <c r="Q214" i="7"/>
  <c r="E225" i="6" s="1"/>
  <c r="Q212" i="7"/>
  <c r="E223" i="6" s="1"/>
  <c r="Q211" i="7"/>
  <c r="E222" i="6" s="1"/>
  <c r="Q210" i="7"/>
  <c r="Q209" i="7"/>
  <c r="Q208" i="7"/>
  <c r="Q207" i="7"/>
  <c r="Q206" i="7"/>
  <c r="E217" i="6" s="1"/>
  <c r="Q205" i="7"/>
  <c r="E216" i="6" s="1"/>
  <c r="Q204" i="7"/>
  <c r="E215" i="6" s="1"/>
  <c r="Q203" i="7"/>
  <c r="E214" i="6" s="1"/>
  <c r="Q202" i="7"/>
  <c r="Q201" i="7"/>
  <c r="E212" i="6" s="1"/>
  <c r="Q200" i="7"/>
  <c r="E211" i="6" s="1"/>
  <c r="Q199" i="7"/>
  <c r="E210" i="6" s="1"/>
  <c r="Q198" i="7"/>
  <c r="E209" i="6" s="1"/>
  <c r="Q197" i="7"/>
  <c r="E208" i="6" s="1"/>
  <c r="Q196" i="7"/>
  <c r="Q195" i="7"/>
  <c r="E206" i="6" s="1"/>
  <c r="Q194" i="7"/>
  <c r="E205" i="6" s="1"/>
  <c r="Q193" i="7"/>
  <c r="E204" i="6" s="1"/>
  <c r="Q192" i="7"/>
  <c r="E203" i="6" s="1"/>
  <c r="Q191" i="7"/>
  <c r="E202" i="6" s="1"/>
  <c r="Q190" i="7"/>
  <c r="E201" i="6" s="1"/>
  <c r="Q189" i="7"/>
  <c r="E200" i="6" s="1"/>
  <c r="Q188" i="7"/>
  <c r="E199" i="6" s="1"/>
  <c r="Q187" i="7"/>
  <c r="Q186" i="7"/>
  <c r="E197" i="6" s="1"/>
  <c r="Q185" i="7"/>
  <c r="E196" i="6" s="1"/>
  <c r="Q184" i="7"/>
  <c r="E195" i="6" s="1"/>
  <c r="Q183" i="7"/>
  <c r="E194" i="6" s="1"/>
  <c r="Q181" i="7"/>
  <c r="E192" i="6" s="1"/>
  <c r="Q180" i="7"/>
  <c r="Q179" i="7"/>
  <c r="Q178" i="7"/>
  <c r="Q177" i="7"/>
  <c r="E188" i="6" s="1"/>
  <c r="Q176" i="7"/>
  <c r="E187" i="6" s="1"/>
  <c r="Q175" i="7"/>
  <c r="E186" i="6" s="1"/>
  <c r="Q174" i="7"/>
  <c r="E185" i="6" s="1"/>
  <c r="Q173" i="7"/>
  <c r="E184" i="6" s="1"/>
  <c r="Q172" i="7"/>
  <c r="Q171" i="7"/>
  <c r="Q170" i="7"/>
  <c r="Q169" i="7"/>
  <c r="E180" i="6" s="1"/>
  <c r="Q168" i="7"/>
  <c r="E179" i="6" s="1"/>
  <c r="Q167" i="7"/>
  <c r="E178" i="6" s="1"/>
  <c r="Q166" i="7"/>
  <c r="E177" i="6" s="1"/>
  <c r="Q165" i="7"/>
  <c r="Q164" i="7"/>
  <c r="E175" i="6" s="1"/>
  <c r="Q163" i="7"/>
  <c r="E174" i="6" s="1"/>
  <c r="Q162" i="7"/>
  <c r="E173" i="6" s="1"/>
  <c r="Q161" i="7"/>
  <c r="E172" i="6" s="1"/>
  <c r="Q160" i="7"/>
  <c r="E171" i="6" s="1"/>
  <c r="Q157" i="7"/>
  <c r="E168" i="6" s="1"/>
  <c r="Q156" i="7"/>
  <c r="Q155" i="7"/>
  <c r="E166" i="6" s="1"/>
  <c r="Q154" i="7"/>
  <c r="E165" i="6" s="1"/>
  <c r="Q153" i="7"/>
  <c r="Q152" i="7"/>
  <c r="Q151" i="7"/>
  <c r="Q150" i="7"/>
  <c r="E161" i="6" s="1"/>
  <c r="Q149" i="7"/>
  <c r="E160" i="6" s="1"/>
  <c r="Q148" i="7"/>
  <c r="E159" i="6" s="1"/>
  <c r="Q146" i="7"/>
  <c r="Q145" i="7"/>
  <c r="Q144" i="7"/>
  <c r="Q143" i="7"/>
  <c r="Q142" i="7"/>
  <c r="Q141" i="7"/>
  <c r="E153" i="6" s="1"/>
  <c r="Q140" i="7"/>
  <c r="E152" i="6" s="1"/>
  <c r="Q139" i="7"/>
  <c r="E151" i="6" s="1"/>
  <c r="Q138" i="7"/>
  <c r="E150" i="6" s="1"/>
  <c r="Q137" i="7"/>
  <c r="E149" i="6" s="1"/>
  <c r="Q136" i="7"/>
  <c r="Q135" i="7"/>
  <c r="Q134" i="7"/>
  <c r="E146" i="6" s="1"/>
  <c r="Q133" i="7"/>
  <c r="Q132" i="7"/>
  <c r="E144" i="6" s="1"/>
  <c r="Q131" i="7"/>
  <c r="E143" i="6" s="1"/>
  <c r="Q130" i="7"/>
  <c r="E142" i="6" s="1"/>
  <c r="Q129" i="7"/>
  <c r="E141" i="6" s="1"/>
  <c r="Q128" i="7"/>
  <c r="E140" i="6" s="1"/>
  <c r="Q127" i="7"/>
  <c r="Q126" i="7"/>
  <c r="Q125" i="7"/>
  <c r="Q124" i="7"/>
  <c r="E136" i="6" s="1"/>
  <c r="Q123" i="7"/>
  <c r="E135" i="6" s="1"/>
  <c r="Q122" i="7"/>
  <c r="E134" i="6" s="1"/>
  <c r="Q120" i="7"/>
  <c r="Q119" i="7"/>
  <c r="Q118" i="7"/>
  <c r="Q117" i="7"/>
  <c r="E129" i="6" s="1"/>
  <c r="Q116" i="7"/>
  <c r="E128" i="6" s="1"/>
  <c r="Q115" i="7"/>
  <c r="E127" i="6" s="1"/>
  <c r="Q114" i="7"/>
  <c r="E126" i="6" s="1"/>
  <c r="Q113" i="7"/>
  <c r="E125" i="6" s="1"/>
  <c r="Q112" i="7"/>
  <c r="E124" i="6" s="1"/>
  <c r="Q111" i="7"/>
  <c r="E123" i="6" s="1"/>
  <c r="Q110" i="7"/>
  <c r="Q109" i="7"/>
  <c r="E121" i="6" s="1"/>
  <c r="Q108" i="7"/>
  <c r="Q107" i="7"/>
  <c r="Q106" i="7"/>
  <c r="Q105" i="7"/>
  <c r="E117" i="6" s="1"/>
  <c r="Q104" i="7"/>
  <c r="E116" i="6" s="1"/>
  <c r="Q103" i="7"/>
  <c r="E115" i="6" s="1"/>
  <c r="Q102" i="7"/>
  <c r="E114" i="6" s="1"/>
  <c r="Q101" i="7"/>
  <c r="E113" i="6" s="1"/>
  <c r="Q100" i="7"/>
  <c r="E112" i="6" s="1"/>
  <c r="Q99" i="7"/>
  <c r="Q98" i="7"/>
  <c r="Q97" i="7"/>
  <c r="E109" i="6" s="1"/>
  <c r="Q96" i="7"/>
  <c r="E108" i="6" s="1"/>
  <c r="Q95" i="7"/>
  <c r="Q94" i="7"/>
  <c r="Q93" i="7"/>
  <c r="Q92" i="7"/>
  <c r="E104" i="6" s="1"/>
  <c r="Q91" i="7"/>
  <c r="E103" i="6" s="1"/>
  <c r="Q90" i="7"/>
  <c r="E102" i="6" s="1"/>
  <c r="Q89" i="7"/>
  <c r="E101" i="6" s="1"/>
  <c r="Q88" i="7"/>
  <c r="Q87" i="7"/>
  <c r="Q86" i="7"/>
  <c r="Q85" i="7"/>
  <c r="E97" i="6" s="1"/>
  <c r="Q84" i="7"/>
  <c r="E96" i="6" s="1"/>
  <c r="Q83" i="7"/>
  <c r="E95" i="6" s="1"/>
  <c r="Q82" i="7"/>
  <c r="E94" i="6" s="1"/>
  <c r="Q81" i="7"/>
  <c r="E93" i="6" s="1"/>
  <c r="Q80" i="7"/>
  <c r="E92" i="6" s="1"/>
  <c r="Q79" i="7"/>
  <c r="E91" i="6" s="1"/>
  <c r="Q78" i="7"/>
  <c r="Q77" i="7"/>
  <c r="Q76" i="7"/>
  <c r="E88" i="6" s="1"/>
  <c r="Q75" i="7"/>
  <c r="E87" i="6" s="1"/>
  <c r="Q74" i="7"/>
  <c r="E86" i="6" s="1"/>
  <c r="Q73" i="7"/>
  <c r="E85" i="6" s="1"/>
  <c r="Q72" i="7"/>
  <c r="Q71" i="7"/>
  <c r="E83" i="6" s="1"/>
  <c r="Q70" i="7"/>
  <c r="E82" i="6" s="1"/>
  <c r="Q69" i="7"/>
  <c r="E81" i="6" s="1"/>
  <c r="Q68" i="7"/>
  <c r="E80" i="6" s="1"/>
  <c r="Q67" i="7"/>
  <c r="E79" i="6" s="1"/>
  <c r="Q66" i="7"/>
  <c r="E78" i="6" s="1"/>
  <c r="Q65" i="7"/>
  <c r="Q63" i="7"/>
  <c r="E75" i="6" s="1"/>
  <c r="Q62" i="7"/>
  <c r="E74" i="6" s="1"/>
  <c r="Q61" i="7"/>
  <c r="E73" i="6" s="1"/>
  <c r="Q60" i="7"/>
  <c r="E72" i="6" s="1"/>
  <c r="Q59" i="7"/>
  <c r="E71" i="6" s="1"/>
  <c r="Q58" i="7"/>
  <c r="E70" i="6" s="1"/>
  <c r="Q57" i="7"/>
  <c r="E69" i="6" s="1"/>
  <c r="Q56" i="7"/>
  <c r="E68" i="6" s="1"/>
  <c r="Q55" i="7"/>
  <c r="E67" i="6" s="1"/>
  <c r="Q54" i="7"/>
  <c r="Q53" i="7"/>
  <c r="Q52" i="7"/>
  <c r="Q51" i="7"/>
  <c r="E63" i="6" s="1"/>
  <c r="Q50" i="7"/>
  <c r="E62" i="6" s="1"/>
  <c r="Q49" i="7"/>
  <c r="E61" i="6" s="1"/>
  <c r="Q48" i="7"/>
  <c r="Q47" i="7"/>
  <c r="E59" i="6" s="1"/>
  <c r="Q46" i="7"/>
  <c r="E57" i="6" s="1"/>
  <c r="Q45" i="7"/>
  <c r="E56" i="6" s="1"/>
  <c r="Q44" i="7"/>
  <c r="Q43" i="7"/>
  <c r="E54" i="6" s="1"/>
  <c r="Q42" i="7"/>
  <c r="E53" i="6" s="1"/>
  <c r="Q41" i="7"/>
  <c r="E52" i="6" s="1"/>
  <c r="Q40" i="7"/>
  <c r="E51" i="6" s="1"/>
  <c r="Q39" i="7"/>
  <c r="Q38" i="7"/>
  <c r="Q37" i="7"/>
  <c r="Q36" i="7"/>
  <c r="E47" i="6" s="1"/>
  <c r="Q34" i="7"/>
  <c r="Q33" i="7"/>
  <c r="Q32" i="7"/>
  <c r="E43" i="6" s="1"/>
  <c r="Q31" i="7"/>
  <c r="E42" i="6" s="1"/>
  <c r="Q30" i="7"/>
  <c r="E41" i="6" s="1"/>
  <c r="Q29" i="7"/>
  <c r="E40" i="6" s="1"/>
  <c r="Q28" i="7"/>
  <c r="E39" i="6" s="1"/>
  <c r="L949" i="7" l="1"/>
  <c r="Q949" i="7" s="1"/>
  <c r="E961" i="6" s="1"/>
  <c r="D26" i="2"/>
  <c r="J799" i="7"/>
  <c r="H3" i="7"/>
  <c r="Q630" i="7"/>
  <c r="Q631" i="7"/>
  <c r="E643" i="6" s="1"/>
  <c r="D28" i="2"/>
  <c r="Q182" i="7"/>
  <c r="E193" i="6" s="1"/>
  <c r="Q268" i="7"/>
  <c r="E279" i="6" s="1"/>
  <c r="Q213" i="7"/>
  <c r="E224" i="6" s="1"/>
  <c r="M340" i="14"/>
  <c r="M341" i="14" s="1"/>
  <c r="D30" i="2"/>
  <c r="Q159" i="7"/>
  <c r="E170" i="6" s="1"/>
  <c r="Q147" i="7"/>
  <c r="E158" i="6" s="1"/>
  <c r="Q64" i="7"/>
  <c r="Q35" i="7"/>
  <c r="E46" i="6" s="1"/>
  <c r="L799" i="7" l="1"/>
  <c r="J3" i="7"/>
  <c r="D31" i="2"/>
  <c r="Q121" i="7"/>
  <c r="Q799" i="7" l="1"/>
  <c r="E811" i="6" s="1"/>
  <c r="L3" i="7"/>
  <c r="C48" i="1"/>
  <c r="C45" i="1"/>
  <c r="D36" i="1"/>
  <c r="N2" i="7" l="1"/>
  <c r="N1" i="7" s="1"/>
  <c r="N3" i="7"/>
  <c r="D3" i="1"/>
  <c r="H4" i="11"/>
  <c r="H19" i="11"/>
  <c r="H18" i="11"/>
  <c r="H15" i="11"/>
  <c r="H14" i="11"/>
  <c r="H13" i="11"/>
  <c r="H12" i="11"/>
  <c r="H11" i="11"/>
  <c r="F51" i="9"/>
  <c r="D51" i="9"/>
  <c r="C51" i="9"/>
  <c r="B51" i="9"/>
  <c r="E3" i="6"/>
  <c r="C2" i="6" s="1"/>
  <c r="G3" i="2" s="1"/>
  <c r="D2" i="6" l="1"/>
  <c r="H2" i="11"/>
  <c r="C3" i="1" s="1"/>
  <c r="C44" i="1"/>
  <c r="C55" i="9"/>
  <c r="C54" i="9"/>
  <c r="C53" i="9"/>
  <c r="C56" i="9" s="1"/>
  <c r="D56" i="9" s="1"/>
  <c r="G6" i="2" s="1"/>
  <c r="G7" i="2" s="1"/>
  <c r="H7" i="2" s="1"/>
  <c r="A35" i="8" l="1"/>
  <c r="A6" i="2" l="1"/>
  <c r="A7" i="2" s="1"/>
  <c r="A8" i="2" s="1"/>
  <c r="A9" i="2" s="1"/>
  <c r="A10" i="2" s="1"/>
  <c r="A11" i="2" s="1"/>
  <c r="N3" i="5"/>
  <c r="M2" i="5" s="1"/>
  <c r="D12" i="2" s="1"/>
  <c r="H13" i="1"/>
  <c r="H12" i="1"/>
  <c r="H11" i="1"/>
  <c r="C41" i="1"/>
  <c r="E8" i="2"/>
  <c r="H34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0" i="1"/>
  <c r="H7" i="1"/>
  <c r="H6" i="1"/>
  <c r="H8" i="1"/>
  <c r="A6" i="1"/>
  <c r="A7" i="1" s="1"/>
  <c r="G11" i="2" l="1"/>
  <c r="G12" i="2" s="1"/>
  <c r="A12" i="2"/>
  <c r="A13" i="2" s="1"/>
  <c r="A14" i="2" s="1"/>
  <c r="A15" i="2" s="1"/>
  <c r="B21" i="5"/>
  <c r="C46" i="1"/>
  <c r="H36" i="1"/>
  <c r="C40" i="1" s="1"/>
  <c r="D10" i="2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17" i="2" l="1"/>
  <c r="A18" i="2" s="1"/>
  <c r="C52" i="1"/>
  <c r="C50" i="1"/>
  <c r="C51" i="1" s="1"/>
  <c r="C58" i="1" s="1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D9" i="2"/>
  <c r="E6" i="2"/>
  <c r="A60" i="2" l="1"/>
  <c r="A61" i="2" s="1"/>
  <c r="A62" i="2" s="1"/>
  <c r="A63" i="2" s="1"/>
  <c r="A64" i="2" s="1"/>
  <c r="C61" i="1"/>
  <c r="C60" i="1"/>
  <c r="C59" i="1"/>
  <c r="E5" i="2"/>
  <c r="E7" i="2"/>
  <c r="H2" i="6"/>
  <c r="H3" i="6" s="1"/>
  <c r="A65" i="2" l="1"/>
  <c r="A66" i="2" s="1"/>
  <c r="A67" i="2" s="1"/>
  <c r="A68" i="2" s="1"/>
  <c r="A69" i="2" s="1"/>
  <c r="E11" i="2"/>
  <c r="E2" i="2" s="1"/>
  <c r="C49" i="1"/>
  <c r="K393" i="14"/>
  <c r="M394" i="14" s="1"/>
  <c r="M395" i="14" s="1"/>
  <c r="A70" i="2" l="1"/>
  <c r="D33" i="2"/>
  <c r="G20" i="2"/>
  <c r="G22" i="2"/>
  <c r="D2" i="2"/>
  <c r="G2" i="2" s="1"/>
  <c r="G4" i="2" s="1"/>
  <c r="A71" i="2" l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87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E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Харуза харуз числоям навис бат расмба гита мепарти худатбаям исиория мемонат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448" authorId="0" shapeId="0" xr:uid="{ADA5B02B-980F-49EA-B4B2-EFB7B261793F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<sst xmlns="http://schemas.openxmlformats.org/spreadsheetml/2006/main" count="4082" uniqueCount="1944">
  <si>
    <t>Дата</t>
  </si>
  <si>
    <t>№</t>
  </si>
  <si>
    <t>А ман карз</t>
  </si>
  <si>
    <t>Ман Карз</t>
  </si>
  <si>
    <t>Хитой</t>
  </si>
  <si>
    <t>Ойбек</t>
  </si>
  <si>
    <t>Нурбек тонн</t>
  </si>
  <si>
    <t>Нурбек Харажат</t>
  </si>
  <si>
    <t>Фарход тонн</t>
  </si>
  <si>
    <t>Фарход харажат</t>
  </si>
  <si>
    <t>Итого</t>
  </si>
  <si>
    <t>Бригад</t>
  </si>
  <si>
    <t>Фазли</t>
  </si>
  <si>
    <t>Нурбек</t>
  </si>
  <si>
    <t>Фойда</t>
  </si>
  <si>
    <t>Итог дня</t>
  </si>
  <si>
    <t>Нурбек харид</t>
  </si>
  <si>
    <t>Нурбек ойлик</t>
  </si>
  <si>
    <t>Тоннаж</t>
  </si>
  <si>
    <t>Хитой бонус</t>
  </si>
  <si>
    <t>Тура</t>
  </si>
  <si>
    <t>Ойбек Пул берди</t>
  </si>
  <si>
    <t>Ойбек пул берди</t>
  </si>
  <si>
    <t>Ойбек - Тура ака</t>
  </si>
  <si>
    <t>Рустам</t>
  </si>
  <si>
    <t>Акрам ака</t>
  </si>
  <si>
    <t>Хитой фойда</t>
  </si>
  <si>
    <t>Раим</t>
  </si>
  <si>
    <t>Раим товар</t>
  </si>
  <si>
    <t xml:space="preserve">Тура   </t>
  </si>
  <si>
    <t>$</t>
  </si>
  <si>
    <t>Чермет бонус</t>
  </si>
  <si>
    <t>Нурбек кунлик</t>
  </si>
  <si>
    <t xml:space="preserve"> </t>
  </si>
  <si>
    <t>Харажат</t>
  </si>
  <si>
    <t>Остаток</t>
  </si>
  <si>
    <t>Сотилди</t>
  </si>
  <si>
    <t>Ойбек берган пул</t>
  </si>
  <si>
    <t>Раим Юк</t>
  </si>
  <si>
    <t>Мелоч харажат</t>
  </si>
  <si>
    <t>Раим Пул</t>
  </si>
  <si>
    <t>Сешанба</t>
  </si>
  <si>
    <t>Чоршанба</t>
  </si>
  <si>
    <t>Пайшанба</t>
  </si>
  <si>
    <t>Жума</t>
  </si>
  <si>
    <t>Шанба</t>
  </si>
  <si>
    <t>Якшанба</t>
  </si>
  <si>
    <t>Раим пулаш</t>
  </si>
  <si>
    <t>Утган хафтадан Колган пул</t>
  </si>
  <si>
    <t xml:space="preserve">Раим пуаш Ойбекба </t>
  </si>
  <si>
    <t>Иззат</t>
  </si>
  <si>
    <t>Расход</t>
  </si>
  <si>
    <t>Расход сумма</t>
  </si>
  <si>
    <t>Расход Наименование</t>
  </si>
  <si>
    <t>Приход сумма</t>
  </si>
  <si>
    <t>Приход Наименование</t>
  </si>
  <si>
    <t>Приход</t>
  </si>
  <si>
    <t>Делта</t>
  </si>
  <si>
    <t>Номер машини</t>
  </si>
  <si>
    <t>Брутто</t>
  </si>
  <si>
    <t>Тара</t>
  </si>
  <si>
    <t>Нетто</t>
  </si>
  <si>
    <t>Чистый</t>
  </si>
  <si>
    <t>Цена</t>
  </si>
  <si>
    <t>сумма Металл</t>
  </si>
  <si>
    <t>% скидка</t>
  </si>
  <si>
    <t>Тура ака Пул берди</t>
  </si>
  <si>
    <t>Нима учун берди</t>
  </si>
  <si>
    <t>Тонн</t>
  </si>
  <si>
    <t>Нима учун</t>
  </si>
  <si>
    <t>Разница</t>
  </si>
  <si>
    <t>Кунлик</t>
  </si>
  <si>
    <t>Приход-расход</t>
  </si>
  <si>
    <t>Остатка юк</t>
  </si>
  <si>
    <t>Рахим фойда</t>
  </si>
  <si>
    <t>БНПЗ</t>
  </si>
  <si>
    <t>Каракул</t>
  </si>
  <si>
    <t>Корхоно</t>
  </si>
  <si>
    <t>Бнпз</t>
  </si>
  <si>
    <t>ойбек пули кунлик</t>
  </si>
  <si>
    <t>24  01 2025</t>
  </si>
  <si>
    <t>13 02 2025</t>
  </si>
  <si>
    <t>19 02 2025</t>
  </si>
  <si>
    <t>14 04 2025</t>
  </si>
  <si>
    <t>16  04 2025</t>
  </si>
  <si>
    <t>18 04 2025</t>
  </si>
  <si>
    <t>10 06 2025</t>
  </si>
  <si>
    <t>1 07 2025</t>
  </si>
  <si>
    <t>2  07 2025</t>
  </si>
  <si>
    <t>19 07 2025</t>
  </si>
  <si>
    <t>21 08 2025</t>
  </si>
  <si>
    <t>2 09 2025</t>
  </si>
  <si>
    <t>3 09 2025</t>
  </si>
  <si>
    <t>22 10 2025</t>
  </si>
  <si>
    <t>24 10 2025</t>
  </si>
  <si>
    <t>30 10 2025</t>
  </si>
  <si>
    <t>8 11 2025</t>
  </si>
  <si>
    <t>15 11 2025</t>
  </si>
  <si>
    <t>24 11 2025</t>
  </si>
  <si>
    <t>Каракул Приход</t>
  </si>
  <si>
    <t>Каракул Расход</t>
  </si>
  <si>
    <t xml:space="preserve">Сумма </t>
  </si>
  <si>
    <t>Хитой пул</t>
  </si>
  <si>
    <t>Ойбек юк</t>
  </si>
  <si>
    <t>Лишный расход</t>
  </si>
  <si>
    <t>Жами юк</t>
  </si>
  <si>
    <t xml:space="preserve">Жами Расход </t>
  </si>
  <si>
    <t>умед 1030</t>
  </si>
  <si>
    <t>Хитой итого долг</t>
  </si>
  <si>
    <t xml:space="preserve">  </t>
  </si>
  <si>
    <t>Йил бошида карзим</t>
  </si>
  <si>
    <t>расход</t>
  </si>
  <si>
    <t>дадем</t>
  </si>
  <si>
    <t>фарход</t>
  </si>
  <si>
    <t>гастинса</t>
  </si>
  <si>
    <t>олим карз</t>
  </si>
  <si>
    <t>31,01,2026</t>
  </si>
  <si>
    <t>01,02,2026</t>
  </si>
  <si>
    <t>834 зарар</t>
  </si>
  <si>
    <t>зарар 834</t>
  </si>
  <si>
    <t>жамил</t>
  </si>
  <si>
    <t>966 навои</t>
  </si>
  <si>
    <t>004 тур мяхки</t>
  </si>
  <si>
    <t>сум</t>
  </si>
  <si>
    <t>хитой чермет</t>
  </si>
  <si>
    <t>267 мошин</t>
  </si>
  <si>
    <t>тилло</t>
  </si>
  <si>
    <t>пр</t>
  </si>
  <si>
    <t>хура</t>
  </si>
  <si>
    <t>рахим</t>
  </si>
  <si>
    <t>чермет</t>
  </si>
  <si>
    <t>хитой</t>
  </si>
  <si>
    <t>004 турон</t>
  </si>
  <si>
    <t>бобо</t>
  </si>
  <si>
    <t>уйга бозор</t>
  </si>
  <si>
    <t>2,02,2026</t>
  </si>
  <si>
    <t>икром с</t>
  </si>
  <si>
    <t>олим к</t>
  </si>
  <si>
    <t>усто ужин</t>
  </si>
  <si>
    <t>шунчаки</t>
  </si>
  <si>
    <t>икром симентчи</t>
  </si>
  <si>
    <t>264 мяхки нов</t>
  </si>
  <si>
    <t xml:space="preserve">388 релс </t>
  </si>
  <si>
    <t>142 релс</t>
  </si>
  <si>
    <t>130 релс</t>
  </si>
  <si>
    <t>142,388,130 релс</t>
  </si>
  <si>
    <t>264 нов</t>
  </si>
  <si>
    <t>884 чугун бекобод</t>
  </si>
  <si>
    <t>884 жамил</t>
  </si>
  <si>
    <t>266 зарар+++</t>
  </si>
  <si>
    <t xml:space="preserve"> 266 зарар</t>
  </si>
  <si>
    <t>Ойбек юк берди</t>
  </si>
  <si>
    <t>Иззат пул берди</t>
  </si>
  <si>
    <t>3,02,2026</t>
  </si>
  <si>
    <t>наги</t>
  </si>
  <si>
    <t>966 бекобод</t>
  </si>
  <si>
    <t>365 бекобод</t>
  </si>
  <si>
    <t>377 бозор чирчик</t>
  </si>
  <si>
    <t>904 мяхки йул кир</t>
  </si>
  <si>
    <t>3,02,2026 сироч ака</t>
  </si>
  <si>
    <t>сироч ака</t>
  </si>
  <si>
    <t>966 зарар</t>
  </si>
  <si>
    <t>365 чугун</t>
  </si>
  <si>
    <t>377 бозорбой</t>
  </si>
  <si>
    <t>904 ислом</t>
  </si>
  <si>
    <t>дакумент 5 тн</t>
  </si>
  <si>
    <t>исмат</t>
  </si>
  <si>
    <t>акумлатр</t>
  </si>
  <si>
    <t>доллор</t>
  </si>
  <si>
    <t>011 зарар</t>
  </si>
  <si>
    <t>4,03,2026</t>
  </si>
  <si>
    <t>40,000 $$</t>
  </si>
  <si>
    <t>725 мяхки ислом</t>
  </si>
  <si>
    <t>074 когон мяхки</t>
  </si>
  <si>
    <t>800-500=300 низ</t>
  </si>
  <si>
    <t>445 мяхки низом</t>
  </si>
  <si>
    <t>574 шофир</t>
  </si>
  <si>
    <t>574 бобир бекобод</t>
  </si>
  <si>
    <t>463 бобр мяхк</t>
  </si>
  <si>
    <t>593 мяхки комил</t>
  </si>
  <si>
    <t>597 тур мяхки</t>
  </si>
  <si>
    <t>413 мошин</t>
  </si>
  <si>
    <t>413 бекобод</t>
  </si>
  <si>
    <t xml:space="preserve"> ислом 725</t>
  </si>
  <si>
    <t>низом 074</t>
  </si>
  <si>
    <t>низом газли 445</t>
  </si>
  <si>
    <t>бобир 574</t>
  </si>
  <si>
    <t>бобир 463</t>
  </si>
  <si>
    <t>комил 593</t>
  </si>
  <si>
    <t>турон 597</t>
  </si>
  <si>
    <t>фарод 413</t>
  </si>
  <si>
    <t>мойка</t>
  </si>
  <si>
    <t>бозор</t>
  </si>
  <si>
    <t>абед</t>
  </si>
  <si>
    <t>бек апа</t>
  </si>
  <si>
    <t>588 кг</t>
  </si>
  <si>
    <t>клик тахи</t>
  </si>
  <si>
    <t>матерал</t>
  </si>
  <si>
    <t>сироч 10 тн</t>
  </si>
  <si>
    <t>5,02,2026</t>
  </si>
  <si>
    <t>Ойбек  пул берди</t>
  </si>
  <si>
    <t>наим тогом</t>
  </si>
  <si>
    <t>145 мяхки исл</t>
  </si>
  <si>
    <t>437 мяхки исл</t>
  </si>
  <si>
    <t>562 ром мяхки</t>
  </si>
  <si>
    <t>032 еко бекобод</t>
  </si>
  <si>
    <t>032 шофир</t>
  </si>
  <si>
    <t>593 шофир</t>
  </si>
  <si>
    <t>жора</t>
  </si>
  <si>
    <t>клик</t>
  </si>
  <si>
    <t>145 олот</t>
  </si>
  <si>
    <t>437 олот</t>
  </si>
  <si>
    <t>562 ром</t>
  </si>
  <si>
    <t>032 еко</t>
  </si>
  <si>
    <t>газ</t>
  </si>
  <si>
    <t>сартарош</t>
  </si>
  <si>
    <t>меличи</t>
  </si>
  <si>
    <t>акфачи баня</t>
  </si>
  <si>
    <t>кадастр</t>
  </si>
  <si>
    <t>6,02,2026</t>
  </si>
  <si>
    <t>Мошин номер</t>
  </si>
  <si>
    <t>ТОНН</t>
  </si>
  <si>
    <t>Скидка</t>
  </si>
  <si>
    <t>Сабаб</t>
  </si>
  <si>
    <t>16000$</t>
  </si>
  <si>
    <t xml:space="preserve">996 ТУР МЯХКИ </t>
  </si>
  <si>
    <t>384 бекобод</t>
  </si>
  <si>
    <t>537 мяхки комил</t>
  </si>
  <si>
    <t>537 мошин учун</t>
  </si>
  <si>
    <t>377 мяхки рометан</t>
  </si>
  <si>
    <t>377 мошин учун</t>
  </si>
  <si>
    <t>714 бекобод жамил</t>
  </si>
  <si>
    <t>Ойбек пул</t>
  </si>
  <si>
    <t>каракул</t>
  </si>
  <si>
    <t>дори</t>
  </si>
  <si>
    <t>уборка</t>
  </si>
  <si>
    <t>реклама</t>
  </si>
  <si>
    <t>обед</t>
  </si>
  <si>
    <t>Бозор</t>
  </si>
  <si>
    <t>иззат</t>
  </si>
  <si>
    <t>Алишер</t>
  </si>
  <si>
    <t>сирож 5 тонн</t>
  </si>
  <si>
    <t>06,02,2026 сирож ака</t>
  </si>
  <si>
    <t>сирож</t>
  </si>
  <si>
    <t>кочган пул</t>
  </si>
  <si>
    <t>Гостиница</t>
  </si>
  <si>
    <t>Утган ой да карз</t>
  </si>
  <si>
    <t xml:space="preserve">Итого  </t>
  </si>
  <si>
    <t>074 зарар</t>
  </si>
  <si>
    <t>445 зарар</t>
  </si>
  <si>
    <t>7,02,2026</t>
  </si>
  <si>
    <t>15000$$</t>
  </si>
  <si>
    <t>999 бекобод жамил</t>
  </si>
  <si>
    <t>698 мяхк ислом</t>
  </si>
  <si>
    <t>,7,02,2026</t>
  </si>
  <si>
    <t>288 кг 463 мошин</t>
  </si>
  <si>
    <t>133кг 437 мошин</t>
  </si>
  <si>
    <t>278 кг 562 мошин</t>
  </si>
  <si>
    <t>597 мошин</t>
  </si>
  <si>
    <t>8,02,2026</t>
  </si>
  <si>
    <t>4 тамошин</t>
  </si>
  <si>
    <t>ужин</t>
  </si>
  <si>
    <t>мусур</t>
  </si>
  <si>
    <t>сомса</t>
  </si>
  <si>
    <t>мактаб пул</t>
  </si>
  <si>
    <t>413 прес</t>
  </si>
  <si>
    <t>642 мяхк ром</t>
  </si>
  <si>
    <t>264 мяхк шамс</t>
  </si>
  <si>
    <t>057 пешку жамил</t>
  </si>
  <si>
    <t>фарход кунлик</t>
  </si>
  <si>
    <t>9,02,2026</t>
  </si>
  <si>
    <t>074 мяхки нов</t>
  </si>
  <si>
    <t xml:space="preserve">дакумент   </t>
  </si>
  <si>
    <t>пластик</t>
  </si>
  <si>
    <t>10,02,2026</t>
  </si>
  <si>
    <t>20,000 $$ 12300 к</t>
  </si>
  <si>
    <t>384 мяхк когон</t>
  </si>
  <si>
    <t>445 чугун тур бекобод</t>
  </si>
  <si>
    <t>188 чугун тур бекобод</t>
  </si>
  <si>
    <t>10,02,2026 СИРОЧ АКА</t>
  </si>
  <si>
    <t>31,01,2026 СИРОЧ АКА</t>
  </si>
  <si>
    <t>СИРОЧ АКА</t>
  </si>
  <si>
    <t>ХАМСОЯЯЯЯЯЯЯЯЯЯЯЯЯЯ</t>
  </si>
  <si>
    <t>БОЗОР</t>
  </si>
  <si>
    <t>ГАЗ</t>
  </si>
  <si>
    <t>35 ТН</t>
  </si>
  <si>
    <t>РАДАР</t>
  </si>
  <si>
    <t>СИРОЧ ФАРХОД</t>
  </si>
  <si>
    <t>11,02,2026</t>
  </si>
  <si>
    <t>34000 $ 12300 к</t>
  </si>
  <si>
    <t>532 тур мяхки</t>
  </si>
  <si>
    <t>996 мяхк ой</t>
  </si>
  <si>
    <t>мошин кридит</t>
  </si>
  <si>
    <t>икром лоша</t>
  </si>
  <si>
    <t>алишер</t>
  </si>
  <si>
    <t>САБАБ</t>
  </si>
  <si>
    <t>12,02,2026</t>
  </si>
  <si>
    <t>5000 $ 12270 К</t>
  </si>
  <si>
    <t>187 КОГОН МЯХИ</t>
  </si>
  <si>
    <t>САНТЕХНИК</t>
  </si>
  <si>
    <t>184 ЧУГУН НИЗОМ</t>
  </si>
  <si>
    <t>АБЕД</t>
  </si>
  <si>
    <t>13,02,2026</t>
  </si>
  <si>
    <t>229 мяхки фармон</t>
  </si>
  <si>
    <t>368 мошин учун</t>
  </si>
  <si>
    <t>368 мяхк бобир</t>
  </si>
  <si>
    <t>886 мяхки жамил</t>
  </si>
  <si>
    <t>266 мяхки ислом</t>
  </si>
  <si>
    <t>264 мяхк тур</t>
  </si>
  <si>
    <t>642  199 кг</t>
  </si>
  <si>
    <t>074    248 кг</t>
  </si>
  <si>
    <t>384   512 кг</t>
  </si>
  <si>
    <t>996    1040 кг</t>
  </si>
  <si>
    <t>клик кадастр</t>
  </si>
  <si>
    <t>фарход гастинса учун</t>
  </si>
  <si>
    <t>124 кг</t>
  </si>
  <si>
    <t xml:space="preserve">зарар   4 та мошин </t>
  </si>
  <si>
    <t>ехсон</t>
  </si>
  <si>
    <t>жамил 600  4 тн дак</t>
  </si>
  <si>
    <t>топилмаган пул</t>
  </si>
  <si>
    <t>14,02,2026</t>
  </si>
  <si>
    <t>20,000 $</t>
  </si>
  <si>
    <t>377 мяхки пешку</t>
  </si>
  <si>
    <t>215 мяхк нодир</t>
  </si>
  <si>
    <t>999 мяхки нодир нов</t>
  </si>
  <si>
    <t>413 турон</t>
  </si>
  <si>
    <t xml:space="preserve">698 бекобод ислом </t>
  </si>
  <si>
    <t>3500 $</t>
  </si>
  <si>
    <t>нана</t>
  </si>
  <si>
    <t>Итого уйиндан карз</t>
  </si>
  <si>
    <t>574 бекобод</t>
  </si>
  <si>
    <t>187 мош 212 кг</t>
  </si>
  <si>
    <t>15,02,2026</t>
  </si>
  <si>
    <t>562  нодир мяхки</t>
  </si>
  <si>
    <t>445 мошин</t>
  </si>
  <si>
    <t>384 мошин</t>
  </si>
  <si>
    <t>266 мошин</t>
  </si>
  <si>
    <t xml:space="preserve">368 мошин   </t>
  </si>
  <si>
    <t>264 мошин</t>
  </si>
  <si>
    <t>16,02,2026</t>
  </si>
  <si>
    <t>642 мяхки тур</t>
  </si>
  <si>
    <t>750 $ 30,000 $</t>
  </si>
  <si>
    <t>267 мяхки ислом</t>
  </si>
  <si>
    <t>267 шофир</t>
  </si>
  <si>
    <t>икром   олди</t>
  </si>
  <si>
    <t>872 мяяхк ислом</t>
  </si>
  <si>
    <t>шамшод</t>
  </si>
  <si>
    <t>мирик</t>
  </si>
  <si>
    <t>20 $</t>
  </si>
  <si>
    <t>400 газ</t>
  </si>
  <si>
    <t>17,02,2026</t>
  </si>
  <si>
    <t>15,000 $ олдим</t>
  </si>
  <si>
    <t>2000 $ ислом</t>
  </si>
  <si>
    <t>704 ислом мяхк</t>
  </si>
  <si>
    <t>187 мяхк турон</t>
  </si>
  <si>
    <t>215 лист нодир</t>
  </si>
  <si>
    <t>597 мяхки ром</t>
  </si>
  <si>
    <t>зарар</t>
  </si>
  <si>
    <t>мехри</t>
  </si>
  <si>
    <t>азик</t>
  </si>
  <si>
    <t>4 тн чермет</t>
  </si>
  <si>
    <t>бобир</t>
  </si>
  <si>
    <t>чермет 7 тн</t>
  </si>
  <si>
    <t>1915 кг каракул</t>
  </si>
  <si>
    <t>картинка</t>
  </si>
  <si>
    <t>18,02,2026</t>
  </si>
  <si>
    <t>180 мяхки ислом</t>
  </si>
  <si>
    <t>377 мяхки зур</t>
  </si>
  <si>
    <t>537 чугун жамил</t>
  </si>
  <si>
    <t>574 чугун жамил</t>
  </si>
  <si>
    <t>илер жура</t>
  </si>
  <si>
    <t>духтур</t>
  </si>
  <si>
    <t>балик</t>
  </si>
  <si>
    <t>20 тн чермет</t>
  </si>
  <si>
    <t xml:space="preserve">   </t>
  </si>
  <si>
    <t>19,02,2026</t>
  </si>
  <si>
    <t>30,000 $</t>
  </si>
  <si>
    <t>413 мяхки т</t>
  </si>
  <si>
    <t xml:space="preserve">810  бекобод </t>
  </si>
  <si>
    <t>бохча</t>
  </si>
  <si>
    <t>хуршед художник</t>
  </si>
  <si>
    <t>310 кг</t>
  </si>
  <si>
    <t>мошин усто</t>
  </si>
  <si>
    <t>704 мошин</t>
  </si>
  <si>
    <t>йук нарса</t>
  </si>
  <si>
    <t>20,02,2026</t>
  </si>
  <si>
    <t>445 МЯХКИ ПЕШКУ Ф</t>
  </si>
  <si>
    <t>445 ШОФИР</t>
  </si>
  <si>
    <t>384 БЕКОБОД НУР</t>
  </si>
  <si>
    <t>СУМ,</t>
  </si>
  <si>
    <t xml:space="preserve">793 БЕКОБОД ШЕРАЛ  </t>
  </si>
  <si>
    <t>725 БЕКОБОД ИСЛОМ</t>
  </si>
  <si>
    <t>ШЕРБЕК</t>
  </si>
  <si>
    <t>20,02,2026,</t>
  </si>
  <si>
    <t>УЖИН</t>
  </si>
  <si>
    <t>ШУНЧАКИ</t>
  </si>
  <si>
    <t>БЕНЗИН</t>
  </si>
  <si>
    <t>21,02,2026</t>
  </si>
  <si>
    <t>17000 $</t>
  </si>
  <si>
    <t>532 мяхк т</t>
  </si>
  <si>
    <t>812 когон</t>
  </si>
  <si>
    <t>21,02,2026 сироч ака</t>
  </si>
  <si>
    <t>10 тн сироч ака</t>
  </si>
  <si>
    <t>дадем гастинса</t>
  </si>
  <si>
    <t>бозор уйга</t>
  </si>
  <si>
    <t>касса зиет</t>
  </si>
  <si>
    <t>22,02,2026</t>
  </si>
  <si>
    <t>704 мяхки</t>
  </si>
  <si>
    <t>рахим ал</t>
  </si>
  <si>
    <t>самир хоразм</t>
  </si>
  <si>
    <t>баня стекло</t>
  </si>
  <si>
    <t>23,02,2026</t>
  </si>
  <si>
    <t>24,02,2026</t>
  </si>
  <si>
    <t>17000 $ 12,200</t>
  </si>
  <si>
    <t>хитой артел</t>
  </si>
  <si>
    <t xml:space="preserve"> 574 мяхк ойбек</t>
  </si>
  <si>
    <t>844 мяхк мавлон</t>
  </si>
  <si>
    <t>844 шофир</t>
  </si>
  <si>
    <t>537 бекобод шермат</t>
  </si>
  <si>
    <t>384 лист</t>
  </si>
  <si>
    <t>570 мяхк суннат</t>
  </si>
  <si>
    <t>371 мяхк ислом</t>
  </si>
  <si>
    <t>187 мяхки пешку бобр</t>
  </si>
  <si>
    <t>371 мошин</t>
  </si>
  <si>
    <t>23 24,02,2026</t>
  </si>
  <si>
    <t>артел хитой</t>
  </si>
  <si>
    <t>душанба</t>
  </si>
  <si>
    <t>тошкент,</t>
  </si>
  <si>
    <t>400 $ атаченто</t>
  </si>
  <si>
    <t>хоразм</t>
  </si>
  <si>
    <t>25,02,2026</t>
  </si>
  <si>
    <t>шермат</t>
  </si>
  <si>
    <t>ислом кара хони</t>
  </si>
  <si>
    <t>ойбек когон</t>
  </si>
  <si>
    <t xml:space="preserve">артел  </t>
  </si>
  <si>
    <t>1895 кг каракул</t>
  </si>
  <si>
    <t>жафар</t>
  </si>
  <si>
    <t>,</t>
  </si>
  <si>
    <t>шунчаки3</t>
  </si>
  <si>
    <t>10000$ 12150</t>
  </si>
  <si>
    <t>725 ислом бекобод</t>
  </si>
  <si>
    <t>812 мяхки пешку</t>
  </si>
  <si>
    <t>812 мошин</t>
  </si>
  <si>
    <t>сафия 1009</t>
  </si>
  <si>
    <t>ЖОНДОР АЗИК</t>
  </si>
  <si>
    <t>ЖАМА</t>
  </si>
  <si>
    <t>АНОР</t>
  </si>
  <si>
    <t>НУРБЕК</t>
  </si>
  <si>
    <t>МАГАЗИН ТОК</t>
  </si>
  <si>
    <t>ЧЕРМЕТ</t>
  </si>
  <si>
    <t>26,02,2026</t>
  </si>
  <si>
    <t>810 мяхк т</t>
  </si>
  <si>
    <t>266 бек бобир</t>
  </si>
  <si>
    <t>532 мяхки еко</t>
  </si>
  <si>
    <t>340 мяхк ислом</t>
  </si>
  <si>
    <t>нурмат</t>
  </si>
  <si>
    <t>ада</t>
  </si>
  <si>
    <t>жама</t>
  </si>
  <si>
    <t>27,02,2026</t>
  </si>
  <si>
    <t>4029500 бекоб пешку</t>
  </si>
  <si>
    <t>812,,,266,, зарар</t>
  </si>
  <si>
    <t>зарар266,,,812</t>
  </si>
  <si>
    <t>1309 кг каракул</t>
  </si>
  <si>
    <t>дак</t>
  </si>
  <si>
    <t>200 $ фарход</t>
  </si>
  <si>
    <t>вой дод</t>
  </si>
  <si>
    <t>28,02,2026</t>
  </si>
  <si>
    <t>СБ</t>
  </si>
  <si>
    <t>Соф фойда</t>
  </si>
  <si>
    <t>Тура ака</t>
  </si>
  <si>
    <t>01,03,2026</t>
  </si>
  <si>
    <t>Утган ойдан хитой карзи</t>
  </si>
  <si>
    <t>хитой фойда+бонус</t>
  </si>
  <si>
    <t>650 мягк жасур</t>
  </si>
  <si>
    <t>411 мяхк Т</t>
  </si>
  <si>
    <t>725 мяхк ис</t>
  </si>
  <si>
    <t>Бошлик</t>
  </si>
  <si>
    <t>Икром учун</t>
  </si>
  <si>
    <t>600$</t>
  </si>
  <si>
    <t>абдулло 1250$</t>
  </si>
  <si>
    <t>Фарход ойлик</t>
  </si>
  <si>
    <t>395 бекобод ис</t>
  </si>
  <si>
    <t>4650*3600</t>
  </si>
  <si>
    <t>2022-2025 расход 293,000 $$$</t>
  </si>
  <si>
    <t>Сухроб</t>
  </si>
  <si>
    <t>340 мошин учун</t>
  </si>
  <si>
    <t>570 хасан мяхки</t>
  </si>
  <si>
    <t>812 мяхк т</t>
  </si>
  <si>
    <t>547 бекобод</t>
  </si>
  <si>
    <t>570 мошин</t>
  </si>
  <si>
    <t>1,03,2026</t>
  </si>
  <si>
    <t>ислом 340</t>
  </si>
  <si>
    <t xml:space="preserve">рахим ойлик  1200 $ </t>
  </si>
  <si>
    <t>2,03,2026</t>
  </si>
  <si>
    <t>215 чугун истат</t>
  </si>
  <si>
    <t>384 мяхки стат</t>
  </si>
  <si>
    <t>солик</t>
  </si>
  <si>
    <t>мактаб пули</t>
  </si>
  <si>
    <t>370 $</t>
  </si>
  <si>
    <t>3,03,2026</t>
  </si>
  <si>
    <t>445 мяхки</t>
  </si>
  <si>
    <t>917 чугун истат</t>
  </si>
  <si>
    <t>537 мяхк истат</t>
  </si>
  <si>
    <t>570 кг</t>
  </si>
  <si>
    <t>650 мошин</t>
  </si>
  <si>
    <t>547 шофир олган</t>
  </si>
  <si>
    <t>04,03,2026</t>
  </si>
  <si>
    <t>530 ттз турон</t>
  </si>
  <si>
    <t>972 ттз исл</t>
  </si>
  <si>
    <t>17,000 $</t>
  </si>
  <si>
    <t>187 ттз бобир</t>
  </si>
  <si>
    <t>1000 $</t>
  </si>
  <si>
    <t xml:space="preserve">клик  </t>
  </si>
  <si>
    <t>50,02,2026</t>
  </si>
  <si>
    <t>15000$</t>
  </si>
  <si>
    <t>10092 $</t>
  </si>
  <si>
    <t>975 мяхки хуршед</t>
  </si>
  <si>
    <t>163 мчхки фармон</t>
  </si>
  <si>
    <t>963 мошин</t>
  </si>
  <si>
    <t>963 мяхк комил</t>
  </si>
  <si>
    <t>210 мошин</t>
  </si>
  <si>
    <t>210 мяхк истат</t>
  </si>
  <si>
    <t>5,03,2026</t>
  </si>
  <si>
    <t>мухи</t>
  </si>
  <si>
    <t>750*3 чугун</t>
  </si>
  <si>
    <t>300 лустра</t>
  </si>
  <si>
    <t>икром 525</t>
  </si>
  <si>
    <t>икром  67</t>
  </si>
  <si>
    <t>АБДУЛЛО   25 число</t>
  </si>
  <si>
    <t>7,03,2026</t>
  </si>
  <si>
    <t>532 мяхк нур</t>
  </si>
  <si>
    <t>532 шофир</t>
  </si>
  <si>
    <t>377 мяхк ойбек</t>
  </si>
  <si>
    <t>537 мяхк нов</t>
  </si>
  <si>
    <t>642 жасур</t>
  </si>
  <si>
    <t>6,03,2026</t>
  </si>
  <si>
    <t>11590*3500</t>
  </si>
  <si>
    <t>еркин</t>
  </si>
  <si>
    <t>3108 кг</t>
  </si>
  <si>
    <t xml:space="preserve">зарар     </t>
  </si>
  <si>
    <t>20,000$</t>
  </si>
  <si>
    <t>725 бекобод исл</t>
  </si>
  <si>
    <t>384 мяхк азик,</t>
  </si>
  <si>
    <t>304 мяхк истат</t>
  </si>
  <si>
    <t>642 шофир</t>
  </si>
  <si>
    <t>мехриддин 150 $</t>
  </si>
  <si>
    <t>8,03,2026</t>
  </si>
  <si>
    <t>037 релс</t>
  </si>
  <si>
    <t>037 шофир</t>
  </si>
  <si>
    <t>421 шофир</t>
  </si>
  <si>
    <t>421 релс</t>
  </si>
  <si>
    <t>853 чермет</t>
  </si>
  <si>
    <t>2500*12150</t>
  </si>
  <si>
    <t>тел</t>
  </si>
  <si>
    <t>975 мошин</t>
  </si>
  <si>
    <t>156 мяхк нов</t>
  </si>
  <si>
    <t>икром ака</t>
  </si>
  <si>
    <t>650 мяхк пешку 50 тн</t>
  </si>
  <si>
    <t>975 бекобод</t>
  </si>
  <si>
    <t>569 мяхк жасур</t>
  </si>
  <si>
    <t>569 шофир</t>
  </si>
  <si>
    <t>869 мяхк истат</t>
  </si>
  <si>
    <t>334 мяхк истат</t>
  </si>
  <si>
    <t>777 олот</t>
  </si>
  <si>
    <t>9480*3500</t>
  </si>
  <si>
    <t>икром  симентчи</t>
  </si>
  <si>
    <t>100$ лоша</t>
  </si>
  <si>
    <t>гул</t>
  </si>
  <si>
    <t>азизжон</t>
  </si>
  <si>
    <t>15000 $</t>
  </si>
  <si>
    <t>лоша 10 число ойни бош</t>
  </si>
  <si>
    <t>576 мяхк тур</t>
  </si>
  <si>
    <t>хато 70/</t>
  </si>
  <si>
    <t>9,03,2026</t>
  </si>
  <si>
    <t>384 мяхк фармон</t>
  </si>
  <si>
    <t>рас ,</t>
  </si>
  <si>
    <t>10,03,2026</t>
  </si>
  <si>
    <t>16800 $</t>
  </si>
  <si>
    <t>049 мяхк нов</t>
  </si>
  <si>
    <t>318 ширин карши</t>
  </si>
  <si>
    <t>449 мошин,</t>
  </si>
  <si>
    <t>бензин</t>
  </si>
  <si>
    <t>лустра</t>
  </si>
  <si>
    <t>238 кг мураве</t>
  </si>
  <si>
    <t>11,03,2026</t>
  </si>
  <si>
    <t>270 шивилер</t>
  </si>
  <si>
    <t>803 мошин</t>
  </si>
  <si>
    <t>803 бекобод</t>
  </si>
  <si>
    <t>267 мяхк турон</t>
  </si>
  <si>
    <t>релс</t>
  </si>
  <si>
    <t>6 та мошин</t>
  </si>
  <si>
    <t>318 йул кира берилган</t>
  </si>
  <si>
    <t>031 бекобод т</t>
  </si>
  <si>
    <t>арслон</t>
  </si>
  <si>
    <t>7500 тн</t>
  </si>
  <si>
    <t>тура</t>
  </si>
  <si>
    <t>4 тн кечаги</t>
  </si>
  <si>
    <t>13 тн чермет</t>
  </si>
  <si>
    <t>4530*3200</t>
  </si>
  <si>
    <t>вай фай</t>
  </si>
  <si>
    <t>рас</t>
  </si>
  <si>
    <t>12,03,2026</t>
  </si>
  <si>
    <t>34300 $</t>
  </si>
  <si>
    <t>олдим</t>
  </si>
  <si>
    <t>384  бекобод нурмат</t>
  </si>
  <si>
    <t>445 бекобод низ</t>
  </si>
  <si>
    <t>413 бекобод прес</t>
  </si>
  <si>
    <t>878 карши</t>
  </si>
  <si>
    <t>йул кира берилган</t>
  </si>
  <si>
    <t>725 мошин</t>
  </si>
  <si>
    <t>10,000 $</t>
  </si>
  <si>
    <t>4900*3600</t>
  </si>
  <si>
    <t>ифтори,</t>
  </si>
  <si>
    <t>гушт,,</t>
  </si>
  <si>
    <t>превод</t>
  </si>
  <si>
    <t>13,03,2026</t>
  </si>
  <si>
    <t>сироч  ака учун 20,0$</t>
  </si>
  <si>
    <t>Ислом ука</t>
  </si>
  <si>
    <t>975 бекобод т</t>
  </si>
  <si>
    <t xml:space="preserve">975 мошин </t>
  </si>
  <si>
    <t>270 мошин бахти</t>
  </si>
  <si>
    <t>м</t>
  </si>
  <si>
    <t>2000*12050</t>
  </si>
  <si>
    <t>чермет,</t>
  </si>
  <si>
    <t>5 тн</t>
  </si>
  <si>
    <t xml:space="preserve">     алишер</t>
  </si>
  <si>
    <t>газ мойка</t>
  </si>
  <si>
    <t>100 $ наги</t>
  </si>
  <si>
    <t>абс,</t>
  </si>
  <si>
    <t>14,03,2026</t>
  </si>
  <si>
    <t>ифторлик</t>
  </si>
  <si>
    <t>266 бекобод ислом</t>
  </si>
  <si>
    <t>532 мяхк асли</t>
  </si>
  <si>
    <t>793 мяхк бозорбой</t>
  </si>
  <si>
    <t>574 бекобод ой т</t>
  </si>
  <si>
    <t>574 мошин</t>
  </si>
  <si>
    <t>427 бекобод воб</t>
  </si>
  <si>
    <t>50 тн</t>
  </si>
  <si>
    <t>5000 $</t>
  </si>
  <si>
    <t>15,03,2026</t>
  </si>
  <si>
    <t>хбк</t>
  </si>
  <si>
    <t>593 бекобод фарход</t>
  </si>
  <si>
    <t>593 мошин</t>
  </si>
  <si>
    <t>495 низом мияхк</t>
  </si>
  <si>
    <t>495 мошин</t>
  </si>
  <si>
    <t>803 мяхк т</t>
  </si>
  <si>
    <t>869 зарар мошин</t>
  </si>
  <si>
    <t>163 мяхк т</t>
  </si>
  <si>
    <t>642 мяхк</t>
  </si>
  <si>
    <t>аваз</t>
  </si>
  <si>
    <t>мошин кридит, 9,220,000</t>
  </si>
  <si>
    <t>16,03,2026</t>
  </si>
  <si>
    <t>537 достон пешк мяхки</t>
  </si>
  <si>
    <t>925  карши мяхк</t>
  </si>
  <si>
    <t>570 мяхк т</t>
  </si>
  <si>
    <t>кафел,</t>
  </si>
  <si>
    <t>3930*3600</t>
  </si>
  <si>
    <t xml:space="preserve">сартарош </t>
  </si>
  <si>
    <t>лед</t>
  </si>
  <si>
    <t>расход,</t>
  </si>
  <si>
    <t>17,03,2026</t>
  </si>
  <si>
    <t>428 бахти</t>
  </si>
  <si>
    <t>925 мошин</t>
  </si>
  <si>
    <t>707 бахти</t>
  </si>
  <si>
    <t>270 мош 3 рес</t>
  </si>
  <si>
    <t>24000 $ олдим</t>
  </si>
  <si>
    <t>300 кг бахти</t>
  </si>
  <si>
    <t>707 мошин</t>
  </si>
  <si>
    <t>РАХИМ мошин 17,03</t>
  </si>
  <si>
    <t>зарар 5 мошин</t>
  </si>
  <si>
    <t>400 кг ииб</t>
  </si>
  <si>
    <t>сум олдим</t>
  </si>
  <si>
    <t>1000*12050</t>
  </si>
  <si>
    <t>апа сафия</t>
  </si>
  <si>
    <t>18,03,2026</t>
  </si>
  <si>
    <t>900 $ хуршед усто</t>
  </si>
  <si>
    <t>100 кг чермет</t>
  </si>
  <si>
    <t>384 Мавлон еко</t>
  </si>
  <si>
    <t>812 бекобод т</t>
  </si>
  <si>
    <t>011 пешку мяхк</t>
  </si>
  <si>
    <t>878 карши мяхк</t>
  </si>
  <si>
    <t>974 мяхки сити</t>
  </si>
  <si>
    <t>19,03,2026</t>
  </si>
  <si>
    <t>бозор биби</t>
  </si>
  <si>
    <t>сермет</t>
  </si>
  <si>
    <t>428 мошин</t>
  </si>
  <si>
    <t>413 мяхки, т</t>
  </si>
  <si>
    <t>163 мяхк  бобир</t>
  </si>
  <si>
    <t>шербек</t>
  </si>
  <si>
    <t>закот</t>
  </si>
  <si>
    <t>5080*3600</t>
  </si>
  <si>
    <t>гастинса фарход</t>
  </si>
  <si>
    <t>дак 388</t>
  </si>
  <si>
    <t>1600 кг шербек</t>
  </si>
  <si>
    <t>дакумет 10 тн</t>
  </si>
  <si>
    <t>Эркин 2,000 карз</t>
  </si>
  <si>
    <t>20,03,2026</t>
  </si>
  <si>
    <t>21,03,2026</t>
  </si>
  <si>
    <t>10000 $</t>
  </si>
  <si>
    <t>530 МЯХКИ Т</t>
  </si>
  <si>
    <t>377 МЯХК СИТИ</t>
  </si>
  <si>
    <t>377 МОШИН</t>
  </si>
  <si>
    <t>495 МЯХКИ АЗИК</t>
  </si>
  <si>
    <t>+</t>
  </si>
  <si>
    <t>ГАЗ ТОК</t>
  </si>
  <si>
    <t>МЕБЕЛ</t>
  </si>
  <si>
    <t>КАМЕРА</t>
  </si>
  <si>
    <t>ХОТИН</t>
  </si>
  <si>
    <t>ФОРМА,</t>
  </si>
  <si>
    <t>4420*3600</t>
  </si>
  <si>
    <t>22,03,2026</t>
  </si>
  <si>
    <t>аида</t>
  </si>
  <si>
    <t>23,03,2026</t>
  </si>
  <si>
    <t>537 мяхк фармн</t>
  </si>
  <si>
    <t>91,419,24,25 мяхки</t>
  </si>
  <si>
    <t>011 бекобод достон</t>
  </si>
  <si>
    <t>$ 2000*12050</t>
  </si>
  <si>
    <t>5000*3600 мяхки</t>
  </si>
  <si>
    <t>24,03,2026</t>
  </si>
  <si>
    <t>675 $ 15 числа</t>
  </si>
  <si>
    <t>гастинса краска тунука</t>
  </si>
  <si>
    <t>9500 $</t>
  </si>
  <si>
    <t>4 т н</t>
  </si>
  <si>
    <t>59 кг язна</t>
  </si>
  <si>
    <t>25,03,2026</t>
  </si>
  <si>
    <t>нерж кухни</t>
  </si>
  <si>
    <t>843 учкудук</t>
  </si>
  <si>
    <t>377 мяхк</t>
  </si>
  <si>
    <t>227 бахти</t>
  </si>
  <si>
    <t>413 бекобод т</t>
  </si>
  <si>
    <t>сафия</t>
  </si>
  <si>
    <t>шахзод еко</t>
  </si>
  <si>
    <t>6 тн чермет</t>
  </si>
  <si>
    <t>26,03,2026</t>
  </si>
  <si>
    <t>384 бекобод нурмат</t>
  </si>
  <si>
    <t>532 бекобод пешку</t>
  </si>
  <si>
    <t>843 мошин 50 сум</t>
  </si>
  <si>
    <t>642 бахти</t>
  </si>
  <si>
    <t>ток</t>
  </si>
  <si>
    <t>27,03,2026</t>
  </si>
  <si>
    <t>537 мяхк миржалол</t>
  </si>
  <si>
    <t>15,000 $</t>
  </si>
  <si>
    <t>кат усто</t>
  </si>
  <si>
    <t>28,03,2026</t>
  </si>
  <si>
    <t>19000$</t>
  </si>
  <si>
    <t>810 БЕКОБОД Т</t>
  </si>
  <si>
    <t>НАСИМ ЖУРА</t>
  </si>
  <si>
    <t>325 $ АБДУЛЛО</t>
  </si>
  <si>
    <t>500 $</t>
  </si>
  <si>
    <t>29,03,2026</t>
  </si>
  <si>
    <t>ХИТОЙ</t>
  </si>
  <si>
    <t>264 МЯХК БОБИР</t>
  </si>
  <si>
    <t>803 МЯХК О</t>
  </si>
  <si>
    <t>725 МОШИН</t>
  </si>
  <si>
    <t>ЛУСТРА И МЕЛИЧИ</t>
  </si>
  <si>
    <t>РАСХОДАМ</t>
  </si>
  <si>
    <t>30,03,2026</t>
  </si>
  <si>
    <t>537 бекобод</t>
  </si>
  <si>
    <t>537 шофир</t>
  </si>
  <si>
    <t>-</t>
  </si>
  <si>
    <t>рахим пули шунга ез</t>
  </si>
  <si>
    <t>895 кг</t>
  </si>
  <si>
    <t>5180*3200</t>
  </si>
  <si>
    <t>рас аваз</t>
  </si>
  <si>
    <t>31,03,2026</t>
  </si>
  <si>
    <t>насим</t>
  </si>
  <si>
    <t>артел</t>
  </si>
  <si>
    <t>ал</t>
  </si>
  <si>
    <t>кир</t>
  </si>
  <si>
    <t>Газ</t>
  </si>
  <si>
    <t>Богча</t>
  </si>
  <si>
    <t>Нозим материал</t>
  </si>
  <si>
    <t>Язна</t>
  </si>
  <si>
    <t>Чермет</t>
  </si>
  <si>
    <t>Пластик+Алишер</t>
  </si>
  <si>
    <t>Документ</t>
  </si>
  <si>
    <t>Икром Ойлик</t>
  </si>
  <si>
    <t>Чермет Фойда</t>
  </si>
  <si>
    <t>Чермет Ойлик</t>
  </si>
  <si>
    <t>ЕЗБЕ</t>
  </si>
  <si>
    <t>Хбк Бонусча</t>
  </si>
  <si>
    <t>ЭЗБЕ</t>
  </si>
  <si>
    <t>500$ ЭЗБЕ</t>
  </si>
  <si>
    <t>ХБК Ойлик</t>
  </si>
  <si>
    <t>Хитой Ойлик</t>
  </si>
  <si>
    <t>Райим Ойлик</t>
  </si>
  <si>
    <t>Хуршид</t>
  </si>
  <si>
    <t>568,820,000__ 46624$</t>
  </si>
  <si>
    <t>$15 777</t>
  </si>
  <si>
    <t>1,04,2026</t>
  </si>
  <si>
    <t>770 мяхк бахти</t>
  </si>
  <si>
    <t>770 мошин</t>
  </si>
  <si>
    <t>642 бекобод</t>
  </si>
  <si>
    <t>4 мошин бекобод</t>
  </si>
  <si>
    <t>мики форма</t>
  </si>
  <si>
    <t>форма бочоба</t>
  </si>
  <si>
    <t>зарар 4 та мошин</t>
  </si>
  <si>
    <t xml:space="preserve"> 377 артел</t>
  </si>
  <si>
    <t>2,04,2026</t>
  </si>
  <si>
    <t>260 кг фарк 264 мош</t>
  </si>
  <si>
    <t>1338 кг дак</t>
  </si>
  <si>
    <t>Пластик</t>
  </si>
  <si>
    <t>3,04,2026</t>
  </si>
  <si>
    <t>13,000 $</t>
  </si>
  <si>
    <t xml:space="preserve">751 карши </t>
  </si>
  <si>
    <t>сироч еко</t>
  </si>
  <si>
    <t>севинч</t>
  </si>
  <si>
    <t>300 $</t>
  </si>
  <si>
    <t>4,04,2026</t>
  </si>
  <si>
    <t>12,000 $</t>
  </si>
  <si>
    <t>377 бекобод достон</t>
  </si>
  <si>
    <t>537 бекобод т</t>
  </si>
  <si>
    <t>блус</t>
  </si>
  <si>
    <t>шамсилло</t>
  </si>
  <si>
    <t>3715 $ артел</t>
  </si>
  <si>
    <t>бозор3</t>
  </si>
  <si>
    <t>5,04,2026</t>
  </si>
  <si>
    <t>725 бек ислом</t>
  </si>
  <si>
    <t>р юк</t>
  </si>
  <si>
    <t>6,04,2026</t>
  </si>
  <si>
    <t>ФАЗЛИ</t>
  </si>
  <si>
    <t>550 БЕКОБОД КОЛЯ</t>
  </si>
  <si>
    <t>388  БЕК ЖАМИЛ</t>
  </si>
  <si>
    <t>388 МОШИН</t>
  </si>
  <si>
    <t>384 БЕКОБОД</t>
  </si>
  <si>
    <t>ХБК</t>
  </si>
  <si>
    <t>СИРОЧ,</t>
  </si>
  <si>
    <t>НАГИ</t>
  </si>
  <si>
    <t>7,04,2026</t>
  </si>
  <si>
    <t>мухлис</t>
  </si>
  <si>
    <t>377 бек т</t>
  </si>
  <si>
    <t>тахмин</t>
  </si>
  <si>
    <t>188 релс</t>
  </si>
  <si>
    <t>13000 ;$</t>
  </si>
  <si>
    <t>8,04,2026</t>
  </si>
  <si>
    <t>620 бекобод</t>
  </si>
  <si>
    <t>таваккал ака</t>
  </si>
  <si>
    <t>562 гулистон</t>
  </si>
  <si>
    <t>919 гулистон релс</t>
  </si>
  <si>
    <t>200 $</t>
  </si>
  <si>
    <t>9,04,2026</t>
  </si>
  <si>
    <t>14000 $ 12200</t>
  </si>
  <si>
    <t>388 ром бекобод</t>
  </si>
  <si>
    <t>388 бекобод шофир</t>
  </si>
  <si>
    <t>384 бекобод мавлон</t>
  </si>
  <si>
    <t>ж</t>
  </si>
  <si>
    <t>магазин</t>
  </si>
  <si>
    <t>10,04,2026</t>
  </si>
  <si>
    <t>12,000$</t>
  </si>
  <si>
    <t>413 шофир</t>
  </si>
  <si>
    <t>574 ширин бахти</t>
  </si>
  <si>
    <t>дак 1300 кг</t>
  </si>
  <si>
    <t>895 кг 30,03,2026</t>
  </si>
  <si>
    <t>жама  9,04</t>
  </si>
  <si>
    <t>100 $</t>
  </si>
  <si>
    <t>11,04,2026</t>
  </si>
  <si>
    <t>хасан</t>
  </si>
  <si>
    <t>521 бекобод т</t>
  </si>
  <si>
    <t>126 кг</t>
  </si>
  <si>
    <t>иззат симент</t>
  </si>
  <si>
    <t>12,04,2026</t>
  </si>
  <si>
    <t>388 бекобод воб</t>
  </si>
  <si>
    <t>лоша,</t>
  </si>
  <si>
    <t>13,04,2026</t>
  </si>
  <si>
    <t>чул</t>
  </si>
  <si>
    <t>акмал</t>
  </si>
  <si>
    <t>12 тн дак</t>
  </si>
  <si>
    <t>кат</t>
  </si>
  <si>
    <t>танирофка</t>
  </si>
  <si>
    <t>мактаб</t>
  </si>
  <si>
    <t>ачки</t>
  </si>
  <si>
    <t>ехсон мамад</t>
  </si>
  <si>
    <t>14,04,2026</t>
  </si>
  <si>
    <t>725 бекобод олот</t>
  </si>
  <si>
    <t>562 бекобод т</t>
  </si>
  <si>
    <t>495 бекобод низом ак</t>
  </si>
  <si>
    <t>384 бекобод воб</t>
  </si>
  <si>
    <t>попилмаган пул</t>
  </si>
  <si>
    <t>15,04,2026</t>
  </si>
  <si>
    <t>4400*3600</t>
  </si>
  <si>
    <t>бозор чой</t>
  </si>
  <si>
    <t>28 тн</t>
  </si>
  <si>
    <t>16,04,2026</t>
  </si>
  <si>
    <t>377 мяхк т</t>
  </si>
  <si>
    <t>шерка 388</t>
  </si>
  <si>
    <t>388 шерка мяхк</t>
  </si>
  <si>
    <t>дата</t>
  </si>
  <si>
    <t>1 тн</t>
  </si>
  <si>
    <t>17,04,2026</t>
  </si>
  <si>
    <t>530 мяхки</t>
  </si>
  <si>
    <t>запас</t>
  </si>
  <si>
    <t>3580*3600</t>
  </si>
  <si>
    <t>500 $ тур</t>
  </si>
  <si>
    <t>залог зелени зона</t>
  </si>
  <si>
    <t>18,04,2026</t>
  </si>
  <si>
    <t>413 бек т</t>
  </si>
  <si>
    <t xml:space="preserve">кансанер </t>
  </si>
  <si>
    <t>димаход</t>
  </si>
  <si>
    <t>19,04,2026</t>
  </si>
  <si>
    <t>384 мяхки</t>
  </si>
  <si>
    <t>кувон</t>
  </si>
  <si>
    <t>4680*3600</t>
  </si>
  <si>
    <t>халаделник мармит</t>
  </si>
  <si>
    <t>100 $ жама</t>
  </si>
  <si>
    <t>жама 19,04</t>
  </si>
  <si>
    <t>20,04,2026</t>
  </si>
  <si>
    <t>495 мяхки</t>
  </si>
  <si>
    <t>495 шофир</t>
  </si>
  <si>
    <t>7500 $</t>
  </si>
  <si>
    <t xml:space="preserve">лустра   </t>
  </si>
  <si>
    <t>мошин</t>
  </si>
  <si>
    <t>21,04,2026</t>
  </si>
  <si>
    <t>834+485 сафия</t>
  </si>
  <si>
    <t>21,041,2026</t>
  </si>
  <si>
    <t>725 шофир</t>
  </si>
  <si>
    <t>ЗАПАС</t>
  </si>
  <si>
    <t>СУМ</t>
  </si>
  <si>
    <t>ФАРУГ</t>
  </si>
  <si>
    <t>РАСХОД</t>
  </si>
  <si>
    <t>22,04,2026</t>
  </si>
  <si>
    <t>547 мяхки сити</t>
  </si>
  <si>
    <t>264 мяхки т</t>
  </si>
  <si>
    <t>6480*3600</t>
  </si>
  <si>
    <t>14 тн сироч</t>
  </si>
  <si>
    <t>нерж усто</t>
  </si>
  <si>
    <t>Дафтарча</t>
  </si>
  <si>
    <t>23,04,2026</t>
  </si>
  <si>
    <t>377 бекобод</t>
  </si>
  <si>
    <t>Тогом юк берди</t>
  </si>
  <si>
    <t>4370*3200</t>
  </si>
  <si>
    <t>4940*3600</t>
  </si>
  <si>
    <t>Мебелчи 2200</t>
  </si>
  <si>
    <t>мелоч</t>
  </si>
  <si>
    <t>Хитой +</t>
  </si>
  <si>
    <t>574 бек достон</t>
  </si>
  <si>
    <t>24,04,2026</t>
  </si>
  <si>
    <t>144  шофир</t>
  </si>
  <si>
    <t>277 мяхки т</t>
  </si>
  <si>
    <t>144 шофир т</t>
  </si>
  <si>
    <t>обши расход</t>
  </si>
  <si>
    <t>25,04,2026</t>
  </si>
  <si>
    <t>388 шерка  хаким</t>
  </si>
  <si>
    <t>26,04,2026</t>
  </si>
  <si>
    <t>27,04,2026</t>
  </si>
  <si>
    <t>28,04,2026</t>
  </si>
  <si>
    <t>29,04,2026</t>
  </si>
  <si>
    <t>4080*3600</t>
  </si>
  <si>
    <t>фойда</t>
  </si>
  <si>
    <t>210 мяхки сити</t>
  </si>
  <si>
    <t>593 мяхки тур</t>
  </si>
  <si>
    <t>хафталик</t>
  </si>
  <si>
    <t xml:space="preserve">ехсон   </t>
  </si>
  <si>
    <t>АКМАЛ ХАМСОЯ</t>
  </si>
  <si>
    <t>тефал</t>
  </si>
  <si>
    <t>377 бекобод т</t>
  </si>
  <si>
    <t>377 шофир</t>
  </si>
  <si>
    <t>самакат</t>
  </si>
  <si>
    <t>сув тулов</t>
  </si>
  <si>
    <t>1000*12000 $</t>
  </si>
  <si>
    <t>266 мяхки т</t>
  </si>
  <si>
    <t>499 мяхк шофиркон</t>
  </si>
  <si>
    <t>88,863,42,42</t>
  </si>
  <si>
    <t>хотин</t>
  </si>
  <si>
    <t>4 тн</t>
  </si>
  <si>
    <t>ламинат</t>
  </si>
  <si>
    <t>277 бек т</t>
  </si>
  <si>
    <t>АРТЕЛ</t>
  </si>
  <si>
    <t>АЛИ</t>
  </si>
  <si>
    <t>ЗЕЛЕНИ ЗОНА</t>
  </si>
  <si>
    <t>ТОПИЛМАГАН ПУЛ</t>
  </si>
  <si>
    <t>ЧЕРМЕт</t>
  </si>
  <si>
    <t>30,04,2026</t>
  </si>
  <si>
    <t>Эзбе учун</t>
  </si>
  <si>
    <t>Сирож</t>
  </si>
  <si>
    <t>40.000$ учун</t>
  </si>
  <si>
    <t>Тура ака хитой 3/1</t>
  </si>
  <si>
    <t>хитой фойда</t>
  </si>
  <si>
    <t>037 МОШИН УЧУН</t>
  </si>
  <si>
    <t>037 МЯХ БОБИР</t>
  </si>
  <si>
    <t>144 МЯХ Фармон</t>
  </si>
  <si>
    <t>037 МЯХ нов</t>
  </si>
  <si>
    <t>384 МЯХ туро</t>
  </si>
  <si>
    <t>919 МОШИН УЧУН</t>
  </si>
  <si>
    <t>919 бек бобир</t>
  </si>
  <si>
    <t>573 МЯХ  ислом</t>
  </si>
  <si>
    <t>20000$</t>
  </si>
  <si>
    <t>дафтарча хбк</t>
  </si>
  <si>
    <t>Дафтарча хбк</t>
  </si>
  <si>
    <t>Икром ойлик</t>
  </si>
  <si>
    <t>5 тонн</t>
  </si>
  <si>
    <t>4 тонн</t>
  </si>
  <si>
    <t>чермет +</t>
  </si>
  <si>
    <t>чермет бонус</t>
  </si>
  <si>
    <t>10150*3500</t>
  </si>
  <si>
    <t>2000$</t>
  </si>
  <si>
    <t>30,04,26</t>
  </si>
  <si>
    <t>Рустам мебел</t>
  </si>
  <si>
    <t>Рахим ойлик</t>
  </si>
  <si>
    <t>Абдуло</t>
  </si>
  <si>
    <t>микки</t>
  </si>
  <si>
    <t>14,000 $</t>
  </si>
  <si>
    <t>047 мяхкм бозор</t>
  </si>
  <si>
    <t>266 зарар</t>
  </si>
  <si>
    <t>499 зарар</t>
  </si>
  <si>
    <t>1,05,2026</t>
  </si>
  <si>
    <t>стол стул</t>
  </si>
  <si>
    <t>електрик матерал</t>
  </si>
  <si>
    <t>дадем  20,000 $ 1 май</t>
  </si>
  <si>
    <t>2,05,2026</t>
  </si>
  <si>
    <t>530 бекобод т</t>
  </si>
  <si>
    <t>099 бек т</t>
  </si>
  <si>
    <t>фазли кв пули</t>
  </si>
  <si>
    <t>нерж раквина</t>
  </si>
  <si>
    <t>150 $ шахзод</t>
  </si>
  <si>
    <t>562 ширин</t>
  </si>
  <si>
    <t>593 бекоб шермат</t>
  </si>
  <si>
    <t>537 мяхк искандар</t>
  </si>
  <si>
    <t>403 бек т</t>
  </si>
  <si>
    <t>3890*3500</t>
  </si>
  <si>
    <t>мурод</t>
  </si>
  <si>
    <t>Остатка Нурбек</t>
  </si>
  <si>
    <t>04,04,2026</t>
  </si>
  <si>
    <t>10000$</t>
  </si>
  <si>
    <t>521 мяхки т</t>
  </si>
  <si>
    <t>550 мяхки т</t>
  </si>
  <si>
    <t>04,04,26</t>
  </si>
  <si>
    <t>1300$</t>
  </si>
  <si>
    <t xml:space="preserve">3700$ ТОГОМ </t>
  </si>
  <si>
    <t>300$ Ойбек</t>
  </si>
  <si>
    <t>Мирзохид</t>
  </si>
  <si>
    <t>Мурод</t>
  </si>
  <si>
    <t>Уй учун</t>
  </si>
  <si>
    <t>Фарход</t>
  </si>
  <si>
    <t>Прочи</t>
  </si>
  <si>
    <t>4,05,2026</t>
  </si>
  <si>
    <t>арматур</t>
  </si>
  <si>
    <t>ааа</t>
  </si>
  <si>
    <t>5,05,2026</t>
  </si>
  <si>
    <t>достон</t>
  </si>
  <si>
    <t>267 мяхк т</t>
  </si>
  <si>
    <t>575 камаз мяхк</t>
  </si>
  <si>
    <t>575 бекобод</t>
  </si>
  <si>
    <t>575 клик</t>
  </si>
  <si>
    <t>хуршед художки</t>
  </si>
  <si>
    <t>футболка</t>
  </si>
  <si>
    <t>сантехник</t>
  </si>
  <si>
    <t>6,05,2026</t>
  </si>
  <si>
    <t>5 $</t>
  </si>
  <si>
    <t>9000 $</t>
  </si>
  <si>
    <t>974  бек турон</t>
  </si>
  <si>
    <t>960 мяхк нов турон,</t>
  </si>
  <si>
    <t>773 бек ой сир шах</t>
  </si>
  <si>
    <t>377 мяхки ром,</t>
  </si>
  <si>
    <t>266 мяхки ой ког</t>
  </si>
  <si>
    <t>0370яхк фармон шерал</t>
  </si>
  <si>
    <t>384 мяхк мавлон</t>
  </si>
  <si>
    <t>7900*3500</t>
  </si>
  <si>
    <t>100 $ чой</t>
  </si>
  <si>
    <t>342 кг</t>
  </si>
  <si>
    <t>7,05,2026</t>
  </si>
  <si>
    <t>13100 $</t>
  </si>
  <si>
    <t>890*3200</t>
  </si>
  <si>
    <t>релс расход</t>
  </si>
  <si>
    <t>547 релс</t>
  </si>
  <si>
    <t>254 фура релс</t>
  </si>
  <si>
    <t>550 релс</t>
  </si>
  <si>
    <t>релс фойда</t>
  </si>
  <si>
    <t>388 шерка бекобод</t>
  </si>
  <si>
    <t>388 шофир</t>
  </si>
  <si>
    <t>834 бек фар тур</t>
  </si>
  <si>
    <t>834 шофир</t>
  </si>
  <si>
    <t>форма</t>
  </si>
  <si>
    <t>8,05,2026</t>
  </si>
  <si>
    <t>дам олиш мираки</t>
  </si>
  <si>
    <t>МИРАКИ</t>
  </si>
  <si>
    <t>ХУРШЕД ХУДОЖНИК</t>
  </si>
  <si>
    <t>ШАХЗОД</t>
  </si>
  <si>
    <t>ФАРход</t>
  </si>
  <si>
    <t>A</t>
  </si>
  <si>
    <t>919 мяхк т</t>
  </si>
  <si>
    <t>9,05,2026</t>
  </si>
  <si>
    <t>530 мяхк т</t>
  </si>
  <si>
    <t>576 бекобод вобеннт</t>
  </si>
  <si>
    <t>10,05,2026</t>
  </si>
  <si>
    <t>562 мошин</t>
  </si>
  <si>
    <t>562 мяхк бобир</t>
  </si>
  <si>
    <t>377 бекобод пешку</t>
  </si>
  <si>
    <t>11,05,2026</t>
  </si>
  <si>
    <t>384 мяхк т н</t>
  </si>
  <si>
    <t>960 мяхк арматура ж</t>
  </si>
  <si>
    <t>403 мяхк еко</t>
  </si>
  <si>
    <t>сает</t>
  </si>
  <si>
    <t>икром</t>
  </si>
  <si>
    <t>нурбек</t>
  </si>
  <si>
    <t>12,05,2026</t>
  </si>
  <si>
    <t>2200*12130</t>
  </si>
  <si>
    <t>6490*3500</t>
  </si>
  <si>
    <t>Чугун</t>
  </si>
  <si>
    <t>Мошин пули</t>
  </si>
  <si>
    <t>После скидка</t>
  </si>
  <si>
    <t>Тура ака пул берди</t>
  </si>
  <si>
    <t>Сумма Олинди</t>
  </si>
  <si>
    <t>620 мяхк т</t>
  </si>
  <si>
    <t>620 мошин</t>
  </si>
  <si>
    <t>3000 $</t>
  </si>
  <si>
    <t>938 мошин</t>
  </si>
  <si>
    <t>938 бекобод т</t>
  </si>
  <si>
    <t>1800 $ мебел аванс,</t>
  </si>
  <si>
    <t>14,05,2026</t>
  </si>
  <si>
    <t>13,05,2026</t>
  </si>
  <si>
    <t>300 $ ЛОША</t>
  </si>
  <si>
    <t>270 бекобод фаруг</t>
  </si>
  <si>
    <t>377 мяхк о</t>
  </si>
  <si>
    <t>537 мяхк  т</t>
  </si>
  <si>
    <t>660 мяхки нов</t>
  </si>
  <si>
    <t>537 мошин</t>
  </si>
  <si>
    <t>15,05,2026</t>
  </si>
  <si>
    <t>2500*12000 $</t>
  </si>
  <si>
    <t>13050*3500</t>
  </si>
  <si>
    <t>11,05,2026 фарходдан</t>
  </si>
  <si>
    <t>кридит</t>
  </si>
  <si>
    <t>403 бекобод т</t>
  </si>
  <si>
    <t>870 мяхк т</t>
  </si>
  <si>
    <t>чугун пули</t>
  </si>
  <si>
    <t>3250*3250</t>
  </si>
  <si>
    <t>1500*11940</t>
  </si>
  <si>
    <t>4000 $</t>
  </si>
  <si>
    <t>16,05,2026</t>
  </si>
  <si>
    <t>500 $ хуршед</t>
  </si>
  <si>
    <t>144 мяхк пешку сар</t>
  </si>
  <si>
    <t>457 бекобод т</t>
  </si>
  <si>
    <t>144 шофир</t>
  </si>
  <si>
    <t>384 бекобод еко</t>
  </si>
  <si>
    <t>7000 $</t>
  </si>
  <si>
    <t>идеа</t>
  </si>
  <si>
    <t>мики рас</t>
  </si>
  <si>
    <t>500 $ тура ака</t>
  </si>
  <si>
    <t>мусур рахим</t>
  </si>
  <si>
    <t>17,05,2026</t>
  </si>
  <si>
    <t>25000 $</t>
  </si>
  <si>
    <t>919 бекобод еко</t>
  </si>
  <si>
    <t>1760 кг 812 иошин</t>
  </si>
  <si>
    <t>812 мяхк бобир</t>
  </si>
  <si>
    <t>5100 $</t>
  </si>
  <si>
    <t>6000 $</t>
  </si>
  <si>
    <t>ieyxfrb</t>
  </si>
  <si>
    <t>18,05,2026</t>
  </si>
  <si>
    <t>шофир чермет</t>
  </si>
  <si>
    <t>413 мяхк т</t>
  </si>
  <si>
    <t>377 мяхк пешку бозор</t>
  </si>
  <si>
    <t>фуркат усто</t>
  </si>
  <si>
    <t>бохча пули</t>
  </si>
  <si>
    <t>шишачи авванс</t>
  </si>
  <si>
    <t>19,05,2026</t>
  </si>
  <si>
    <t>8000 $</t>
  </si>
  <si>
    <t>403 мяхк т</t>
  </si>
  <si>
    <t>562 мяхк   о</t>
  </si>
  <si>
    <t>10220*3500</t>
  </si>
  <si>
    <t>сартарош бозор</t>
  </si>
  <si>
    <t>150 $ тел пул</t>
  </si>
  <si>
    <t>20,05,2026</t>
  </si>
  <si>
    <t>20000 $</t>
  </si>
  <si>
    <t>870 бекобод т</t>
  </si>
  <si>
    <t>266 мяхк еко лист</t>
  </si>
  <si>
    <t>733 бек нов шерал</t>
  </si>
  <si>
    <t>210 шофир</t>
  </si>
  <si>
    <t>210 мяхк т</t>
  </si>
  <si>
    <t>960 мяхк фармон</t>
  </si>
  <si>
    <t>5940*3250</t>
  </si>
  <si>
    <t>божа</t>
  </si>
  <si>
    <t>ибод</t>
  </si>
  <si>
    <t>21,05,2026</t>
  </si>
  <si>
    <t>13000 $</t>
  </si>
  <si>
    <t>537 мяхк азим</t>
  </si>
  <si>
    <t>мактаб пкли</t>
  </si>
  <si>
    <t>шофир</t>
  </si>
  <si>
    <t>966 шофир</t>
  </si>
  <si>
    <t>700 $ фарход</t>
  </si>
  <si>
    <t>21,05,2026 офис олди к</t>
  </si>
  <si>
    <t>22,05,2026</t>
  </si>
  <si>
    <t>12000 $</t>
  </si>
  <si>
    <t>144 мяхк достон</t>
  </si>
  <si>
    <t>фура</t>
  </si>
  <si>
    <t>тахминан</t>
  </si>
  <si>
    <t>938 бек достон</t>
  </si>
  <si>
    <t>шофир   фура</t>
  </si>
  <si>
    <t>725 бекобод ислом</t>
  </si>
  <si>
    <t>960 бекобод кайтган</t>
  </si>
  <si>
    <t>266+960 мошин</t>
  </si>
  <si>
    <t>хюк</t>
  </si>
  <si>
    <t>су м</t>
  </si>
  <si>
    <t>расхлд</t>
  </si>
  <si>
    <t>1307 кг сафия</t>
  </si>
  <si>
    <t>23,05,2026</t>
  </si>
  <si>
    <t>7060 $</t>
  </si>
  <si>
    <t>16 ТН СИРОЧ</t>
  </si>
  <si>
    <t>377мяхк вобкент</t>
  </si>
  <si>
    <t>562 мяхк ой</t>
  </si>
  <si>
    <t>974 бек т</t>
  </si>
  <si>
    <t>фура шофир</t>
  </si>
  <si>
    <t>552 фура ислом</t>
  </si>
  <si>
    <t>074 воб гулистон</t>
  </si>
  <si>
    <t>билет</t>
  </si>
  <si>
    <t>ахтам</t>
  </si>
  <si>
    <t>966 бекобод  нурмат</t>
  </si>
  <si>
    <t>топилмаган зарар</t>
  </si>
  <si>
    <t>24,05,2026</t>
  </si>
  <si>
    <t>25,05,2026</t>
  </si>
  <si>
    <t>ОЙБЕК БЕРДИ</t>
  </si>
  <si>
    <t>413 МЯХК Т</t>
  </si>
  <si>
    <t>2 ТН 074 ШОФИР</t>
  </si>
  <si>
    <t>074 МЯХК О</t>
  </si>
  <si>
    <t>521 МЯХКИ Н</t>
  </si>
  <si>
    <t>БИЛЕ МЕБЕЛ</t>
  </si>
  <si>
    <t>11830*3500</t>
  </si>
  <si>
    <t>КОЛЯ</t>
  </si>
  <si>
    <t>УЛУГБЕК</t>
  </si>
  <si>
    <t>ОЛОТ</t>
  </si>
  <si>
    <t>ФОЙДА</t>
  </si>
  <si>
    <t>26,05,2026</t>
  </si>
  <si>
    <t>26,05,2026,</t>
  </si>
  <si>
    <t>2000 $ усто комил</t>
  </si>
  <si>
    <t>усто шухрат кат препшин</t>
  </si>
  <si>
    <t>44 $</t>
  </si>
  <si>
    <t>27,05,2026</t>
  </si>
  <si>
    <t>537 мяхк кнауф</t>
  </si>
  <si>
    <t>28,05,2026</t>
  </si>
  <si>
    <t>парда</t>
  </si>
  <si>
    <t>язна</t>
  </si>
  <si>
    <t>29,05,2026</t>
  </si>
  <si>
    <t>660 мошин</t>
  </si>
  <si>
    <t>660 бекобод</t>
  </si>
  <si>
    <t>30,05,2026</t>
  </si>
  <si>
    <t>2000 $дилмурод</t>
  </si>
  <si>
    <t>267 мяхкт/т</t>
  </si>
  <si>
    <t>838 бекобод еко</t>
  </si>
  <si>
    <t>919 релс</t>
  </si>
  <si>
    <t>шофир 919</t>
  </si>
  <si>
    <t>шофир 838</t>
  </si>
  <si>
    <t>725 мяхк</t>
  </si>
  <si>
    <t>103 мяхк олот</t>
  </si>
  <si>
    <t>562 мяхк т,</t>
  </si>
  <si>
    <t>умед сити</t>
  </si>
  <si>
    <t>31,05,2026</t>
  </si>
  <si>
    <t>210 мяхк бозор</t>
  </si>
  <si>
    <t>421 бекобод шермат</t>
  </si>
  <si>
    <t>377 мяхк еко сироч</t>
  </si>
  <si>
    <t>266 бекобод олот</t>
  </si>
  <si>
    <t>500 $ СБ</t>
  </si>
  <si>
    <t>500$ СБ</t>
  </si>
  <si>
    <t>Ойти</t>
  </si>
  <si>
    <t>Чермет фойда</t>
  </si>
  <si>
    <t>Хитой бонусча</t>
  </si>
  <si>
    <t>31,05,26</t>
  </si>
  <si>
    <t>хитой бонусча</t>
  </si>
  <si>
    <t>Хура</t>
  </si>
  <si>
    <t>Абду</t>
  </si>
  <si>
    <t>Дадем</t>
  </si>
  <si>
    <t>01,06,2026</t>
  </si>
  <si>
    <t>01,06,26</t>
  </si>
  <si>
    <t>10060*3500</t>
  </si>
  <si>
    <t>рахим расход</t>
  </si>
  <si>
    <t>Рахим пули</t>
  </si>
  <si>
    <t>21500$</t>
  </si>
  <si>
    <t>074 камаз</t>
  </si>
  <si>
    <t>074 мях О</t>
  </si>
  <si>
    <t>445 мошик</t>
  </si>
  <si>
    <t>445 бек факмон</t>
  </si>
  <si>
    <t>503 мошин</t>
  </si>
  <si>
    <t>300$</t>
  </si>
  <si>
    <t>2,06,2026</t>
  </si>
  <si>
    <t>576 бекобод т</t>
  </si>
  <si>
    <t>576 мошин</t>
  </si>
  <si>
    <t>2000 $</t>
  </si>
  <si>
    <t>мебел аванс</t>
  </si>
  <si>
    <t>телевизор</t>
  </si>
  <si>
    <t>6+1 сухроб аванс</t>
  </si>
  <si>
    <t>3,06,2026</t>
  </si>
  <si>
    <t>532 мяхк гулистон</t>
  </si>
  <si>
    <t>530 ром мяхки</t>
  </si>
  <si>
    <t>шофир 530</t>
  </si>
  <si>
    <t>972 мяхк олот</t>
  </si>
  <si>
    <t>мехри ака</t>
  </si>
  <si>
    <t>мойка абед</t>
  </si>
  <si>
    <t>ахтам хамсоя</t>
  </si>
  <si>
    <t>4,06,2026</t>
  </si>
  <si>
    <t>668 мяхк бобир</t>
  </si>
  <si>
    <t>037 мяхк т</t>
  </si>
  <si>
    <t>403 бекобод бобир ас</t>
  </si>
  <si>
    <t>403 мошин</t>
  </si>
  <si>
    <t>714 мошин</t>
  </si>
  <si>
    <t>714 мяхк т</t>
  </si>
  <si>
    <t>834 ширин</t>
  </si>
  <si>
    <t>5,06,2026</t>
  </si>
  <si>
    <t>МАТРАС ШАМПУН АВАНС</t>
  </si>
  <si>
    <t>РУСТАМ МАТРАС</t>
  </si>
  <si>
    <t>НАГИ МИКИ</t>
  </si>
  <si>
    <t>МАЛИКА</t>
  </si>
  <si>
    <t>408 мяхк олот</t>
  </si>
  <si>
    <t>973 релс</t>
  </si>
  <si>
    <t>388 низом мяхки</t>
  </si>
  <si>
    <t>900 $</t>
  </si>
  <si>
    <t>023 бекбод т</t>
  </si>
  <si>
    <t>300 $ лоша</t>
  </si>
  <si>
    <t>6,06,2026 иззат магазин</t>
  </si>
  <si>
    <t>300 $ жама</t>
  </si>
  <si>
    <t>100 $ сироч</t>
  </si>
  <si>
    <t>1200 $</t>
  </si>
  <si>
    <t>5300+377 мошин</t>
  </si>
  <si>
    <t>6,06,2026</t>
  </si>
  <si>
    <t>537 мяхк о</t>
  </si>
  <si>
    <t>938 бекобод о</t>
  </si>
  <si>
    <t>532 мяхк еко</t>
  </si>
  <si>
    <t>620 вобкент шерал</t>
  </si>
  <si>
    <t>2040*3300</t>
  </si>
  <si>
    <t>6740*3500</t>
  </si>
  <si>
    <t>хато</t>
  </si>
  <si>
    <t>качела аванс</t>
  </si>
  <si>
    <t>усто фуркат</t>
  </si>
  <si>
    <t>мойка бозор</t>
  </si>
  <si>
    <t>7,06,2026</t>
  </si>
  <si>
    <t>562 мяхк достон</t>
  </si>
  <si>
    <t>580 мяхк т</t>
  </si>
  <si>
    <t>886 шофир</t>
  </si>
  <si>
    <t>725 мяхк  олот</t>
  </si>
  <si>
    <t>222 бекобод олот</t>
  </si>
  <si>
    <t>8,06,2026</t>
  </si>
  <si>
    <t>074 навои турба</t>
  </si>
  <si>
    <t>1 тн 714 мошин</t>
  </si>
  <si>
    <t>530 бекобод достон</t>
  </si>
  <si>
    <t>СИРОЧ ХИТОЙ</t>
  </si>
  <si>
    <t>ФАРХОД</t>
  </si>
  <si>
    <t>СТРАЛКА</t>
  </si>
  <si>
    <t>РАС</t>
  </si>
  <si>
    <t>9,06,2026</t>
  </si>
  <si>
    <t>шофир клик</t>
  </si>
  <si>
    <t>267 мяхки т</t>
  </si>
  <si>
    <t>ди</t>
  </si>
  <si>
    <t>12900 чермет</t>
  </si>
  <si>
    <t>харом хур</t>
  </si>
  <si>
    <t>акмал хамсоя</t>
  </si>
  <si>
    <t>бахти</t>
  </si>
  <si>
    <t>фазли</t>
  </si>
  <si>
    <t>10,06,2026</t>
  </si>
  <si>
    <t>14900 $</t>
  </si>
  <si>
    <t>919 мяхки воб</t>
  </si>
  <si>
    <t>919 мошин</t>
  </si>
  <si>
    <t>парда аванс  жалюзи</t>
  </si>
  <si>
    <t>патинка</t>
  </si>
  <si>
    <t>мехри вобкент</t>
  </si>
  <si>
    <t>сироч</t>
  </si>
  <si>
    <t>11,06,2026</t>
  </si>
  <si>
    <t>773 навои</t>
  </si>
  <si>
    <t>421 мяхки т</t>
  </si>
  <si>
    <t>тел кридит</t>
  </si>
  <si>
    <t>яхе</t>
  </si>
  <si>
    <t>пилус</t>
  </si>
  <si>
    <t>12,06,2026</t>
  </si>
  <si>
    <t>445 мяхки ни</t>
  </si>
  <si>
    <t>3 тн</t>
  </si>
  <si>
    <t>10700 кг</t>
  </si>
  <si>
    <t>усто  киа</t>
  </si>
  <si>
    <t>13,06,2026</t>
  </si>
  <si>
    <t>537 мяхк релс</t>
  </si>
  <si>
    <t>562 мяхк ресс</t>
  </si>
  <si>
    <t>бронза така</t>
  </si>
  <si>
    <t>халаделник</t>
  </si>
  <si>
    <t>мехри акав</t>
  </si>
  <si>
    <t>мусор</t>
  </si>
  <si>
    <t>рабочи</t>
  </si>
  <si>
    <t>киа</t>
  </si>
  <si>
    <t>537 мяхки 0</t>
  </si>
  <si>
    <t>14,06,2026</t>
  </si>
  <si>
    <t>886 БЕКОБОД Т</t>
  </si>
  <si>
    <t>АЛ</t>
  </si>
  <si>
    <t>ПАСУДА</t>
  </si>
  <si>
    <t>15,06,2026</t>
  </si>
  <si>
    <t>011 релс</t>
  </si>
  <si>
    <t>773 мяхк навои</t>
  </si>
  <si>
    <t>668 БЕКОБОД НУРМАТ</t>
  </si>
  <si>
    <t>15,06,2026 нурбек</t>
  </si>
  <si>
    <t>улугбек 645*3000 13,04</t>
  </si>
  <si>
    <t>жамик ука 800 $</t>
  </si>
  <si>
    <t>озод</t>
  </si>
  <si>
    <t>16,06,2026</t>
  </si>
  <si>
    <t>7000 $ олдим</t>
  </si>
  <si>
    <t>нозим електрик</t>
  </si>
  <si>
    <t>ойбек</t>
  </si>
  <si>
    <t>рауф</t>
  </si>
  <si>
    <t>17,06,2026</t>
  </si>
  <si>
    <t>тура акадан олдим</t>
  </si>
  <si>
    <t>421 навои мяхки</t>
  </si>
  <si>
    <t>388 бекобод пешку</t>
  </si>
  <si>
    <t>277 мяхк хаким хужа</t>
  </si>
  <si>
    <t>3000 $ шохи</t>
  </si>
  <si>
    <t>арслон вай фай</t>
  </si>
  <si>
    <t>18,06,2026</t>
  </si>
  <si>
    <t>дилмурод</t>
  </si>
  <si>
    <t>562 мяхк</t>
  </si>
  <si>
    <t>886 бекобод т</t>
  </si>
  <si>
    <t>377 бекобод еко</t>
  </si>
  <si>
    <t>коля</t>
  </si>
  <si>
    <t>19,06,2026</t>
  </si>
  <si>
    <t>103 ислом мяхк</t>
  </si>
  <si>
    <t>рустам мебел</t>
  </si>
  <si>
    <t>усто тел чи</t>
  </si>
  <si>
    <t>940 кг</t>
  </si>
  <si>
    <t>670 кг алишер</t>
  </si>
  <si>
    <t>зиет</t>
  </si>
  <si>
    <t>20,06,2026</t>
  </si>
  <si>
    <t>унитаз</t>
  </si>
  <si>
    <t>колин аванс</t>
  </si>
  <si>
    <t>вай фай жама</t>
  </si>
  <si>
    <t>668 мяхки т</t>
  </si>
  <si>
    <t>10 тн дак</t>
  </si>
  <si>
    <t>30 тн дак</t>
  </si>
  <si>
    <t>шерка</t>
  </si>
  <si>
    <t>21,06,2026</t>
  </si>
  <si>
    <t>919 мяхки апа еко</t>
  </si>
  <si>
    <t xml:space="preserve">рахим </t>
  </si>
  <si>
    <t>они нурбек</t>
  </si>
  <si>
    <t xml:space="preserve">арслон    </t>
  </si>
  <si>
    <t>биби</t>
  </si>
  <si>
    <t>дима</t>
  </si>
  <si>
    <t>22,06,2026</t>
  </si>
  <si>
    <t>267 мяхк ттттт</t>
  </si>
  <si>
    <t>445 бекобод</t>
  </si>
  <si>
    <t>севинч мактаб</t>
  </si>
  <si>
    <t>чой</t>
  </si>
  <si>
    <t>сухи</t>
  </si>
  <si>
    <t>акфа</t>
  </si>
  <si>
    <t>расход духи</t>
  </si>
  <si>
    <t>кофе аппарат</t>
  </si>
  <si>
    <t>23,06,2026</t>
  </si>
  <si>
    <t>886 бекобод т,</t>
  </si>
  <si>
    <t>мошин ег</t>
  </si>
  <si>
    <t>бонус</t>
  </si>
  <si>
    <t>24,06,2026</t>
  </si>
  <si>
    <t>413 мяхки</t>
  </si>
  <si>
    <t>412 кг сафия</t>
  </si>
  <si>
    <t>кадастр печат</t>
  </si>
  <si>
    <t>сейф</t>
  </si>
  <si>
    <t>5700 кг</t>
  </si>
  <si>
    <t>расход  бир ойлик</t>
  </si>
  <si>
    <t>10,06,2026  икром ака</t>
  </si>
  <si>
    <t>15,06,2026 хавал</t>
  </si>
  <si>
    <t>15,06,2026 бохча курс</t>
  </si>
  <si>
    <t>25,06,2026 абдулло</t>
  </si>
  <si>
    <t>1,07,2026 дадем</t>
  </si>
  <si>
    <t>рахим $</t>
  </si>
  <si>
    <t>прадукта учун</t>
  </si>
  <si>
    <t>25,06,2026</t>
  </si>
  <si>
    <t>14500 $</t>
  </si>
  <si>
    <t>бекобод чугун</t>
  </si>
  <si>
    <t>377 мяхки пешу еко</t>
  </si>
  <si>
    <t>1800 $</t>
  </si>
  <si>
    <t>8 тн бошлик</t>
  </si>
  <si>
    <t>26,06,2026</t>
  </si>
  <si>
    <t>жамик гастинса</t>
  </si>
  <si>
    <t>27,06,2026</t>
  </si>
  <si>
    <t>403 мяхки т</t>
  </si>
  <si>
    <t>чугун 830</t>
  </si>
  <si>
    <t>фарх гастинса,</t>
  </si>
  <si>
    <t>камфорт</t>
  </si>
  <si>
    <t>расхлод</t>
  </si>
  <si>
    <t>басен</t>
  </si>
  <si>
    <t>28,06,2026</t>
  </si>
  <si>
    <t>562 бекобод абду</t>
  </si>
  <si>
    <t>1790*3300</t>
  </si>
  <si>
    <t>усто кат</t>
  </si>
  <si>
    <t>963 бекобод воб</t>
  </si>
  <si>
    <t>29,06,2026</t>
  </si>
  <si>
    <t>537 мяхк т</t>
  </si>
  <si>
    <t>530 бекобод ислом</t>
  </si>
  <si>
    <t>10,000$</t>
  </si>
  <si>
    <t>9100 $</t>
  </si>
  <si>
    <t>30,06,2026</t>
  </si>
  <si>
    <t>668 мошин 300 йул к</t>
  </si>
  <si>
    <t>668 мошин Рахим</t>
  </si>
  <si>
    <t>560 кг</t>
  </si>
  <si>
    <t>266 мошин 300 йул к</t>
  </si>
  <si>
    <t>266 мяхк Рахим</t>
  </si>
  <si>
    <t>099 чугун</t>
  </si>
  <si>
    <t>таваккал чугун 620</t>
  </si>
  <si>
    <t>байрок</t>
  </si>
  <si>
    <t>торт</t>
  </si>
  <si>
    <t>езбе</t>
  </si>
  <si>
    <t>бонусча</t>
  </si>
  <si>
    <t>икром ойлик</t>
  </si>
  <si>
    <t>абдулло</t>
  </si>
  <si>
    <t>Металл сотилди</t>
  </si>
  <si>
    <t xml:space="preserve">Навои Металл </t>
  </si>
  <si>
    <t>Рахим расход</t>
  </si>
  <si>
    <t>Рахим НАВОИ</t>
  </si>
  <si>
    <t>1,07,2026</t>
  </si>
  <si>
    <t>3300 $ усто комил</t>
  </si>
  <si>
    <t>штраф клик</t>
  </si>
  <si>
    <t>мяхки мебел</t>
  </si>
  <si>
    <t>мир</t>
  </si>
  <si>
    <t>2,07,2026</t>
  </si>
  <si>
    <t>300 сум йул кира</t>
  </si>
  <si>
    <t>537 мяхк нав рахим</t>
  </si>
  <si>
    <t>377 мяхк нав рахим</t>
  </si>
  <si>
    <t>50 кг фарк 537</t>
  </si>
  <si>
    <t>938 еко ой</t>
  </si>
  <si>
    <t>037 еко сироч</t>
  </si>
  <si>
    <t>266 кайтган чугун</t>
  </si>
  <si>
    <t>3,07,2026</t>
  </si>
  <si>
    <t>жамик</t>
  </si>
  <si>
    <t>919  мяхки рахим</t>
  </si>
  <si>
    <t>576 мяхки т</t>
  </si>
  <si>
    <t>300 йул кира 919</t>
  </si>
  <si>
    <t>12450 $ олдим</t>
  </si>
  <si>
    <t>4,07,2026</t>
  </si>
  <si>
    <t>35000 $</t>
  </si>
  <si>
    <t>187 мяхк пешку б</t>
  </si>
  <si>
    <t>562 мяхк навои бобир</t>
  </si>
  <si>
    <t>5,07,2026</t>
  </si>
  <si>
    <t>405 мяхк ислом</t>
  </si>
  <si>
    <t>530 бекобод ой</t>
  </si>
  <si>
    <t>530 мошин</t>
  </si>
  <si>
    <t>6,07,2026</t>
  </si>
  <si>
    <t>курпача</t>
  </si>
  <si>
    <t>пажарни акт</t>
  </si>
  <si>
    <t>тел нана</t>
  </si>
  <si>
    <t>карз</t>
  </si>
  <si>
    <t>7,07,2026</t>
  </si>
  <si>
    <t>445 мяхк низ</t>
  </si>
  <si>
    <t>537 бек ш</t>
  </si>
  <si>
    <t>пажарни гастинса</t>
  </si>
  <si>
    <t>севинч бозор</t>
  </si>
  <si>
    <t>кечаги</t>
  </si>
  <si>
    <t>8,07,2026</t>
  </si>
  <si>
    <t>тура ака</t>
  </si>
  <si>
    <t>530 мяхки 7 микр</t>
  </si>
  <si>
    <t>675 навои</t>
  </si>
  <si>
    <t xml:space="preserve">812 МЯХКИ Т </t>
  </si>
  <si>
    <t>КАМФОРТ ТЕКСТИЛ</t>
  </si>
  <si>
    <t>РУСТАМ МЕБЕЛ</t>
  </si>
  <si>
    <t>БОЗОР,</t>
  </si>
  <si>
    <t>МАТЕРАЛ СЕВИНЧ</t>
  </si>
  <si>
    <t>377 мяхки ой</t>
  </si>
  <si>
    <t>9,07,2026</t>
  </si>
  <si>
    <t>187 мошин</t>
  </si>
  <si>
    <t>698 бекобод ислом</t>
  </si>
  <si>
    <t>620 мяхки т</t>
  </si>
  <si>
    <t>562 чугун</t>
  </si>
  <si>
    <t>10,07,2026</t>
  </si>
  <si>
    <t>830 арматура</t>
  </si>
  <si>
    <t>830 мошин</t>
  </si>
  <si>
    <t>бошлик</t>
  </si>
  <si>
    <t>11,07,2026</t>
  </si>
  <si>
    <t>лоша</t>
  </si>
  <si>
    <t>377 мяхки еко</t>
  </si>
  <si>
    <t>562 мяхки феруз</t>
  </si>
  <si>
    <t>жамик ука</t>
  </si>
  <si>
    <t>пл расход</t>
  </si>
  <si>
    <t>292 мошин</t>
  </si>
  <si>
    <t>292 лида</t>
  </si>
  <si>
    <t>037  мяхк т</t>
  </si>
  <si>
    <t>12,07,2026</t>
  </si>
  <si>
    <t>886 мошин</t>
  </si>
  <si>
    <t>23,000 $</t>
  </si>
  <si>
    <t>886 бекобод</t>
  </si>
  <si>
    <t>колин</t>
  </si>
  <si>
    <t>усто ашур</t>
  </si>
  <si>
    <t>668 бекобод т</t>
  </si>
  <si>
    <t>хотинжон</t>
  </si>
  <si>
    <t>онем</t>
  </si>
  <si>
    <t>с</t>
  </si>
  <si>
    <t>Сироч ака 90,000 $</t>
  </si>
  <si>
    <t>13,07,2026</t>
  </si>
  <si>
    <t>537 чугун навои</t>
  </si>
  <si>
    <t>521 чугун наво</t>
  </si>
  <si>
    <t>220 кг</t>
  </si>
  <si>
    <t>шохи</t>
  </si>
  <si>
    <t>14,07,2026</t>
  </si>
  <si>
    <t>562 бекобод</t>
  </si>
  <si>
    <t>камол ака</t>
  </si>
  <si>
    <t>70,000 $</t>
  </si>
  <si>
    <t>300+</t>
  </si>
  <si>
    <t>4+3+2=9</t>
  </si>
  <si>
    <t>20 $ 8,07,2026</t>
  </si>
  <si>
    <t>15,07,2026</t>
  </si>
  <si>
    <t>537 мяхк гулистон т</t>
  </si>
  <si>
    <t xml:space="preserve">700 $ </t>
  </si>
  <si>
    <t>зиед</t>
  </si>
  <si>
    <t>17,07,2026</t>
  </si>
  <si>
    <t>рахм</t>
  </si>
  <si>
    <t>расход 2 кунлик</t>
  </si>
  <si>
    <t>18,07,2026</t>
  </si>
  <si>
    <t>кам</t>
  </si>
  <si>
    <t>19,07,2026</t>
  </si>
  <si>
    <t>696 мошин чирчик</t>
  </si>
  <si>
    <t>377 бекобод жамил</t>
  </si>
  <si>
    <t>377 мошин</t>
  </si>
  <si>
    <t>562мяхк гайрат</t>
  </si>
  <si>
    <t>562  мяхки гайрат</t>
  </si>
  <si>
    <t>037 мяхк арматура</t>
  </si>
  <si>
    <t xml:space="preserve">521 мяхки </t>
  </si>
  <si>
    <t>20,07,2026</t>
  </si>
  <si>
    <t>башкент</t>
  </si>
  <si>
    <t>21,07,2026</t>
  </si>
  <si>
    <t>377 мяхки о</t>
  </si>
  <si>
    <t xml:space="preserve">севинч  </t>
  </si>
  <si>
    <t>електрика</t>
  </si>
  <si>
    <t>одил ака</t>
  </si>
  <si>
    <t>усто соат</t>
  </si>
  <si>
    <t>22,07,2026</t>
  </si>
  <si>
    <t>12500 $</t>
  </si>
  <si>
    <t>куба</t>
  </si>
  <si>
    <t>919 мяхки т</t>
  </si>
  <si>
    <t>23,07,2026</t>
  </si>
  <si>
    <t>099 бек олот</t>
  </si>
  <si>
    <t>537 мяхки фарход</t>
  </si>
  <si>
    <t>377 мяхки еко с</t>
  </si>
  <si>
    <t>530 арматура</t>
  </si>
  <si>
    <t>562 хаким хужа</t>
  </si>
  <si>
    <t>834 бекобод т</t>
  </si>
  <si>
    <t>530 шофир</t>
  </si>
  <si>
    <t>сухроб сантехник</t>
  </si>
  <si>
    <t>5150*3700</t>
  </si>
  <si>
    <t>24,07,2026</t>
  </si>
  <si>
    <t>1500 $</t>
  </si>
  <si>
    <t>5650 $</t>
  </si>
  <si>
    <t>963 бекобод шермат</t>
  </si>
  <si>
    <t>башкент фойда</t>
  </si>
  <si>
    <t>музаффар</t>
  </si>
  <si>
    <t>8689 кг</t>
  </si>
  <si>
    <t xml:space="preserve">мурод </t>
  </si>
  <si>
    <t>25,07,2026</t>
  </si>
  <si>
    <t>10500 $</t>
  </si>
  <si>
    <t>3007 кг</t>
  </si>
  <si>
    <t>225,07,2026</t>
  </si>
  <si>
    <t>26,07,2026</t>
  </si>
  <si>
    <t>377 мяхк пешку</t>
  </si>
  <si>
    <t>562 бекобод еко</t>
  </si>
  <si>
    <t>037 бекобод ислом</t>
  </si>
  <si>
    <t>445  мяхк низом</t>
  </si>
  <si>
    <t>27,07,2026</t>
  </si>
  <si>
    <t>1750 $ абдулло</t>
  </si>
  <si>
    <t>gbkec</t>
  </si>
  <si>
    <t>28,07,2026</t>
  </si>
  <si>
    <t>29,07,2026</t>
  </si>
  <si>
    <t>773 мяхки т</t>
  </si>
  <si>
    <t>725 мяхк олот</t>
  </si>
  <si>
    <t>шофир 725</t>
  </si>
  <si>
    <t>388 шерка</t>
  </si>
  <si>
    <t>арматура хитой</t>
  </si>
  <si>
    <t>6 тн дак</t>
  </si>
  <si>
    <t>30,07,2026</t>
  </si>
  <si>
    <t>210 арматура</t>
  </si>
  <si>
    <t>562 мяхк т</t>
  </si>
  <si>
    <t>562 шофир</t>
  </si>
  <si>
    <t>31,07,2026</t>
  </si>
  <si>
    <t>963 мяхк навои</t>
  </si>
  <si>
    <t>аст</t>
  </si>
  <si>
    <t>каламча</t>
  </si>
  <si>
    <t>фарход,</t>
  </si>
  <si>
    <t>250 $</t>
  </si>
  <si>
    <t>250 $ сироч ака</t>
  </si>
  <si>
    <t>500 $ дадем</t>
  </si>
  <si>
    <t>1500 $ рахим</t>
  </si>
  <si>
    <t>10,000 $ сироч ака</t>
  </si>
  <si>
    <t>сироч 90-10=80</t>
  </si>
  <si>
    <t>тура сироч</t>
  </si>
  <si>
    <t>сироч 10</t>
  </si>
  <si>
    <t>300 $/2=150 $ санжар</t>
  </si>
  <si>
    <t>обши</t>
  </si>
  <si>
    <t>обши 180000</t>
  </si>
  <si>
    <t>15,000 $ июл</t>
  </si>
  <si>
    <t>гастинса расход</t>
  </si>
  <si>
    <t>430,000 $</t>
  </si>
  <si>
    <t>31,07,2025 293,000 $</t>
  </si>
  <si>
    <t>293,000 $</t>
  </si>
  <si>
    <t>137,000 $</t>
  </si>
  <si>
    <t>2025 декабр</t>
  </si>
  <si>
    <t>31,000 $</t>
  </si>
  <si>
    <t>168,000$</t>
  </si>
  <si>
    <t>31,07,2026 карз</t>
  </si>
  <si>
    <t>99,000 $</t>
  </si>
  <si>
    <t>разниса</t>
  </si>
  <si>
    <t>69,000 $++++++</t>
  </si>
  <si>
    <t>01,08,26</t>
  </si>
  <si>
    <t>01,08,2026</t>
  </si>
  <si>
    <t>532 мях т</t>
  </si>
  <si>
    <t>972 олот</t>
  </si>
  <si>
    <t>377 мях о</t>
  </si>
  <si>
    <t>972 мошин</t>
  </si>
  <si>
    <t>ё</t>
  </si>
  <si>
    <t>1,08,2026</t>
  </si>
  <si>
    <t>2,08,2026</t>
  </si>
  <si>
    <t>рахим киленти янги</t>
  </si>
  <si>
    <t xml:space="preserve">сум </t>
  </si>
  <si>
    <t xml:space="preserve">маймун </t>
  </si>
  <si>
    <t>700 $</t>
  </si>
  <si>
    <t>3,08,2026</t>
  </si>
  <si>
    <t>408 олот</t>
  </si>
  <si>
    <t>725бекобод олот</t>
  </si>
  <si>
    <t>445 тощин</t>
  </si>
  <si>
    <t>725 мошин мяхк</t>
  </si>
  <si>
    <t>87,280 $</t>
  </si>
  <si>
    <t>430,000 $ обши расход</t>
  </si>
  <si>
    <t>5230*3720</t>
  </si>
  <si>
    <t>4,08,2026</t>
  </si>
  <si>
    <t>377 мяхки хаким хужа</t>
  </si>
  <si>
    <t>037 мяхк  навои</t>
  </si>
  <si>
    <t>йул кира 300</t>
  </si>
  <si>
    <t>264 мяхки бекобод</t>
  </si>
  <si>
    <t>1900 $</t>
  </si>
  <si>
    <t>х</t>
  </si>
  <si>
    <t>5,08,2026</t>
  </si>
  <si>
    <t>гушт</t>
  </si>
  <si>
    <t>919 мях навои</t>
  </si>
  <si>
    <t>919 мошин учун</t>
  </si>
  <si>
    <t>Райим пул берди</t>
  </si>
  <si>
    <t>6,08,2026</t>
  </si>
  <si>
    <t>938 бекобод абду</t>
  </si>
  <si>
    <t>099 мяхк т</t>
  </si>
  <si>
    <t xml:space="preserve">023 мяхк </t>
  </si>
  <si>
    <t>266 мяхк т</t>
  </si>
  <si>
    <t>шофир 300   388</t>
  </si>
  <si>
    <t>388 мяхк 80 %</t>
  </si>
  <si>
    <t>210 мяхки гулистон</t>
  </si>
  <si>
    <t>7,08,2026</t>
  </si>
  <si>
    <t>14000 $</t>
  </si>
  <si>
    <t>377 мяхки еко нодир</t>
  </si>
  <si>
    <t>037 мяхк рахим навои</t>
  </si>
  <si>
    <t xml:space="preserve">3100 кг у/н 300 йул </t>
  </si>
  <si>
    <t>714 бекобод шамсилло</t>
  </si>
  <si>
    <t>1690*3300</t>
  </si>
  <si>
    <t>2570*3300</t>
  </si>
  <si>
    <t>мирзхид 37+3+21+20=81</t>
  </si>
  <si>
    <t>4400$</t>
  </si>
  <si>
    <t>2080*3300</t>
  </si>
  <si>
    <t>150 кг</t>
  </si>
  <si>
    <t>зарар т</t>
  </si>
  <si>
    <t>арс</t>
  </si>
  <si>
    <t>8,08,2026</t>
  </si>
  <si>
    <t>сабри</t>
  </si>
  <si>
    <t>еко бобир</t>
  </si>
  <si>
    <t>9,08,2026</t>
  </si>
  <si>
    <t>537 мяхк  фармон</t>
  </si>
  <si>
    <t>р</t>
  </si>
  <si>
    <t>чугун</t>
  </si>
  <si>
    <t>10,08,2026</t>
  </si>
  <si>
    <t>93,08,2026</t>
  </si>
  <si>
    <t>304 мяхки до</t>
  </si>
  <si>
    <t>3880 бекобод</t>
  </si>
  <si>
    <t>187 мяхки нов</t>
  </si>
  <si>
    <t>277 мяхки чермет</t>
  </si>
  <si>
    <t>264 бекбод низом</t>
  </si>
  <si>
    <t>264 шофир</t>
  </si>
  <si>
    <t>1000$</t>
  </si>
  <si>
    <t>9450*3500</t>
  </si>
  <si>
    <t>сирочеко</t>
  </si>
  <si>
    <t>кисларот</t>
  </si>
  <si>
    <t>11,08,2026</t>
  </si>
  <si>
    <t>408 бекобод ис</t>
  </si>
  <si>
    <t>210 мяхки т</t>
  </si>
  <si>
    <t>377 бозор мяхки</t>
  </si>
  <si>
    <t>12,08,2026</t>
  </si>
  <si>
    <t>413 мяхки о</t>
  </si>
  <si>
    <t xml:space="preserve">388 бекобод </t>
  </si>
  <si>
    <t>2700 $</t>
  </si>
  <si>
    <t>1900$</t>
  </si>
  <si>
    <t>6400 $ карз</t>
  </si>
  <si>
    <t>13,08,2026</t>
  </si>
  <si>
    <t>607 МЯХК ЕКО М</t>
  </si>
  <si>
    <t>074  КАМАЗ</t>
  </si>
  <si>
    <t>074 МЯХК НОВ</t>
  </si>
  <si>
    <t>037 МЯХКИ ЛИСТ</t>
  </si>
  <si>
    <t>ШОФИР</t>
  </si>
  <si>
    <t>267 МЯХКИ Т</t>
  </si>
  <si>
    <t>10160*3550</t>
  </si>
  <si>
    <t>икром берди</t>
  </si>
  <si>
    <t>14,08,2026</t>
  </si>
  <si>
    <t>388 мяхки ром</t>
  </si>
  <si>
    <t>365 мяхк жондор т</t>
  </si>
  <si>
    <t>445 мош</t>
  </si>
  <si>
    <t>рас,</t>
  </si>
  <si>
    <t>15,08,2026</t>
  </si>
  <si>
    <t>19,000$</t>
  </si>
  <si>
    <t>210 мяхк т гулистон</t>
  </si>
  <si>
    <t>16,08,2026</t>
  </si>
  <si>
    <t>773 мяхк</t>
  </si>
  <si>
    <t>17,08,2026</t>
  </si>
  <si>
    <t>17,08,2026,</t>
  </si>
  <si>
    <t>11000 $</t>
  </si>
  <si>
    <t>516 мяхк т</t>
  </si>
  <si>
    <t>537 мяхк еко</t>
  </si>
  <si>
    <t>18,08,2026</t>
  </si>
  <si>
    <t>562 мяхки фармон</t>
  </si>
  <si>
    <t>463 мяхк когон</t>
  </si>
  <si>
    <t>17-18 числа</t>
  </si>
  <si>
    <t>фарод</t>
  </si>
  <si>
    <t>19,08,2026</t>
  </si>
  <si>
    <t>889 достон</t>
  </si>
  <si>
    <t>29500$ 11850 курс+</t>
  </si>
  <si>
    <t>бохча ули</t>
  </si>
  <si>
    <t>мики</t>
  </si>
  <si>
    <t>жамик жураси</t>
  </si>
  <si>
    <t>самир</t>
  </si>
  <si>
    <t>4200 $</t>
  </si>
  <si>
    <t>20,08,2026</t>
  </si>
  <si>
    <t>377 мяхк ром</t>
  </si>
  <si>
    <t>830 мяхк бех</t>
  </si>
  <si>
    <t>532 бекобод</t>
  </si>
  <si>
    <t>бензин газ</t>
  </si>
  <si>
    <t>532 мошин</t>
  </si>
  <si>
    <t>1670*3300</t>
  </si>
  <si>
    <t>21,08,2026</t>
  </si>
  <si>
    <t>24000 $</t>
  </si>
  <si>
    <t>834 мяхки  нов</t>
  </si>
  <si>
    <t>сув учун</t>
  </si>
  <si>
    <t>бохзор</t>
  </si>
  <si>
    <t>22,08,2026</t>
  </si>
  <si>
    <t>463 бек ром дос</t>
  </si>
  <si>
    <t>2988 $ арматур</t>
  </si>
  <si>
    <t>574 мяхки т</t>
  </si>
  <si>
    <t>267 мяхки бл</t>
  </si>
  <si>
    <t>1660*3300</t>
  </si>
  <si>
    <t>23,08,2026</t>
  </si>
  <si>
    <t>445 мяхки низ</t>
  </si>
  <si>
    <t>шофир 445</t>
  </si>
  <si>
    <t>103 мяхки олот</t>
  </si>
  <si>
    <t>йул кира +++</t>
  </si>
  <si>
    <t>11300*3550</t>
  </si>
  <si>
    <t>011 шофир</t>
  </si>
  <si>
    <t>011 мяхки хасан</t>
  </si>
  <si>
    <t>562 мяхки арматур</t>
  </si>
  <si>
    <t>377 мяхки навои</t>
  </si>
  <si>
    <t>834 мяхки т</t>
  </si>
  <si>
    <t>521 мяхки арматура</t>
  </si>
  <si>
    <t>226 мяхки асли</t>
  </si>
  <si>
    <t>9840*3550</t>
  </si>
  <si>
    <t>арматура</t>
  </si>
  <si>
    <t>19810*3300</t>
  </si>
  <si>
    <t>фармон</t>
  </si>
  <si>
    <t>17690*3300</t>
  </si>
  <si>
    <t>24,08,2026</t>
  </si>
  <si>
    <t>12000*3550</t>
  </si>
  <si>
    <t>11630*3550</t>
  </si>
  <si>
    <t>463 мяхк арматура н</t>
  </si>
  <si>
    <t>463 шофир</t>
  </si>
  <si>
    <t>421 мошин</t>
  </si>
  <si>
    <t>421 мяхк арматура н</t>
  </si>
  <si>
    <t>545 мяхк шермат</t>
  </si>
  <si>
    <t>545 мяхки</t>
  </si>
  <si>
    <t>725 мяхк 0</t>
  </si>
  <si>
    <t>806 мяхк сан мав</t>
  </si>
  <si>
    <t>124 чугун голиб</t>
  </si>
  <si>
    <t>шофир 124</t>
  </si>
  <si>
    <t>25,08,2026</t>
  </si>
  <si>
    <t xml:space="preserve">жамик   </t>
  </si>
  <si>
    <t>отамурод</t>
  </si>
  <si>
    <t>саехат  24000000</t>
  </si>
  <si>
    <t>900 $  10,000,000</t>
  </si>
  <si>
    <t>бохча  1500,000</t>
  </si>
  <si>
    <t xml:space="preserve">  886 бекобод т</t>
  </si>
  <si>
    <t>532 мяхки</t>
  </si>
  <si>
    <t>074 мяхк   мав сир</t>
  </si>
  <si>
    <t>130 мяхк нов</t>
  </si>
  <si>
    <t>377 чугун</t>
  </si>
  <si>
    <t>наим т</t>
  </si>
  <si>
    <t>13410*3300</t>
  </si>
  <si>
    <t>9700*3550</t>
  </si>
  <si>
    <t>сафия3</t>
  </si>
  <si>
    <t>099 азик</t>
  </si>
  <si>
    <t>26,08,2026</t>
  </si>
  <si>
    <t>037 мяхк н</t>
  </si>
  <si>
    <t>870 мошин</t>
  </si>
  <si>
    <t>870 арматура</t>
  </si>
  <si>
    <t xml:space="preserve">834 мяхки т </t>
  </si>
  <si>
    <t>40000 $</t>
  </si>
  <si>
    <t>100 кг</t>
  </si>
  <si>
    <t>3320*3300</t>
  </si>
  <si>
    <t>10530*3300</t>
  </si>
  <si>
    <t>2900*11830 $</t>
  </si>
  <si>
    <t>521 мяхк нов</t>
  </si>
  <si>
    <t>27,08,2026</t>
  </si>
  <si>
    <t>975 арматура</t>
  </si>
  <si>
    <t>210 бекободит</t>
  </si>
  <si>
    <t>919 мяхк еко</t>
  </si>
  <si>
    <t xml:space="preserve">сает </t>
  </si>
  <si>
    <t>10950*3550</t>
  </si>
  <si>
    <t>тагоем</t>
  </si>
  <si>
    <t>али,</t>
  </si>
  <si>
    <t>дадем 500 $</t>
  </si>
  <si>
    <t>нурбек  5000 $</t>
  </si>
  <si>
    <t>хотин 19+18+9+18=64</t>
  </si>
  <si>
    <t>64-4=60$</t>
  </si>
  <si>
    <t>сироч ака 20 тн</t>
  </si>
  <si>
    <t>20 тн</t>
  </si>
  <si>
    <t>ойбек доллор</t>
  </si>
  <si>
    <t>28,08,2026</t>
  </si>
  <si>
    <t>886 мош 190 кг</t>
  </si>
  <si>
    <t>али</t>
  </si>
  <si>
    <t>25000 $,</t>
  </si>
  <si>
    <t>226 МЯХКИ ШУРИК</t>
  </si>
  <si>
    <t>377 МЯХКИ ГУЛСТОН</t>
  </si>
  <si>
    <t>САНЖВАР</t>
  </si>
  <si>
    <t>БОШЛИК</t>
  </si>
  <si>
    <t>БОНУС</t>
  </si>
  <si>
    <t>ИКРОМ</t>
  </si>
  <si>
    <t>НУР</t>
  </si>
  <si>
    <t>ИКРОМ ОЙЛИК</t>
  </si>
  <si>
    <t xml:space="preserve">ИКРОМ </t>
  </si>
  <si>
    <t>САРДОР</t>
  </si>
  <si>
    <t>2470*3350</t>
  </si>
  <si>
    <t>4 ТН ДАК</t>
  </si>
  <si>
    <t>РАХ</t>
  </si>
  <si>
    <t>10550-15000-8350=7720000</t>
  </si>
  <si>
    <t>29,08,2026</t>
  </si>
  <si>
    <t>467 МЯХКИ  АРМА  80%</t>
  </si>
  <si>
    <t>325 бекобод еко</t>
  </si>
  <si>
    <t>11630*3580</t>
  </si>
  <si>
    <t>290 кг</t>
  </si>
  <si>
    <t>30,08,2026</t>
  </si>
  <si>
    <t>пул</t>
  </si>
  <si>
    <t>576 мяхки т еко</t>
  </si>
  <si>
    <t>545 мяхки т</t>
  </si>
  <si>
    <t>395 мяхки ис</t>
  </si>
  <si>
    <t>мавлон</t>
  </si>
  <si>
    <t>ислом олот</t>
  </si>
  <si>
    <t>395 шофир</t>
  </si>
  <si>
    <t>наги рас</t>
  </si>
  <si>
    <t>31,08,2026</t>
  </si>
  <si>
    <t>812 мяхки боб</t>
  </si>
  <si>
    <t>099 мяхки ром</t>
  </si>
  <si>
    <t>445 мяхки пеш</t>
  </si>
  <si>
    <t>421 мяхки ек</t>
  </si>
  <si>
    <t>бобир того</t>
  </si>
  <si>
    <t>Достон пешку</t>
  </si>
  <si>
    <t>463 мяхки ис</t>
  </si>
  <si>
    <t>истат</t>
  </si>
  <si>
    <t>фарход путури</t>
  </si>
  <si>
    <t>неги 200 кг</t>
  </si>
  <si>
    <t>неги</t>
  </si>
  <si>
    <t>01,09,26</t>
  </si>
  <si>
    <t>919 мяхки н</t>
  </si>
  <si>
    <t>7810*3580</t>
  </si>
  <si>
    <t>Феруз укаси</t>
  </si>
  <si>
    <t>1610 $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</si>
</sst>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;@"/>
    <numFmt numFmtId="165" formatCode="#,##0.0"/>
    <numFmt numFmtId="166" formatCode="[$$-409]#,##0"/>
    <numFmt numFmtId="167" formatCode="0.00000E+00"/>
    <numFmt numFmtId="168" formatCode="0.0"/>
    <numFmt numFmtId="169" formatCode="[$$-409]#,##0.00"/>
  </numFmts>
  <fonts count="3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5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0"/>
      <color rgb="FFFF0000"/>
      <name val="Calibri"/>
      <family val="2"/>
      <charset val="204"/>
      <scheme val="minor"/>
    </font>
    <font>
      <b/>
      <sz val="20"/>
      <color rgb="FF00B050"/>
      <name val="Calibri"/>
      <family val="2"/>
      <charset val="204"/>
      <scheme val="minor"/>
    </font>
    <font>
      <sz val="15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5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7"/>
      <color rgb="FF00B05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3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63">
    <xf numFmtId="0" fontId="0" fillId="0" borderId="0" xfId="0"/>
    <xf numFmtId="164" fontId="0" fillId="0" borderId="3" xfId="0" applyNumberFormat="1" applyBorder="1" applyAlignment="1">
      <alignment horizontal="center" vertical="center"/>
    </xf>
    <xf numFmtId="3" fontId="4" fillId="0" borderId="1" xfId="0" applyNumberFormat="1" applyFont="1" applyBorder="1"/>
    <xf numFmtId="3" fontId="1" fillId="7" borderId="3" xfId="2" applyNumberFormat="1" applyFill="1" applyBorder="1" applyAlignment="1">
      <alignment horizontal="center"/>
    </xf>
    <xf numFmtId="3" fontId="1" fillId="7" borderId="3" xfId="1" applyNumberFormat="1" applyFill="1" applyBorder="1" applyAlignment="1">
      <alignment horizontal="center" vertical="top"/>
    </xf>
    <xf numFmtId="3" fontId="1" fillId="7" borderId="5" xfId="1" applyNumberFormat="1" applyFill="1" applyBorder="1" applyAlignment="1">
      <alignment horizontal="center" vertical="top"/>
    </xf>
    <xf numFmtId="3" fontId="4" fillId="7" borderId="4" xfId="0" applyNumberFormat="1" applyFont="1" applyFill="1" applyBorder="1"/>
    <xf numFmtId="3" fontId="2" fillId="7" borderId="3" xfId="3" applyNumberFormat="1" applyFont="1" applyFill="1" applyBorder="1" applyAlignment="1">
      <alignment horizontal="center"/>
    </xf>
    <xf numFmtId="0" fontId="2" fillId="0" borderId="0" xfId="0" applyFont="1"/>
    <xf numFmtId="3" fontId="0" fillId="0" borderId="0" xfId="0" applyNumberFormat="1"/>
    <xf numFmtId="0" fontId="2" fillId="0" borderId="3" xfId="0" applyFont="1" applyBorder="1"/>
    <xf numFmtId="3" fontId="2" fillId="0" borderId="3" xfId="0" applyNumberFormat="1" applyFont="1" applyBorder="1"/>
    <xf numFmtId="0" fontId="0" fillId="0" borderId="0" xfId="0" applyAlignment="1">
      <alignment horizontal="center"/>
    </xf>
    <xf numFmtId="3" fontId="1" fillId="8" borderId="3" xfId="1" applyNumberFormat="1" applyFill="1" applyBorder="1" applyAlignment="1">
      <alignment horizontal="center" vertical="top"/>
    </xf>
    <xf numFmtId="3" fontId="1" fillId="8" borderId="6" xfId="1" applyNumberFormat="1" applyFill="1" applyBorder="1" applyAlignment="1">
      <alignment horizontal="center" vertical="top"/>
    </xf>
    <xf numFmtId="3" fontId="1" fillId="8" borderId="5" xfId="1" applyNumberFormat="1" applyFill="1" applyBorder="1" applyAlignment="1">
      <alignment horizontal="center" vertical="top"/>
    </xf>
    <xf numFmtId="3" fontId="1" fillId="6" borderId="3" xfId="2" applyNumberFormat="1" applyFill="1" applyBorder="1" applyAlignment="1">
      <alignment horizontal="center"/>
    </xf>
    <xf numFmtId="3" fontId="2" fillId="9" borderId="3" xfId="0" applyNumberFormat="1" applyFont="1" applyFill="1" applyBorder="1"/>
    <xf numFmtId="3" fontId="2" fillId="8" borderId="3" xfId="0" applyNumberFormat="1" applyFont="1" applyFill="1" applyBorder="1"/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0" fillId="7" borderId="3" xfId="0" applyNumberFormat="1" applyFont="1" applyFill="1" applyBorder="1" applyAlignment="1">
      <alignment horizontal="center" vertical="center"/>
    </xf>
    <xf numFmtId="3" fontId="10" fillId="7" borderId="3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3" fontId="2" fillId="5" borderId="3" xfId="3" applyNumberFormat="1" applyFont="1" applyFill="1" applyBorder="1" applyAlignment="1">
      <alignment horizontal="center"/>
    </xf>
    <xf numFmtId="3" fontId="9" fillId="10" borderId="3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64" fontId="11" fillId="0" borderId="3" xfId="0" applyNumberFormat="1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3" fontId="12" fillId="7" borderId="11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3" fontId="10" fillId="0" borderId="3" xfId="0" applyNumberFormat="1" applyFont="1" applyBorder="1" applyAlignment="1">
      <alignment horizontal="right" vertical="center"/>
    </xf>
    <xf numFmtId="0" fontId="10" fillId="0" borderId="3" xfId="0" applyFont="1" applyBorder="1"/>
    <xf numFmtId="3" fontId="10" fillId="0" borderId="3" xfId="0" applyNumberFormat="1" applyFont="1" applyBorder="1"/>
    <xf numFmtId="3" fontId="3" fillId="10" borderId="2" xfId="0" applyNumberFormat="1" applyFont="1" applyFill="1" applyBorder="1" applyAlignment="1">
      <alignment horizontal="center" vertical="center"/>
    </xf>
    <xf numFmtId="3" fontId="9" fillId="0" borderId="2" xfId="0" applyNumberFormat="1" applyFont="1" applyBorder="1"/>
    <xf numFmtId="3" fontId="3" fillId="7" borderId="3" xfId="1" applyNumberFormat="1" applyFont="1" applyFill="1" applyBorder="1" applyAlignment="1">
      <alignment horizontal="center" vertical="center"/>
    </xf>
    <xf numFmtId="3" fontId="3" fillId="7" borderId="3" xfId="2" applyNumberFormat="1" applyFont="1" applyFill="1" applyBorder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3" fontId="13" fillId="5" borderId="3" xfId="0" applyNumberFormat="1" applyFont="1" applyFill="1" applyBorder="1" applyAlignment="1">
      <alignment horizontal="right" vertical="center"/>
    </xf>
    <xf numFmtId="3" fontId="6" fillId="5" borderId="3" xfId="0" applyNumberFormat="1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3" fontId="11" fillId="0" borderId="3" xfId="0" applyNumberFormat="1" applyFont="1" applyBorder="1"/>
    <xf numFmtId="0" fontId="11" fillId="5" borderId="3" xfId="0" applyFont="1" applyFill="1" applyBorder="1"/>
    <xf numFmtId="0" fontId="0" fillId="0" borderId="0" xfId="0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3" fontId="15" fillId="13" borderId="12" xfId="0" applyNumberFormat="1" applyFont="1" applyFill="1" applyBorder="1" applyAlignment="1">
      <alignment horizontal="center" vertical="center" wrapText="1"/>
    </xf>
    <xf numFmtId="3" fontId="0" fillId="14" borderId="3" xfId="0" applyNumberFormat="1" applyFill="1" applyBorder="1" applyAlignment="1">
      <alignment horizontal="center" vertical="center"/>
    </xf>
    <xf numFmtId="165" fontId="0" fillId="14" borderId="3" xfId="0" applyNumberFormat="1" applyFill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6" fillId="5" borderId="3" xfId="0" applyNumberFormat="1" applyFont="1" applyFill="1" applyBorder="1"/>
    <xf numFmtId="3" fontId="14" fillId="8" borderId="13" xfId="0" applyNumberFormat="1" applyFont="1" applyFill="1" applyBorder="1"/>
    <xf numFmtId="3" fontId="14" fillId="13" borderId="3" xfId="0" applyNumberFormat="1" applyFont="1" applyFill="1" applyBorder="1"/>
    <xf numFmtId="3" fontId="0" fillId="0" borderId="0" xfId="0" applyNumberFormat="1" applyAlignment="1">
      <alignment horizontal="center" vertical="center"/>
    </xf>
    <xf numFmtId="3" fontId="9" fillId="7" borderId="3" xfId="0" applyNumberFormat="1" applyFont="1" applyFill="1" applyBorder="1" applyAlignment="1">
      <alignment horizontal="center" vertical="center"/>
    </xf>
    <xf numFmtId="3" fontId="3" fillId="10" borderId="3" xfId="0" applyNumberFormat="1" applyFont="1" applyFill="1" applyBorder="1"/>
    <xf numFmtId="3" fontId="3" fillId="10" borderId="3" xfId="0" applyNumberFormat="1" applyFont="1" applyFill="1" applyBorder="1" applyAlignment="1">
      <alignment horizontal="left" vertical="center"/>
    </xf>
    <xf numFmtId="3" fontId="3" fillId="0" borderId="3" xfId="0" applyNumberFormat="1" applyFont="1" applyBorder="1"/>
    <xf numFmtId="3" fontId="3" fillId="7" borderId="3" xfId="0" applyNumberFormat="1" applyFont="1" applyFill="1" applyBorder="1"/>
    <xf numFmtId="3" fontId="3" fillId="10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/>
    <xf numFmtId="3" fontId="10" fillId="5" borderId="3" xfId="0" applyNumberFormat="1" applyFont="1" applyFill="1" applyBorder="1"/>
    <xf numFmtId="0" fontId="16" fillId="5" borderId="3" xfId="0" applyFont="1" applyFill="1" applyBorder="1"/>
    <xf numFmtId="3" fontId="0" fillId="7" borderId="3" xfId="1" applyNumberFormat="1" applyFont="1" applyFill="1" applyBorder="1" applyAlignment="1">
      <alignment horizontal="center" vertical="top"/>
    </xf>
    <xf numFmtId="3" fontId="0" fillId="7" borderId="5" xfId="1" applyNumberFormat="1" applyFont="1" applyFill="1" applyBorder="1" applyAlignment="1">
      <alignment horizontal="center" vertical="top"/>
    </xf>
    <xf numFmtId="0" fontId="13" fillId="15" borderId="3" xfId="0" applyFont="1" applyFill="1" applyBorder="1" applyAlignment="1">
      <alignment horizontal="center" vertical="center" wrapText="1"/>
    </xf>
    <xf numFmtId="0" fontId="19" fillId="0" borderId="0" xfId="0" applyFont="1"/>
    <xf numFmtId="0" fontId="6" fillId="0" borderId="3" xfId="0" applyFont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3" fontId="19" fillId="0" borderId="3" xfId="0" applyNumberFormat="1" applyFont="1" applyBorder="1" applyAlignment="1">
      <alignment horizontal="center" vertical="center"/>
    </xf>
    <xf numFmtId="3" fontId="19" fillId="14" borderId="3" xfId="0" applyNumberFormat="1" applyFont="1" applyFill="1" applyBorder="1" applyAlignment="1">
      <alignment horizontal="center" vertical="center"/>
    </xf>
    <xf numFmtId="3" fontId="12" fillId="13" borderId="12" xfId="0" applyNumberFormat="1" applyFont="1" applyFill="1" applyBorder="1" applyAlignment="1">
      <alignment horizontal="center" vertical="center" wrapText="1"/>
    </xf>
    <xf numFmtId="3" fontId="10" fillId="5" borderId="14" xfId="0" applyNumberFormat="1" applyFont="1" applyFill="1" applyBorder="1" applyAlignment="1">
      <alignment horizontal="center" vertical="center" wrapText="1"/>
    </xf>
    <xf numFmtId="3" fontId="19" fillId="0" borderId="0" xfId="0" applyNumberFormat="1" applyFont="1"/>
    <xf numFmtId="3" fontId="10" fillId="5" borderId="15" xfId="0" applyNumberFormat="1" applyFont="1" applyFill="1" applyBorder="1" applyAlignment="1">
      <alignment horizontal="center" vertical="center" wrapText="1"/>
    </xf>
    <xf numFmtId="3" fontId="19" fillId="16" borderId="2" xfId="0" applyNumberFormat="1" applyFont="1" applyFill="1" applyBorder="1" applyAlignment="1">
      <alignment horizontal="center" vertical="center"/>
    </xf>
    <xf numFmtId="3" fontId="19" fillId="16" borderId="16" xfId="0" applyNumberFormat="1" applyFont="1" applyFill="1" applyBorder="1" applyAlignment="1">
      <alignment horizontal="center" vertical="center"/>
    </xf>
    <xf numFmtId="3" fontId="19" fillId="0" borderId="17" xfId="0" applyNumberFormat="1" applyFont="1" applyBorder="1" applyAlignment="1">
      <alignment horizontal="center" vertical="center"/>
    </xf>
    <xf numFmtId="3" fontId="10" fillId="15" borderId="3" xfId="0" applyNumberFormat="1" applyFont="1" applyFill="1" applyBorder="1" applyAlignment="1">
      <alignment horizontal="center" vertical="center"/>
    </xf>
    <xf numFmtId="3" fontId="12" fillId="13" borderId="18" xfId="0" applyNumberFormat="1" applyFont="1" applyFill="1" applyBorder="1" applyAlignment="1">
      <alignment horizontal="center" vertical="center" wrapText="1"/>
    </xf>
    <xf numFmtId="3" fontId="13" fillId="15" borderId="13" xfId="0" applyNumberFormat="1" applyFont="1" applyFill="1" applyBorder="1" applyAlignment="1">
      <alignment horizontal="center" vertical="center"/>
    </xf>
    <xf numFmtId="0" fontId="0" fillId="0" borderId="3" xfId="0" applyBorder="1"/>
    <xf numFmtId="3" fontId="15" fillId="7" borderId="0" xfId="0" applyNumberFormat="1" applyFont="1" applyFill="1" applyAlignment="1">
      <alignment horizontal="center" vertical="center" wrapText="1"/>
    </xf>
    <xf numFmtId="3" fontId="15" fillId="5" borderId="4" xfId="0" applyNumberFormat="1" applyFont="1" applyFill="1" applyBorder="1" applyAlignment="1">
      <alignment horizontal="center" vertical="center"/>
    </xf>
    <xf numFmtId="3" fontId="2" fillId="7" borderId="3" xfId="0" applyNumberFormat="1" applyFont="1" applyFill="1" applyBorder="1" applyAlignment="1">
      <alignment horizontal="right" vertical="center"/>
    </xf>
    <xf numFmtId="3" fontId="2" fillId="9" borderId="3" xfId="0" applyNumberFormat="1" applyFont="1" applyFill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11" fillId="0" borderId="17" xfId="0" applyFont="1" applyBorder="1"/>
    <xf numFmtId="0" fontId="10" fillId="11" borderId="5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3" fontId="4" fillId="5" borderId="20" xfId="0" applyNumberFormat="1" applyFont="1" applyFill="1" applyBorder="1" applyAlignment="1">
      <alignment horizontal="center" vertical="center"/>
    </xf>
    <xf numFmtId="3" fontId="4" fillId="5" borderId="21" xfId="0" applyNumberFormat="1" applyFont="1" applyFill="1" applyBorder="1" applyAlignment="1">
      <alignment horizontal="center" vertical="center"/>
    </xf>
    <xf numFmtId="3" fontId="20" fillId="7" borderId="22" xfId="0" applyNumberFormat="1" applyFont="1" applyFill="1" applyBorder="1" applyAlignment="1">
      <alignment vertical="center" wrapText="1"/>
    </xf>
    <xf numFmtId="0" fontId="20" fillId="7" borderId="10" xfId="0" applyFont="1" applyFill="1" applyBorder="1" applyAlignment="1">
      <alignment vertical="center" wrapText="1"/>
    </xf>
    <xf numFmtId="0" fontId="20" fillId="7" borderId="18" xfId="0" applyFont="1" applyFill="1" applyBorder="1" applyAlignment="1">
      <alignment vertical="center" wrapText="1"/>
    </xf>
    <xf numFmtId="3" fontId="20" fillId="7" borderId="10" xfId="0" applyNumberFormat="1" applyFont="1" applyFill="1" applyBorder="1" applyAlignment="1">
      <alignment vertical="center" wrapText="1"/>
    </xf>
    <xf numFmtId="3" fontId="7" fillId="5" borderId="13" xfId="0" applyNumberFormat="1" applyFont="1" applyFill="1" applyBorder="1"/>
    <xf numFmtId="3" fontId="5" fillId="5" borderId="3" xfId="0" applyNumberFormat="1" applyFont="1" applyFill="1" applyBorder="1"/>
    <xf numFmtId="3" fontId="10" fillId="0" borderId="3" xfId="0" applyNumberFormat="1" applyFont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right" vertical="center"/>
    </xf>
    <xf numFmtId="3" fontId="22" fillId="0" borderId="3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166" fontId="0" fillId="7" borderId="3" xfId="1" applyNumberFormat="1" applyFont="1" applyFill="1" applyBorder="1" applyAlignment="1">
      <alignment horizontal="center" vertical="top"/>
    </xf>
    <xf numFmtId="0" fontId="0" fillId="0" borderId="0" xfId="0" applyAlignment="1">
      <alignment wrapText="1"/>
    </xf>
    <xf numFmtId="3" fontId="4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left" vertical="center"/>
    </xf>
    <xf numFmtId="3" fontId="25" fillId="7" borderId="3" xfId="0" applyNumberFormat="1" applyFont="1" applyFill="1" applyBorder="1" applyAlignment="1">
      <alignment horizontal="center" vertical="center"/>
    </xf>
    <xf numFmtId="3" fontId="24" fillId="5" borderId="3" xfId="0" applyNumberFormat="1" applyFont="1" applyFill="1" applyBorder="1" applyAlignment="1">
      <alignment horizontal="center" vertical="center"/>
    </xf>
    <xf numFmtId="3" fontId="10" fillId="5" borderId="3" xfId="0" applyNumberFormat="1" applyFont="1" applyFill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 vertical="center" wrapText="1"/>
    </xf>
    <xf numFmtId="3" fontId="11" fillId="16" borderId="3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5" fontId="10" fillId="5" borderId="3" xfId="0" applyNumberFormat="1" applyFont="1" applyFill="1" applyBorder="1" applyAlignment="1">
      <alignment horizontal="center" vertical="center"/>
    </xf>
    <xf numFmtId="165" fontId="10" fillId="7" borderId="3" xfId="0" applyNumberFormat="1" applyFont="1" applyFill="1" applyBorder="1" applyAlignment="1">
      <alignment horizontal="center" vertical="center"/>
    </xf>
    <xf numFmtId="165" fontId="19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3" fontId="10" fillId="7" borderId="2" xfId="0" applyNumberFormat="1" applyFont="1" applyFill="1" applyBorder="1" applyAlignment="1">
      <alignment horizontal="center" vertical="center"/>
    </xf>
    <xf numFmtId="3" fontId="10" fillId="7" borderId="2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right" vertical="center"/>
    </xf>
    <xf numFmtId="3" fontId="5" fillId="13" borderId="0" xfId="0" applyNumberFormat="1" applyFont="1" applyFill="1" applyAlignment="1">
      <alignment horizontal="right" vertical="center"/>
    </xf>
    <xf numFmtId="0" fontId="0" fillId="13" borderId="0" xfId="0" applyFill="1"/>
    <xf numFmtId="3" fontId="0" fillId="13" borderId="0" xfId="0" applyNumberFormat="1" applyFill="1"/>
    <xf numFmtId="3" fontId="0" fillId="0" borderId="3" xfId="0" applyNumberFormat="1" applyBorder="1" applyAlignment="1">
      <alignment horizontal="center" vertical="center" wrapText="1"/>
    </xf>
    <xf numFmtId="3" fontId="0" fillId="0" borderId="3" xfId="0" applyNumberFormat="1" applyBorder="1"/>
    <xf numFmtId="3" fontId="0" fillId="13" borderId="3" xfId="0" applyNumberForma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3" fontId="16" fillId="7" borderId="3" xfId="0" applyNumberFormat="1" applyFont="1" applyFill="1" applyBorder="1" applyAlignment="1">
      <alignment horizontal="center" vertical="center"/>
    </xf>
    <xf numFmtId="3" fontId="26" fillId="5" borderId="3" xfId="0" applyNumberFormat="1" applyFont="1" applyFill="1" applyBorder="1" applyAlignment="1">
      <alignment horizontal="center" vertical="center"/>
    </xf>
    <xf numFmtId="3" fontId="11" fillId="7" borderId="3" xfId="0" applyNumberFormat="1" applyFont="1" applyFill="1" applyBorder="1" applyAlignment="1">
      <alignment horizontal="center" vertical="center"/>
    </xf>
    <xf numFmtId="3" fontId="26" fillId="7" borderId="3" xfId="0" applyNumberFormat="1" applyFont="1" applyFill="1" applyBorder="1" applyAlignment="1">
      <alignment horizontal="center" vertical="center"/>
    </xf>
    <xf numFmtId="3" fontId="27" fillId="7" borderId="0" xfId="0" applyNumberFormat="1" applyFont="1" applyFill="1" applyAlignment="1">
      <alignment horizontal="center" vertical="center"/>
    </xf>
    <xf numFmtId="3" fontId="10" fillId="10" borderId="3" xfId="0" applyNumberFormat="1" applyFont="1" applyFill="1" applyBorder="1" applyAlignment="1">
      <alignment horizontal="center" vertical="center" wrapText="1"/>
    </xf>
    <xf numFmtId="3" fontId="10" fillId="10" borderId="3" xfId="0" applyNumberFormat="1" applyFont="1" applyFill="1" applyBorder="1" applyAlignment="1">
      <alignment horizontal="center" vertical="center"/>
    </xf>
    <xf numFmtId="3" fontId="19" fillId="10" borderId="3" xfId="0" applyNumberFormat="1" applyFont="1" applyFill="1" applyBorder="1" applyAlignment="1">
      <alignment horizontal="center" vertical="center"/>
    </xf>
    <xf numFmtId="3" fontId="0" fillId="10" borderId="0" xfId="0" applyNumberFormat="1" applyFill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3" fontId="6" fillId="12" borderId="3" xfId="0" applyNumberFormat="1" applyFont="1" applyFill="1" applyBorder="1" applyAlignment="1">
      <alignment horizontal="center" vertical="center"/>
    </xf>
    <xf numFmtId="3" fontId="16" fillId="12" borderId="3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3" fontId="5" fillId="7" borderId="3" xfId="0" applyNumberFormat="1" applyFont="1" applyFill="1" applyBorder="1"/>
    <xf numFmtId="3" fontId="2" fillId="10" borderId="3" xfId="0" applyNumberFormat="1" applyFont="1" applyFill="1" applyBorder="1"/>
    <xf numFmtId="3" fontId="21" fillId="10" borderId="3" xfId="0" applyNumberFormat="1" applyFont="1" applyFill="1" applyBorder="1"/>
    <xf numFmtId="0" fontId="4" fillId="0" borderId="3" xfId="0" applyFont="1" applyBorder="1"/>
    <xf numFmtId="3" fontId="13" fillId="17" borderId="3" xfId="0" applyNumberFormat="1" applyFont="1" applyFill="1" applyBorder="1"/>
    <xf numFmtId="3" fontId="15" fillId="7" borderId="3" xfId="0" applyNumberFormat="1" applyFont="1" applyFill="1" applyBorder="1"/>
    <xf numFmtId="3" fontId="10" fillId="17" borderId="3" xfId="0" applyNumberFormat="1" applyFont="1" applyFill="1" applyBorder="1"/>
    <xf numFmtId="164" fontId="0" fillId="7" borderId="3" xfId="0" applyNumberFormat="1" applyFill="1" applyBorder="1" applyAlignment="1">
      <alignment horizontal="center" vertical="center"/>
    </xf>
    <xf numFmtId="3" fontId="20" fillId="0" borderId="3" xfId="0" applyNumberFormat="1" applyFont="1" applyBorder="1" applyAlignment="1">
      <alignment horizontal="center" vertical="center"/>
    </xf>
    <xf numFmtId="3" fontId="1" fillId="5" borderId="3" xfId="1" applyNumberFormat="1" applyFill="1" applyBorder="1" applyAlignment="1">
      <alignment horizontal="center" vertical="top"/>
    </xf>
    <xf numFmtId="3" fontId="19" fillId="0" borderId="0" xfId="0" applyNumberFormat="1" applyFont="1" applyAlignment="1">
      <alignment horizontal="center" vertical="center"/>
    </xf>
    <xf numFmtId="3" fontId="20" fillId="5" borderId="3" xfId="0" applyNumberFormat="1" applyFont="1" applyFill="1" applyBorder="1" applyAlignment="1">
      <alignment horizontal="center" vertical="center"/>
    </xf>
    <xf numFmtId="3" fontId="1" fillId="5" borderId="5" xfId="1" applyNumberFormat="1" applyFill="1" applyBorder="1" applyAlignment="1">
      <alignment horizontal="center" vertical="top"/>
    </xf>
    <xf numFmtId="3" fontId="0" fillId="5" borderId="5" xfId="1" applyNumberFormat="1" applyFont="1" applyFill="1" applyBorder="1" applyAlignment="1">
      <alignment horizontal="center" vertical="top"/>
    </xf>
    <xf numFmtId="3" fontId="28" fillId="7" borderId="3" xfId="0" applyNumberFormat="1" applyFont="1" applyFill="1" applyBorder="1" applyAlignment="1">
      <alignment horizontal="center" vertical="center"/>
    </xf>
    <xf numFmtId="3" fontId="0" fillId="7" borderId="3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4" fontId="0" fillId="5" borderId="3" xfId="0" applyNumberFormat="1" applyFill="1" applyBorder="1" applyAlignment="1">
      <alignment horizontal="center" vertical="center"/>
    </xf>
    <xf numFmtId="3" fontId="0" fillId="5" borderId="3" xfId="0" applyNumberFormat="1" applyFill="1" applyBorder="1" applyAlignment="1">
      <alignment horizontal="center" vertical="center"/>
    </xf>
    <xf numFmtId="3" fontId="0" fillId="5" borderId="3" xfId="1" applyNumberFormat="1" applyFont="1" applyFill="1" applyBorder="1" applyAlignment="1">
      <alignment horizontal="center" vertical="top"/>
    </xf>
    <xf numFmtId="3" fontId="1" fillId="15" borderId="3" xfId="1" applyNumberFormat="1" applyFill="1" applyBorder="1" applyAlignment="1">
      <alignment horizontal="center" vertical="top"/>
    </xf>
    <xf numFmtId="3" fontId="0" fillId="15" borderId="3" xfId="1" applyNumberFormat="1" applyFont="1" applyFill="1" applyBorder="1" applyAlignment="1">
      <alignment horizontal="center" vertical="top"/>
    </xf>
    <xf numFmtId="0" fontId="13" fillId="13" borderId="0" xfId="0" applyFont="1" applyFill="1"/>
    <xf numFmtId="3" fontId="13" fillId="13" borderId="3" xfId="0" applyNumberFormat="1" applyFont="1" applyFill="1" applyBorder="1"/>
    <xf numFmtId="167" fontId="0" fillId="7" borderId="3" xfId="1" applyNumberFormat="1" applyFont="1" applyFill="1" applyBorder="1" applyAlignment="1">
      <alignment horizontal="center" vertical="top"/>
    </xf>
    <xf numFmtId="4" fontId="0" fillId="7" borderId="3" xfId="0" applyNumberFormat="1" applyFill="1" applyBorder="1" applyAlignment="1">
      <alignment horizontal="center" vertical="center"/>
    </xf>
    <xf numFmtId="3" fontId="0" fillId="18" borderId="0" xfId="0" applyNumberForma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6" fillId="7" borderId="0" xfId="0" applyNumberFormat="1" applyFont="1" applyFill="1" applyAlignment="1">
      <alignment horizontal="center" vertical="center"/>
    </xf>
    <xf numFmtId="0" fontId="10" fillId="19" borderId="5" xfId="0" applyFont="1" applyFill="1" applyBorder="1" applyAlignment="1">
      <alignment horizontal="center" vertical="center" wrapText="1"/>
    </xf>
    <xf numFmtId="3" fontId="3" fillId="20" borderId="3" xfId="0" applyNumberFormat="1" applyFont="1" applyFill="1" applyBorder="1"/>
    <xf numFmtId="3" fontId="9" fillId="20" borderId="3" xfId="0" applyNumberFormat="1" applyFont="1" applyFill="1" applyBorder="1" applyAlignment="1">
      <alignment horizontal="center" vertical="center"/>
    </xf>
    <xf numFmtId="3" fontId="3" fillId="20" borderId="3" xfId="0" applyNumberFormat="1" applyFont="1" applyFill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3" fontId="4" fillId="5" borderId="21" xfId="0" applyNumberFormat="1" applyFont="1" applyFill="1" applyBorder="1" applyAlignment="1">
      <alignment horizontal="left" vertical="center"/>
    </xf>
    <xf numFmtId="166" fontId="20" fillId="7" borderId="10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/>
    </xf>
    <xf numFmtId="3" fontId="0" fillId="12" borderId="3" xfId="0" applyNumberFormat="1" applyFill="1" applyBorder="1" applyAlignment="1">
      <alignment horizontal="center" vertical="center"/>
    </xf>
    <xf numFmtId="3" fontId="9" fillId="5" borderId="3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4" fontId="0" fillId="7" borderId="5" xfId="1" applyNumberFormat="1" applyFont="1" applyFill="1" applyBorder="1" applyAlignment="1">
      <alignment horizontal="center" vertical="top"/>
    </xf>
    <xf numFmtId="4" fontId="10" fillId="7" borderId="3" xfId="0" applyNumberFormat="1" applyFont="1" applyFill="1" applyBorder="1" applyAlignment="1">
      <alignment horizontal="center" vertical="center"/>
    </xf>
    <xf numFmtId="3" fontId="2" fillId="19" borderId="3" xfId="0" applyNumberFormat="1" applyFont="1" applyFill="1" applyBorder="1" applyAlignment="1">
      <alignment horizontal="center" vertical="center"/>
    </xf>
    <xf numFmtId="0" fontId="28" fillId="0" borderId="0" xfId="0" applyFont="1"/>
    <xf numFmtId="0" fontId="0" fillId="7" borderId="0" xfId="0" applyFill="1"/>
    <xf numFmtId="3" fontId="10" fillId="9" borderId="14" xfId="0" applyNumberFormat="1" applyFont="1" applyFill="1" applyBorder="1" applyAlignment="1">
      <alignment horizontal="center" vertical="center" wrapText="1"/>
    </xf>
    <xf numFmtId="0" fontId="0" fillId="13" borderId="3" xfId="0" applyFill="1" applyBorder="1"/>
    <xf numFmtId="3" fontId="27" fillId="5" borderId="3" xfId="0" applyNumberFormat="1" applyFont="1" applyFill="1" applyBorder="1" applyAlignment="1">
      <alignment horizontal="center" vertical="center"/>
    </xf>
    <xf numFmtId="3" fontId="0" fillId="21" borderId="3" xfId="0" applyNumberFormat="1" applyFill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164" fontId="10" fillId="5" borderId="3" xfId="0" applyNumberFormat="1" applyFont="1" applyFill="1" applyBorder="1" applyAlignment="1">
      <alignment horizontal="center" vertical="center"/>
    </xf>
    <xf numFmtId="164" fontId="10" fillId="7" borderId="3" xfId="0" applyNumberFormat="1" applyFont="1" applyFill="1" applyBorder="1" applyAlignment="1">
      <alignment horizontal="center" vertical="center"/>
    </xf>
    <xf numFmtId="164" fontId="19" fillId="0" borderId="3" xfId="0" applyNumberFormat="1" applyFont="1" applyBorder="1" applyAlignment="1">
      <alignment horizontal="center" vertical="center"/>
    </xf>
    <xf numFmtId="164" fontId="0" fillId="0" borderId="0" xfId="0" applyNumberFormat="1"/>
    <xf numFmtId="3" fontId="19" fillId="7" borderId="3" xfId="0" applyNumberFormat="1" applyFont="1" applyFill="1" applyBorder="1" applyAlignment="1">
      <alignment horizontal="center" vertical="center"/>
    </xf>
    <xf numFmtId="3" fontId="31" fillId="7" borderId="3" xfId="3" applyNumberFormat="1" applyFont="1" applyFill="1" applyBorder="1" applyAlignment="1">
      <alignment horizontal="center"/>
    </xf>
    <xf numFmtId="3" fontId="1" fillId="21" borderId="5" xfId="1" applyNumberFormat="1" applyFill="1" applyBorder="1" applyAlignment="1">
      <alignment horizontal="center" vertical="top"/>
    </xf>
    <xf numFmtId="3" fontId="0" fillId="21" borderId="5" xfId="1" applyNumberFormat="1" applyFont="1" applyFill="1" applyBorder="1" applyAlignment="1">
      <alignment horizontal="center" vertical="top"/>
    </xf>
    <xf numFmtId="3" fontId="15" fillId="5" borderId="3" xfId="0" applyNumberFormat="1" applyFont="1" applyFill="1" applyBorder="1" applyAlignment="1">
      <alignment horizontal="center" vertical="center"/>
    </xf>
    <xf numFmtId="3" fontId="24" fillId="0" borderId="3" xfId="0" applyNumberFormat="1" applyFont="1" applyBorder="1"/>
    <xf numFmtId="3" fontId="24" fillId="7" borderId="3" xfId="0" applyNumberFormat="1" applyFont="1" applyFill="1" applyBorder="1"/>
    <xf numFmtId="0" fontId="19" fillId="0" borderId="3" xfId="0" applyFont="1" applyBorder="1"/>
    <xf numFmtId="3" fontId="19" fillId="0" borderId="3" xfId="0" applyNumberFormat="1" applyFont="1" applyBorder="1"/>
    <xf numFmtId="3" fontId="0" fillId="7" borderId="0" xfId="0" applyNumberFormat="1" applyFill="1" applyAlignment="1">
      <alignment horizontal="center" vertical="center"/>
    </xf>
    <xf numFmtId="3" fontId="19" fillId="7" borderId="17" xfId="0" applyNumberFormat="1" applyFont="1" applyFill="1" applyBorder="1" applyAlignment="1">
      <alignment horizontal="center" vertical="center"/>
    </xf>
    <xf numFmtId="3" fontId="1" fillId="21" borderId="3" xfId="1" applyNumberFormat="1" applyFill="1" applyBorder="1" applyAlignment="1">
      <alignment horizontal="center" vertical="top"/>
    </xf>
    <xf numFmtId="3" fontId="0" fillId="21" borderId="3" xfId="1" applyNumberFormat="1" applyFont="1" applyFill="1" applyBorder="1" applyAlignment="1">
      <alignment horizontal="center" vertical="top"/>
    </xf>
    <xf numFmtId="165" fontId="19" fillId="7" borderId="3" xfId="0" applyNumberFormat="1" applyFont="1" applyFill="1" applyBorder="1" applyAlignment="1">
      <alignment horizontal="center" vertical="center"/>
    </xf>
    <xf numFmtId="3" fontId="2" fillId="7" borderId="6" xfId="3" applyNumberFormat="1" applyFont="1" applyFill="1" applyBorder="1" applyAlignment="1">
      <alignment horizontal="center"/>
    </xf>
    <xf numFmtId="3" fontId="4" fillId="5" borderId="3" xfId="0" applyNumberFormat="1" applyFont="1" applyFill="1" applyBorder="1" applyAlignment="1">
      <alignment horizontal="center" vertical="center"/>
    </xf>
    <xf numFmtId="3" fontId="3" fillId="16" borderId="3" xfId="0" applyNumberFormat="1" applyFont="1" applyFill="1" applyBorder="1"/>
    <xf numFmtId="3" fontId="9" fillId="16" borderId="3" xfId="0" applyNumberFormat="1" applyFont="1" applyFill="1" applyBorder="1" applyAlignment="1">
      <alignment horizontal="center" vertical="center"/>
    </xf>
    <xf numFmtId="3" fontId="3" fillId="16" borderId="3" xfId="0" applyNumberFormat="1" applyFont="1" applyFill="1" applyBorder="1" applyAlignment="1">
      <alignment horizontal="center" vertical="center"/>
    </xf>
    <xf numFmtId="168" fontId="0" fillId="0" borderId="0" xfId="0" applyNumberFormat="1"/>
    <xf numFmtId="166" fontId="0" fillId="5" borderId="3" xfId="1" applyNumberFormat="1" applyFont="1" applyFill="1" applyBorder="1" applyAlignment="1">
      <alignment horizontal="center" vertical="top"/>
    </xf>
    <xf numFmtId="169" fontId="0" fillId="0" borderId="0" xfId="0" applyNumberFormat="1" applyAlignment="1">
      <alignment horizontal="center" vertical="center"/>
    </xf>
    <xf numFmtId="169" fontId="10" fillId="0" borderId="3" xfId="0" applyNumberFormat="1" applyFont="1" applyBorder="1" applyAlignment="1">
      <alignment horizontal="center" vertical="center" wrapText="1"/>
    </xf>
    <xf numFmtId="169" fontId="10" fillId="5" borderId="3" xfId="0" applyNumberFormat="1" applyFont="1" applyFill="1" applyBorder="1" applyAlignment="1">
      <alignment horizontal="center" vertical="center"/>
    </xf>
    <xf numFmtId="169" fontId="10" fillId="7" borderId="3" xfId="0" applyNumberFormat="1" applyFont="1" applyFill="1" applyBorder="1" applyAlignment="1">
      <alignment horizontal="center" vertical="center"/>
    </xf>
    <xf numFmtId="169" fontId="19" fillId="0" borderId="3" xfId="0" applyNumberFormat="1" applyFont="1" applyBorder="1" applyAlignment="1">
      <alignment horizontal="center" vertical="center"/>
    </xf>
    <xf numFmtId="169" fontId="19" fillId="7" borderId="3" xfId="0" applyNumberFormat="1" applyFont="1" applyFill="1" applyBorder="1" applyAlignment="1">
      <alignment horizontal="center" vertical="center"/>
    </xf>
    <xf numFmtId="169" fontId="19" fillId="0" borderId="0" xfId="0" applyNumberFormat="1" applyFont="1" applyAlignment="1">
      <alignment horizontal="center" vertical="center"/>
    </xf>
    <xf numFmtId="168" fontId="0" fillId="5" borderId="0" xfId="0" applyNumberFormat="1" applyFill="1"/>
    <xf numFmtId="3" fontId="3" fillId="22" borderId="3" xfId="0" applyNumberFormat="1" applyFont="1" applyFill="1" applyBorder="1"/>
    <xf numFmtId="4" fontId="0" fillId="21" borderId="3" xfId="0" applyNumberForma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3" fillId="7" borderId="23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3" fontId="6" fillId="5" borderId="5" xfId="0" applyNumberFormat="1" applyFont="1" applyFill="1" applyBorder="1" applyAlignment="1">
      <alignment horizontal="center" vertical="center"/>
    </xf>
    <xf numFmtId="3" fontId="6" fillId="5" borderId="6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14" fontId="11" fillId="5" borderId="5" xfId="0" applyNumberFormat="1" applyFont="1" applyFill="1" applyBorder="1" applyAlignment="1">
      <alignment horizontal="center"/>
    </xf>
    <xf numFmtId="14" fontId="11" fillId="5" borderId="6" xfId="0" applyNumberFormat="1" applyFont="1" applyFill="1" applyBorder="1" applyAlignment="1">
      <alignment horizontal="center"/>
    </xf>
    <xf numFmtId="14" fontId="11" fillId="5" borderId="2" xfId="0" applyNumberFormat="1" applyFont="1" applyFill="1" applyBorder="1" applyAlignment="1">
      <alignment horizontal="center"/>
    </xf>
    <xf numFmtId="3" fontId="11" fillId="5" borderId="5" xfId="0" applyNumberFormat="1" applyFont="1" applyFill="1" applyBorder="1" applyAlignment="1">
      <alignment horizontal="center" vertical="center"/>
    </xf>
    <xf numFmtId="3" fontId="11" fillId="5" borderId="6" xfId="0" applyNumberFormat="1" applyFont="1" applyFill="1" applyBorder="1" applyAlignment="1">
      <alignment horizontal="center" vertical="center"/>
    </xf>
    <xf numFmtId="3" fontId="11" fillId="5" borderId="2" xfId="0" applyNumberFormat="1" applyFont="1" applyFill="1" applyBorder="1" applyAlignment="1">
      <alignment horizontal="center" vertical="center"/>
    </xf>
    <xf numFmtId="3" fontId="20" fillId="7" borderId="22" xfId="0" applyNumberFormat="1" applyFont="1" applyFill="1" applyBorder="1" applyAlignment="1">
      <alignment horizontal="center" vertical="center" wrapText="1"/>
    </xf>
    <xf numFmtId="3" fontId="20" fillId="7" borderId="10" xfId="0" applyNumberFormat="1" applyFont="1" applyFill="1" applyBorder="1" applyAlignment="1">
      <alignment horizontal="center" vertical="center" wrapText="1"/>
    </xf>
  </cellXfs>
  <cellStyles count="4">
    <cellStyle name="40% — акцент1" xfId="1" builtinId="31"/>
    <cellStyle name="40% — акцент2" xfId="2" builtinId="35"/>
    <cellStyle name="40% — акцент3" xfId="3" builtinId="3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M20"/>
  <sheetViews>
    <sheetView view="pageBreakPreview" topLeftCell="D1" zoomScale="115" zoomScaleNormal="100" zoomScaleSheetLayoutView="115" workbookViewId="0">
      <selection activeCell="J3" sqref="J3"/>
    </sheetView>
  </sheetViews>
  <sheetFormatPr defaultRowHeight="18" x14ac:dyDescent="0.35"/>
  <cols>
    <col min="5" max="5" width="12.5546875" customWidth="1"/>
    <col min="6" max="6" width="10.88671875" style="78" customWidth="1"/>
    <col min="7" max="7" width="9" style="78" customWidth="1"/>
    <col min="8" max="8" width="18.21875" style="78" customWidth="1"/>
    <col min="9" max="9" width="18.109375" customWidth="1"/>
    <col min="10" max="11" width="10.44140625" bestFit="1" customWidth="1"/>
    <col min="15" max="15" width="15.6640625" customWidth="1"/>
    <col min="16" max="16" width="13.109375" bestFit="1" customWidth="1"/>
    <col min="17" max="17" width="11.44140625" bestFit="1" customWidth="1"/>
    <col min="18" max="18" width="10.88671875" customWidth="1"/>
    <col min="19" max="19" width="14.44140625" bestFit="1" customWidth="1"/>
    <col min="20" max="20" width="10.88671875" customWidth="1"/>
    <col min="21" max="21" width="9" customWidth="1"/>
    <col min="22" max="22" width="14.109375" bestFit="1" customWidth="1"/>
  </cols>
  <sheetData>
    <row r="1" spans="5:13" ht="50.4" customHeight="1" thickBot="1" x14ac:dyDescent="0.35">
      <c r="E1" s="208"/>
      <c r="F1" s="91" t="s">
        <v>68</v>
      </c>
      <c r="G1" s="83" t="s">
        <v>63</v>
      </c>
      <c r="H1" s="83" t="s">
        <v>101</v>
      </c>
      <c r="I1" s="83" t="s">
        <v>1020</v>
      </c>
    </row>
    <row r="2" spans="5:13" ht="31.95" customHeight="1" thickBot="1" x14ac:dyDescent="0.35">
      <c r="E2" s="161" t="s">
        <v>105</v>
      </c>
      <c r="F2" s="92">
        <v>0</v>
      </c>
      <c r="G2" s="86"/>
      <c r="H2" s="84">
        <f>+SUM(H4:H19)</f>
        <v>0</v>
      </c>
      <c r="I2" s="207">
        <v>77200000</v>
      </c>
      <c r="J2" s="9"/>
    </row>
    <row r="3" spans="5:13" x14ac:dyDescent="0.35">
      <c r="E3" s="247"/>
      <c r="F3" s="248"/>
      <c r="G3" s="248"/>
      <c r="H3" s="248"/>
    </row>
    <row r="4" spans="5:13" x14ac:dyDescent="0.3">
      <c r="E4" s="151" t="s">
        <v>1786</v>
      </c>
      <c r="F4" s="88">
        <f>+F2-SUM(F5:F19)</f>
        <v>0</v>
      </c>
      <c r="G4" s="87">
        <v>3720</v>
      </c>
      <c r="H4" s="87">
        <f t="shared" ref="H4:H19" si="0">+F4*G4</f>
        <v>0</v>
      </c>
      <c r="I4" t="s">
        <v>1912</v>
      </c>
      <c r="J4" s="205"/>
      <c r="K4" s="205"/>
    </row>
    <row r="5" spans="5:13" x14ac:dyDescent="0.3">
      <c r="E5" s="93"/>
      <c r="F5" s="89"/>
      <c r="G5" s="82"/>
      <c r="H5" s="81">
        <f t="shared" si="0"/>
        <v>0</v>
      </c>
    </row>
    <row r="6" spans="5:13" x14ac:dyDescent="0.3">
      <c r="E6" s="93"/>
      <c r="F6" s="89"/>
      <c r="G6" s="82"/>
      <c r="H6" s="81">
        <f t="shared" si="0"/>
        <v>0</v>
      </c>
    </row>
    <row r="7" spans="5:13" x14ac:dyDescent="0.3">
      <c r="E7" s="93"/>
      <c r="F7" s="89"/>
      <c r="G7" s="82"/>
      <c r="H7" s="81">
        <f t="shared" si="0"/>
        <v>0</v>
      </c>
      <c r="M7" s="206"/>
    </row>
    <row r="8" spans="5:13" x14ac:dyDescent="0.3">
      <c r="E8" s="93"/>
      <c r="F8" s="89"/>
      <c r="G8" s="82"/>
      <c r="H8" s="81">
        <f t="shared" si="0"/>
        <v>0</v>
      </c>
      <c r="J8" s="205"/>
      <c r="K8" s="205"/>
    </row>
    <row r="9" spans="5:13" x14ac:dyDescent="0.3">
      <c r="E9" s="93"/>
      <c r="F9" s="89"/>
      <c r="G9" s="82"/>
      <c r="H9" s="81">
        <f t="shared" si="0"/>
        <v>0</v>
      </c>
    </row>
    <row r="10" spans="5:13" x14ac:dyDescent="0.3">
      <c r="E10" s="93"/>
      <c r="F10" s="226"/>
      <c r="G10" s="82"/>
      <c r="H10" s="81">
        <f t="shared" si="0"/>
        <v>0</v>
      </c>
      <c r="K10" s="205"/>
      <c r="L10" s="205"/>
    </row>
    <row r="11" spans="5:13" x14ac:dyDescent="0.3">
      <c r="E11" s="93"/>
      <c r="F11" s="226"/>
      <c r="G11" s="82"/>
      <c r="H11" s="81">
        <f t="shared" si="0"/>
        <v>0</v>
      </c>
    </row>
    <row r="12" spans="5:13" x14ac:dyDescent="0.3">
      <c r="E12" s="93"/>
      <c r="F12" s="226"/>
      <c r="G12" s="82"/>
      <c r="H12" s="81">
        <f t="shared" si="0"/>
        <v>0</v>
      </c>
      <c r="K12" s="205"/>
    </row>
    <row r="13" spans="5:13" x14ac:dyDescent="0.3">
      <c r="E13" s="93"/>
      <c r="F13" s="89"/>
      <c r="G13" s="82"/>
      <c r="H13" s="81">
        <f t="shared" si="0"/>
        <v>0</v>
      </c>
    </row>
    <row r="14" spans="5:13" x14ac:dyDescent="0.3">
      <c r="E14" s="93"/>
      <c r="F14" s="89"/>
      <c r="G14" s="82"/>
      <c r="H14" s="81">
        <f t="shared" si="0"/>
        <v>0</v>
      </c>
      <c r="J14" s="205"/>
      <c r="K14" s="205"/>
    </row>
    <row r="15" spans="5:13" x14ac:dyDescent="0.3">
      <c r="E15" s="93"/>
      <c r="F15" s="89"/>
      <c r="G15" s="82"/>
      <c r="H15" s="81">
        <f t="shared" si="0"/>
        <v>0</v>
      </c>
    </row>
    <row r="16" spans="5:13" x14ac:dyDescent="0.3">
      <c r="E16" s="93"/>
      <c r="F16" s="89"/>
      <c r="G16" s="82"/>
      <c r="H16" s="81">
        <f t="shared" ref="H16" si="1">+F16*G16</f>
        <v>0</v>
      </c>
    </row>
    <row r="17" spans="5:8" x14ac:dyDescent="0.3">
      <c r="E17" s="93"/>
      <c r="F17" s="89"/>
      <c r="G17" s="82"/>
      <c r="H17" s="81">
        <f t="shared" si="0"/>
        <v>0</v>
      </c>
    </row>
    <row r="18" spans="5:8" x14ac:dyDescent="0.3">
      <c r="E18" s="93"/>
      <c r="F18" s="89"/>
      <c r="G18" s="82"/>
      <c r="H18" s="81">
        <f t="shared" si="0"/>
        <v>0</v>
      </c>
    </row>
    <row r="19" spans="5:8" x14ac:dyDescent="0.3">
      <c r="E19" s="93"/>
      <c r="F19" s="89"/>
      <c r="G19" s="82"/>
      <c r="H19" s="81">
        <f t="shared" si="0"/>
        <v>0</v>
      </c>
    </row>
    <row r="20" spans="5:8" x14ac:dyDescent="0.35">
      <c r="F20" s="85"/>
    </row>
  </sheetData>
  <mergeCells count="1">
    <mergeCell ref="E3:H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N61"/>
  <sheetViews>
    <sheetView view="pageBreakPreview" zoomScale="115" zoomScaleNormal="140" zoomScaleSheetLayoutView="115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C56" sqref="C56"/>
    </sheetView>
  </sheetViews>
  <sheetFormatPr defaultRowHeight="14.4" x14ac:dyDescent="0.3"/>
  <cols>
    <col min="2" max="2" width="17.44140625" customWidth="1"/>
    <col min="3" max="3" width="16.44140625" bestFit="1" customWidth="1"/>
    <col min="4" max="4" width="16.109375" bestFit="1" customWidth="1"/>
    <col min="5" max="5" width="22.6640625" bestFit="1" customWidth="1"/>
    <col min="6" max="6" width="15.88671875" hidden="1" customWidth="1"/>
    <col min="7" max="7" width="20" style="12" hidden="1" customWidth="1"/>
    <col min="8" max="8" width="12.88671875" style="8" customWidth="1"/>
    <col min="9" max="9" width="11.5546875" style="8" bestFit="1" customWidth="1"/>
    <col min="10" max="10" width="12.88671875" style="8" bestFit="1" customWidth="1"/>
    <col min="11" max="11" width="11.88671875" style="8" bestFit="1" customWidth="1"/>
    <col min="12" max="12" width="13.6640625" style="8" customWidth="1"/>
    <col min="13" max="13" width="15" style="8" bestFit="1" customWidth="1"/>
  </cols>
  <sheetData>
    <row r="1" spans="1:13" ht="28.95" customHeight="1" thickBot="1" x14ac:dyDescent="0.35">
      <c r="A1" s="130" t="s">
        <v>0</v>
      </c>
      <c r="B1" s="249" t="s">
        <v>15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1"/>
    </row>
    <row r="2" spans="1:13" ht="36" x14ac:dyDescent="0.3">
      <c r="A2" s="29"/>
      <c r="B2" s="131" t="s">
        <v>102</v>
      </c>
      <c r="C2" s="131" t="s">
        <v>103</v>
      </c>
      <c r="D2" s="132" t="s">
        <v>6</v>
      </c>
      <c r="E2" s="132" t="s">
        <v>7</v>
      </c>
      <c r="F2" s="132" t="s">
        <v>8</v>
      </c>
      <c r="G2" s="132" t="s">
        <v>9</v>
      </c>
      <c r="H2" s="133" t="s">
        <v>10</v>
      </c>
      <c r="I2" s="133" t="s">
        <v>11</v>
      </c>
      <c r="J2" s="133" t="s">
        <v>12</v>
      </c>
      <c r="K2" s="133" t="s">
        <v>13</v>
      </c>
      <c r="L2" s="133" t="s">
        <v>104</v>
      </c>
      <c r="M2" s="133" t="s">
        <v>14</v>
      </c>
    </row>
    <row r="3" spans="1:13" ht="18" x14ac:dyDescent="0.3">
      <c r="A3" s="29"/>
      <c r="B3" s="110"/>
      <c r="C3" s="90">
        <f>+тонн!H2</f>
        <v>0</v>
      </c>
      <c r="D3" s="90">
        <f>+тонн!F2</f>
        <v>0</v>
      </c>
      <c r="E3" s="26"/>
      <c r="F3" s="26"/>
      <c r="G3" s="26"/>
      <c r="H3" s="27"/>
      <c r="I3" s="27"/>
      <c r="J3" s="27"/>
      <c r="K3" s="27"/>
      <c r="L3" s="27"/>
      <c r="M3" s="27"/>
    </row>
    <row r="4" spans="1:13" ht="34.950000000000003" customHeight="1" x14ac:dyDescent="0.3">
      <c r="A4" s="29"/>
      <c r="B4" s="122" t="s">
        <v>471</v>
      </c>
      <c r="C4" s="26">
        <v>0</v>
      </c>
      <c r="D4" s="26"/>
      <c r="E4" s="26"/>
      <c r="F4" s="26"/>
      <c r="G4" s="26"/>
      <c r="H4" s="27"/>
      <c r="I4" s="27"/>
      <c r="J4" s="27"/>
      <c r="K4" s="27"/>
      <c r="L4" s="27"/>
      <c r="M4" s="7"/>
    </row>
    <row r="5" spans="1:13" x14ac:dyDescent="0.3">
      <c r="A5" s="1">
        <v>46235</v>
      </c>
      <c r="B5" s="4"/>
      <c r="C5" s="4"/>
      <c r="D5" s="13"/>
      <c r="E5" s="4"/>
      <c r="F5" s="16"/>
      <c r="G5" s="3"/>
      <c r="H5" s="30">
        <f t="shared" ref="H5:H35" si="0">+D5+F5</f>
        <v>0</v>
      </c>
      <c r="I5" s="7"/>
      <c r="J5" s="7"/>
      <c r="K5" s="7"/>
      <c r="L5" s="7"/>
      <c r="M5" s="7">
        <f t="shared" ref="M5:M35" si="1">+C5-E5-G5-I5-J5-K5-L5</f>
        <v>0</v>
      </c>
    </row>
    <row r="6" spans="1:13" x14ac:dyDescent="0.3">
      <c r="A6" s="1">
        <f>+A5+1</f>
        <v>46236</v>
      </c>
      <c r="B6" s="4"/>
      <c r="C6" s="4"/>
      <c r="D6" s="13"/>
      <c r="E6" s="4"/>
      <c r="F6" s="16"/>
      <c r="G6" s="3"/>
      <c r="H6" s="30">
        <f t="shared" si="0"/>
        <v>0</v>
      </c>
      <c r="I6" s="7"/>
      <c r="J6" s="7"/>
      <c r="K6" s="7"/>
      <c r="L6" s="7"/>
      <c r="M6" s="7">
        <f t="shared" si="1"/>
        <v>0</v>
      </c>
    </row>
    <row r="7" spans="1:13" x14ac:dyDescent="0.3">
      <c r="A7" s="1">
        <f t="shared" ref="A7:A35" si="2">+A6+1</f>
        <v>46237</v>
      </c>
      <c r="B7" s="4"/>
      <c r="C7" s="4"/>
      <c r="D7" s="13"/>
      <c r="E7" s="4"/>
      <c r="F7" s="16"/>
      <c r="G7" s="3"/>
      <c r="H7" s="30">
        <f t="shared" si="0"/>
        <v>0</v>
      </c>
      <c r="I7" s="7"/>
      <c r="J7" s="7"/>
      <c r="K7" s="7"/>
      <c r="L7" s="7"/>
      <c r="M7" s="7">
        <f t="shared" si="1"/>
        <v>0</v>
      </c>
    </row>
    <row r="8" spans="1:13" x14ac:dyDescent="0.3">
      <c r="A8" s="1">
        <f>+A7+1</f>
        <v>46238</v>
      </c>
      <c r="B8" s="4"/>
      <c r="C8" s="4"/>
      <c r="D8" s="13"/>
      <c r="E8" s="4"/>
      <c r="F8" s="16"/>
      <c r="G8" s="4"/>
      <c r="H8" s="30">
        <f t="shared" si="0"/>
        <v>0</v>
      </c>
      <c r="I8" s="7"/>
      <c r="J8" s="7"/>
      <c r="K8" s="7"/>
      <c r="L8" s="7"/>
      <c r="M8" s="7">
        <f t="shared" si="1"/>
        <v>0</v>
      </c>
    </row>
    <row r="9" spans="1:13" x14ac:dyDescent="0.3">
      <c r="A9" s="1">
        <f t="shared" si="2"/>
        <v>46239</v>
      </c>
      <c r="B9" s="4"/>
      <c r="C9" s="4"/>
      <c r="D9" s="13"/>
      <c r="E9" s="4"/>
      <c r="H9" s="30">
        <f t="shared" si="0"/>
        <v>0</v>
      </c>
      <c r="I9" s="7"/>
      <c r="J9" s="7"/>
      <c r="K9" s="7"/>
      <c r="L9" s="7"/>
      <c r="M9" s="7">
        <f t="shared" si="1"/>
        <v>0</v>
      </c>
    </row>
    <row r="10" spans="1:13" x14ac:dyDescent="0.3">
      <c r="A10" s="1">
        <f t="shared" si="2"/>
        <v>46240</v>
      </c>
      <c r="B10" s="4"/>
      <c r="C10" s="4"/>
      <c r="D10" s="14"/>
      <c r="E10" s="4"/>
      <c r="F10" s="16"/>
      <c r="G10" s="3"/>
      <c r="H10" s="30">
        <f t="shared" si="0"/>
        <v>0</v>
      </c>
      <c r="I10" s="7"/>
      <c r="J10" s="7"/>
      <c r="K10" s="7"/>
      <c r="L10" s="7"/>
      <c r="M10" s="7">
        <f t="shared" si="1"/>
        <v>0</v>
      </c>
    </row>
    <row r="11" spans="1:13" x14ac:dyDescent="0.3">
      <c r="A11" s="1">
        <f t="shared" si="2"/>
        <v>46241</v>
      </c>
      <c r="B11" s="4"/>
      <c r="C11" s="4"/>
      <c r="D11" s="13"/>
      <c r="E11" s="4"/>
      <c r="F11" s="16"/>
      <c r="G11" s="3"/>
      <c r="H11" s="30">
        <f t="shared" si="0"/>
        <v>0</v>
      </c>
      <c r="I11" s="7"/>
      <c r="J11" s="7"/>
      <c r="K11" s="7"/>
      <c r="L11" s="7"/>
      <c r="M11" s="7">
        <f t="shared" si="1"/>
        <v>0</v>
      </c>
    </row>
    <row r="12" spans="1:13" x14ac:dyDescent="0.3">
      <c r="A12" s="1">
        <f t="shared" si="2"/>
        <v>46242</v>
      </c>
      <c r="B12" s="4"/>
      <c r="C12" s="4"/>
      <c r="D12" s="13"/>
      <c r="E12" s="75"/>
      <c r="F12" s="16"/>
      <c r="G12" s="3"/>
      <c r="H12" s="30">
        <f t="shared" si="0"/>
        <v>0</v>
      </c>
      <c r="I12" s="7"/>
      <c r="J12" s="7"/>
      <c r="K12" s="7"/>
      <c r="L12" s="7"/>
      <c r="M12" s="7">
        <f t="shared" si="1"/>
        <v>0</v>
      </c>
    </row>
    <row r="13" spans="1:13" x14ac:dyDescent="0.3">
      <c r="A13" s="1">
        <f t="shared" si="2"/>
        <v>46243</v>
      </c>
      <c r="B13" s="4"/>
      <c r="C13" s="4"/>
      <c r="D13" s="13"/>
      <c r="E13" s="4"/>
      <c r="F13" s="16"/>
      <c r="G13" s="3"/>
      <c r="H13" s="30">
        <f t="shared" si="0"/>
        <v>0</v>
      </c>
      <c r="I13" s="7"/>
      <c r="J13" s="7"/>
      <c r="K13" s="7"/>
      <c r="L13" s="7"/>
      <c r="M13" s="7">
        <f t="shared" si="1"/>
        <v>0</v>
      </c>
    </row>
    <row r="14" spans="1:13" x14ac:dyDescent="0.3">
      <c r="A14" s="1">
        <f t="shared" si="2"/>
        <v>46244</v>
      </c>
      <c r="B14" s="4"/>
      <c r="C14" s="4"/>
      <c r="D14" s="13"/>
      <c r="E14" s="4"/>
      <c r="F14" s="16"/>
      <c r="G14" s="3"/>
      <c r="H14" s="30">
        <f t="shared" si="0"/>
        <v>0</v>
      </c>
      <c r="I14" s="7"/>
      <c r="J14" s="7"/>
      <c r="K14" s="7"/>
      <c r="L14" s="7"/>
      <c r="M14" s="7">
        <f t="shared" si="1"/>
        <v>0</v>
      </c>
    </row>
    <row r="15" spans="1:13" x14ac:dyDescent="0.3">
      <c r="A15" s="1">
        <f t="shared" si="2"/>
        <v>46245</v>
      </c>
      <c r="B15" s="4"/>
      <c r="C15" s="4"/>
      <c r="D15" s="13"/>
      <c r="E15" s="4"/>
      <c r="F15" s="16"/>
      <c r="G15" s="3"/>
      <c r="H15" s="30">
        <f t="shared" si="0"/>
        <v>0</v>
      </c>
      <c r="I15" s="7"/>
      <c r="J15" s="7"/>
      <c r="K15" s="7"/>
      <c r="L15" s="7"/>
      <c r="M15" s="7">
        <f t="shared" si="1"/>
        <v>0</v>
      </c>
    </row>
    <row r="16" spans="1:13" x14ac:dyDescent="0.3">
      <c r="A16" s="1">
        <f t="shared" si="2"/>
        <v>46246</v>
      </c>
      <c r="B16" s="4"/>
      <c r="C16" s="4"/>
      <c r="D16" s="13"/>
      <c r="E16" s="4"/>
      <c r="F16" s="16"/>
      <c r="G16" s="3"/>
      <c r="H16" s="30">
        <f t="shared" si="0"/>
        <v>0</v>
      </c>
      <c r="I16" s="7"/>
      <c r="J16" s="7"/>
      <c r="K16" s="7"/>
      <c r="L16" s="7"/>
      <c r="M16" s="7">
        <f t="shared" si="1"/>
        <v>0</v>
      </c>
    </row>
    <row r="17" spans="1:14" x14ac:dyDescent="0.3">
      <c r="A17" s="1">
        <f t="shared" si="2"/>
        <v>46247</v>
      </c>
      <c r="B17" s="4"/>
      <c r="C17" s="4"/>
      <c r="D17" s="13"/>
      <c r="E17" s="4"/>
      <c r="F17" s="16"/>
      <c r="G17" s="3"/>
      <c r="H17" s="30">
        <f t="shared" si="0"/>
        <v>0</v>
      </c>
      <c r="I17" s="7"/>
      <c r="J17" s="7"/>
      <c r="K17" s="217"/>
      <c r="L17" s="217"/>
      <c r="M17" s="7">
        <f t="shared" si="1"/>
        <v>0</v>
      </c>
    </row>
    <row r="18" spans="1:14" x14ac:dyDescent="0.3">
      <c r="A18" s="1">
        <f t="shared" si="2"/>
        <v>46248</v>
      </c>
      <c r="B18" s="4"/>
      <c r="C18" s="4"/>
      <c r="D18" s="13"/>
      <c r="E18" s="4"/>
      <c r="F18" s="16"/>
      <c r="G18" s="3"/>
      <c r="H18" s="30">
        <f t="shared" si="0"/>
        <v>0</v>
      </c>
      <c r="I18" s="7"/>
      <c r="J18" s="7"/>
      <c r="K18" s="7"/>
      <c r="L18" s="217"/>
      <c r="M18" s="7">
        <f t="shared" si="1"/>
        <v>0</v>
      </c>
    </row>
    <row r="19" spans="1:14" x14ac:dyDescent="0.3">
      <c r="A19" s="1">
        <f t="shared" si="2"/>
        <v>46249</v>
      </c>
      <c r="B19" s="4"/>
      <c r="C19" s="4"/>
      <c r="D19" s="13"/>
      <c r="E19" s="75"/>
      <c r="F19" s="16"/>
      <c r="G19" s="3"/>
      <c r="H19" s="30">
        <f t="shared" si="0"/>
        <v>0</v>
      </c>
      <c r="I19" s="7"/>
      <c r="J19" s="7"/>
      <c r="K19" s="7"/>
      <c r="L19" s="7"/>
      <c r="M19" s="7">
        <f t="shared" si="1"/>
        <v>0</v>
      </c>
    </row>
    <row r="20" spans="1:14" x14ac:dyDescent="0.3">
      <c r="A20" s="1">
        <f t="shared" si="2"/>
        <v>46250</v>
      </c>
      <c r="B20" s="4"/>
      <c r="C20" s="4"/>
      <c r="D20" s="13"/>
      <c r="E20" s="4"/>
      <c r="F20" s="16"/>
      <c r="G20" s="3"/>
      <c r="H20" s="30">
        <f t="shared" si="0"/>
        <v>0</v>
      </c>
      <c r="I20" s="7"/>
      <c r="J20" s="7"/>
      <c r="K20" s="7"/>
      <c r="L20" s="7"/>
      <c r="M20" s="7">
        <f t="shared" si="1"/>
        <v>0</v>
      </c>
    </row>
    <row r="21" spans="1:14" x14ac:dyDescent="0.3">
      <c r="A21" s="1">
        <f t="shared" si="2"/>
        <v>46251</v>
      </c>
      <c r="B21" s="4"/>
      <c r="C21" s="4"/>
      <c r="D21" s="13"/>
      <c r="E21" s="4"/>
      <c r="F21" s="16"/>
      <c r="G21" s="3"/>
      <c r="H21" s="30">
        <f t="shared" si="0"/>
        <v>0</v>
      </c>
      <c r="I21" s="7"/>
      <c r="J21" s="7"/>
      <c r="K21" s="7"/>
      <c r="L21" s="217"/>
      <c r="M21" s="7">
        <f t="shared" si="1"/>
        <v>0</v>
      </c>
    </row>
    <row r="22" spans="1:14" x14ac:dyDescent="0.3">
      <c r="A22" s="1">
        <f t="shared" si="2"/>
        <v>46252</v>
      </c>
      <c r="B22" s="4"/>
      <c r="C22" s="4"/>
      <c r="D22" s="13"/>
      <c r="E22" s="4"/>
      <c r="F22" s="16"/>
      <c r="G22" s="3"/>
      <c r="H22" s="30">
        <f t="shared" si="0"/>
        <v>0</v>
      </c>
      <c r="I22" s="7"/>
      <c r="J22" s="7"/>
      <c r="K22" s="7"/>
      <c r="L22" s="7"/>
      <c r="M22" s="7">
        <f t="shared" si="1"/>
        <v>0</v>
      </c>
    </row>
    <row r="23" spans="1:14" x14ac:dyDescent="0.3">
      <c r="A23" s="1">
        <f t="shared" si="2"/>
        <v>46253</v>
      </c>
      <c r="B23" s="4"/>
      <c r="C23" s="4"/>
      <c r="D23" s="13"/>
      <c r="E23" s="4"/>
      <c r="F23" s="16"/>
      <c r="G23" s="3"/>
      <c r="H23" s="30">
        <f t="shared" si="0"/>
        <v>0</v>
      </c>
      <c r="I23" s="7"/>
      <c r="J23" s="7"/>
      <c r="K23" s="7"/>
      <c r="L23" s="7"/>
      <c r="M23" s="7">
        <f t="shared" si="1"/>
        <v>0</v>
      </c>
    </row>
    <row r="24" spans="1:14" x14ac:dyDescent="0.3">
      <c r="A24" s="1">
        <f t="shared" si="2"/>
        <v>46254</v>
      </c>
      <c r="B24" s="4"/>
      <c r="C24" s="4"/>
      <c r="D24" s="13"/>
      <c r="E24" s="4"/>
      <c r="F24" s="16"/>
      <c r="G24" s="3"/>
      <c r="H24" s="30">
        <f t="shared" si="0"/>
        <v>0</v>
      </c>
      <c r="I24" s="7"/>
      <c r="J24" s="7"/>
      <c r="K24" s="7"/>
      <c r="L24" s="7"/>
      <c r="M24" s="7">
        <f t="shared" si="1"/>
        <v>0</v>
      </c>
    </row>
    <row r="25" spans="1:14" x14ac:dyDescent="0.3">
      <c r="A25" s="1">
        <f t="shared" si="2"/>
        <v>46255</v>
      </c>
      <c r="B25" s="75"/>
      <c r="C25" s="4"/>
      <c r="D25" s="13"/>
      <c r="E25" s="4"/>
      <c r="F25" s="16"/>
      <c r="G25" s="3"/>
      <c r="H25" s="30">
        <f t="shared" si="0"/>
        <v>0</v>
      </c>
      <c r="I25" s="7"/>
      <c r="J25" s="7"/>
      <c r="K25" s="7"/>
      <c r="L25" s="7"/>
      <c r="M25" s="7">
        <f t="shared" si="1"/>
        <v>0</v>
      </c>
    </row>
    <row r="26" spans="1:14" x14ac:dyDescent="0.3">
      <c r="A26" s="1">
        <f t="shared" si="2"/>
        <v>46256</v>
      </c>
      <c r="B26" s="65"/>
      <c r="C26" s="4"/>
      <c r="D26" s="13"/>
      <c r="E26" s="4"/>
      <c r="F26" s="16"/>
      <c r="G26" s="3"/>
      <c r="H26" s="30">
        <f t="shared" si="0"/>
        <v>0</v>
      </c>
      <c r="I26" s="7"/>
      <c r="J26" s="7"/>
      <c r="K26" s="7"/>
      <c r="L26" s="7"/>
      <c r="M26" s="7">
        <f t="shared" si="1"/>
        <v>0</v>
      </c>
    </row>
    <row r="27" spans="1:14" x14ac:dyDescent="0.3">
      <c r="A27" s="1">
        <f t="shared" si="2"/>
        <v>46257</v>
      </c>
      <c r="B27" s="4"/>
      <c r="C27" s="4"/>
      <c r="D27" s="13"/>
      <c r="E27" s="4"/>
      <c r="F27" s="16"/>
      <c r="G27" s="3"/>
      <c r="H27" s="30">
        <f t="shared" si="0"/>
        <v>0</v>
      </c>
      <c r="I27" s="7"/>
      <c r="J27" s="7"/>
      <c r="K27" s="7"/>
      <c r="L27" s="7"/>
      <c r="M27" s="7">
        <f t="shared" si="1"/>
        <v>0</v>
      </c>
      <c r="N27" s="230"/>
    </row>
    <row r="28" spans="1:14" x14ac:dyDescent="0.3">
      <c r="A28" s="1">
        <f t="shared" si="2"/>
        <v>46258</v>
      </c>
      <c r="B28" s="75"/>
      <c r="C28" s="4"/>
      <c r="D28" s="13"/>
      <c r="E28" s="4"/>
      <c r="F28" s="16"/>
      <c r="G28" s="3"/>
      <c r="H28" s="30">
        <f t="shared" si="0"/>
        <v>0</v>
      </c>
      <c r="I28" s="7"/>
      <c r="J28" s="7"/>
      <c r="K28" s="7"/>
      <c r="L28" s="7"/>
      <c r="M28" s="7">
        <f t="shared" si="1"/>
        <v>0</v>
      </c>
    </row>
    <row r="29" spans="1:14" x14ac:dyDescent="0.3">
      <c r="A29" s="1">
        <f t="shared" si="2"/>
        <v>46259</v>
      </c>
      <c r="B29" s="4"/>
      <c r="C29" s="4"/>
      <c r="D29" s="13"/>
      <c r="E29" s="4"/>
      <c r="F29" s="16"/>
      <c r="G29" s="3"/>
      <c r="H29" s="30">
        <f t="shared" si="0"/>
        <v>0</v>
      </c>
      <c r="I29" s="7"/>
      <c r="J29" s="7"/>
      <c r="K29" s="7"/>
      <c r="L29" s="7"/>
      <c r="M29" s="7">
        <f t="shared" si="1"/>
        <v>0</v>
      </c>
    </row>
    <row r="30" spans="1:14" x14ac:dyDescent="0.3">
      <c r="A30" s="1">
        <f t="shared" si="2"/>
        <v>46260</v>
      </c>
      <c r="B30" s="4"/>
      <c r="C30" s="4"/>
      <c r="D30" s="13"/>
      <c r="E30" s="4"/>
      <c r="F30" s="16"/>
      <c r="G30" s="3"/>
      <c r="H30" s="30">
        <f t="shared" si="0"/>
        <v>0</v>
      </c>
      <c r="I30" s="7"/>
      <c r="J30" s="7"/>
      <c r="K30" s="7"/>
      <c r="L30" s="7"/>
      <c r="M30" s="7">
        <f t="shared" si="1"/>
        <v>0</v>
      </c>
    </row>
    <row r="31" spans="1:14" x14ac:dyDescent="0.3">
      <c r="A31" s="1">
        <f t="shared" si="2"/>
        <v>46261</v>
      </c>
      <c r="B31" s="4"/>
      <c r="C31" s="4"/>
      <c r="D31" s="13"/>
      <c r="E31" s="4"/>
      <c r="F31" s="16"/>
      <c r="G31" s="3"/>
      <c r="H31" s="30">
        <f t="shared" si="0"/>
        <v>0</v>
      </c>
      <c r="I31" s="7"/>
      <c r="J31" s="7"/>
      <c r="K31" s="7"/>
      <c r="L31" s="7"/>
      <c r="M31" s="7">
        <f t="shared" si="1"/>
        <v>0</v>
      </c>
    </row>
    <row r="32" spans="1:14" x14ac:dyDescent="0.3">
      <c r="A32" s="1">
        <f t="shared" si="2"/>
        <v>46262</v>
      </c>
      <c r="B32" s="4"/>
      <c r="C32" s="4"/>
      <c r="D32" s="13"/>
      <c r="E32" s="4"/>
      <c r="F32" s="16"/>
      <c r="G32" s="3"/>
      <c r="H32" s="30">
        <f t="shared" si="0"/>
        <v>0</v>
      </c>
      <c r="I32" s="7"/>
      <c r="J32" s="7"/>
      <c r="K32" s="7"/>
      <c r="L32" s="7"/>
      <c r="M32" s="7">
        <f t="shared" si="1"/>
        <v>0</v>
      </c>
    </row>
    <row r="33" spans="1:13" x14ac:dyDescent="0.3">
      <c r="A33" s="1">
        <f t="shared" si="2"/>
        <v>46263</v>
      </c>
      <c r="B33" s="4"/>
      <c r="C33" s="75"/>
      <c r="D33" s="15"/>
      <c r="E33" s="5"/>
      <c r="F33" s="16"/>
      <c r="G33" s="3"/>
      <c r="H33" s="30">
        <f t="shared" si="0"/>
        <v>0</v>
      </c>
      <c r="I33" s="7"/>
      <c r="J33" s="7"/>
      <c r="K33" s="7"/>
      <c r="L33" s="7"/>
      <c r="M33" s="7">
        <f t="shared" si="1"/>
        <v>0</v>
      </c>
    </row>
    <row r="34" spans="1:13" x14ac:dyDescent="0.3">
      <c r="A34" s="1">
        <f t="shared" si="2"/>
        <v>46264</v>
      </c>
      <c r="B34" s="75"/>
      <c r="C34" s="4"/>
      <c r="D34" s="15"/>
      <c r="E34" s="5"/>
      <c r="F34" s="16"/>
      <c r="G34" s="3"/>
      <c r="H34" s="30">
        <f t="shared" si="0"/>
        <v>0</v>
      </c>
      <c r="I34" s="7"/>
      <c r="J34" s="7"/>
      <c r="K34" s="7"/>
      <c r="L34" s="7"/>
      <c r="M34" s="7">
        <f t="shared" si="1"/>
        <v>0</v>
      </c>
    </row>
    <row r="35" spans="1:13" ht="15" thickBot="1" x14ac:dyDescent="0.35">
      <c r="A35" s="1">
        <f t="shared" si="2"/>
        <v>46265</v>
      </c>
      <c r="B35" s="4"/>
      <c r="C35" s="4"/>
      <c r="D35" s="15"/>
      <c r="E35" s="5"/>
      <c r="F35" s="16"/>
      <c r="G35" s="3"/>
      <c r="H35" s="30">
        <f t="shared" si="0"/>
        <v>0</v>
      </c>
      <c r="I35" s="7"/>
      <c r="J35" s="7"/>
      <c r="K35" s="7"/>
      <c r="L35" s="7"/>
      <c r="M35" s="7">
        <f t="shared" si="1"/>
        <v>0</v>
      </c>
    </row>
    <row r="36" spans="1:13" ht="18" thickBot="1" x14ac:dyDescent="0.4">
      <c r="A36" s="2"/>
      <c r="B36" s="6">
        <f>+SUM(B3:B35)</f>
        <v>0</v>
      </c>
      <c r="C36" s="6">
        <f>+SUM(C4:C35)</f>
        <v>0</v>
      </c>
      <c r="D36" s="6">
        <f>+SUM(D5:D35)</f>
        <v>0</v>
      </c>
      <c r="E36" s="6">
        <f>+SUM(E5:E35)</f>
        <v>0</v>
      </c>
      <c r="F36" s="6">
        <f t="shared" ref="F36:M36" si="3">+SUM(F3:F35)</f>
        <v>0</v>
      </c>
      <c r="G36" s="6">
        <f t="shared" si="3"/>
        <v>0</v>
      </c>
      <c r="H36" s="6">
        <f t="shared" si="3"/>
        <v>0</v>
      </c>
      <c r="I36" s="6">
        <f t="shared" si="3"/>
        <v>0</v>
      </c>
      <c r="J36" s="6">
        <f t="shared" si="3"/>
        <v>0</v>
      </c>
      <c r="K36" s="6">
        <f t="shared" si="3"/>
        <v>0</v>
      </c>
      <c r="L36" s="6">
        <f t="shared" si="3"/>
        <v>0</v>
      </c>
      <c r="M36" s="6">
        <f t="shared" si="3"/>
        <v>0</v>
      </c>
    </row>
    <row r="37" spans="1:13" x14ac:dyDescent="0.3">
      <c r="D37" s="9"/>
    </row>
    <row r="38" spans="1:13" x14ac:dyDescent="0.3">
      <c r="B38" s="10" t="s">
        <v>4</v>
      </c>
      <c r="C38" s="17">
        <f>+B36-C36</f>
        <v>0</v>
      </c>
      <c r="D38" s="9"/>
    </row>
    <row r="39" spans="1:13" x14ac:dyDescent="0.3">
      <c r="B39" s="10" t="s">
        <v>5</v>
      </c>
      <c r="C39" s="18">
        <f>+C36-B36</f>
        <v>0</v>
      </c>
      <c r="D39" s="9"/>
    </row>
    <row r="40" spans="1:13" x14ac:dyDescent="0.3">
      <c r="B40" s="10" t="s">
        <v>18</v>
      </c>
      <c r="C40" s="163">
        <f>+H36</f>
        <v>0</v>
      </c>
    </row>
    <row r="41" spans="1:13" x14ac:dyDescent="0.3">
      <c r="B41" s="10" t="s">
        <v>14</v>
      </c>
      <c r="C41" s="163">
        <f>+M36</f>
        <v>0</v>
      </c>
    </row>
    <row r="42" spans="1:13" x14ac:dyDescent="0.3">
      <c r="B42" s="10"/>
      <c r="C42" s="11"/>
      <c r="F42" s="9"/>
    </row>
    <row r="43" spans="1:13" x14ac:dyDescent="0.3">
      <c r="B43" s="10" t="s">
        <v>5</v>
      </c>
      <c r="C43" s="11">
        <f>+C36</f>
        <v>0</v>
      </c>
    </row>
    <row r="44" spans="1:13" x14ac:dyDescent="0.3">
      <c r="B44" s="10" t="s">
        <v>16</v>
      </c>
      <c r="C44" s="11">
        <f>+E36</f>
        <v>0</v>
      </c>
    </row>
    <row r="45" spans="1:13" x14ac:dyDescent="0.3">
      <c r="B45" s="10" t="s">
        <v>11</v>
      </c>
      <c r="C45" s="11">
        <f>+I36</f>
        <v>0</v>
      </c>
    </row>
    <row r="46" spans="1:13" ht="17.399999999999999" customHeight="1" x14ac:dyDescent="0.3">
      <c r="B46" s="10" t="s">
        <v>12</v>
      </c>
      <c r="C46" s="11">
        <f>+J36</f>
        <v>0</v>
      </c>
    </row>
    <row r="47" spans="1:13" x14ac:dyDescent="0.3">
      <c r="B47" s="10" t="s">
        <v>104</v>
      </c>
      <c r="C47" s="11">
        <f>+L36</f>
        <v>0</v>
      </c>
      <c r="F47" s="9"/>
    </row>
    <row r="48" spans="1:13" x14ac:dyDescent="0.3">
      <c r="B48" s="10" t="s">
        <v>17</v>
      </c>
      <c r="C48" s="11">
        <f>+K36</f>
        <v>0</v>
      </c>
    </row>
    <row r="49" spans="2:3" x14ac:dyDescent="0.3">
      <c r="B49" s="10" t="s">
        <v>108</v>
      </c>
      <c r="C49" s="109">
        <f>+C50+C39</f>
        <v>0</v>
      </c>
    </row>
    <row r="50" spans="2:3" x14ac:dyDescent="0.3">
      <c r="B50" s="10" t="s">
        <v>19</v>
      </c>
      <c r="C50" s="164">
        <f>+C40*100</f>
        <v>0</v>
      </c>
    </row>
    <row r="51" spans="2:3" x14ac:dyDescent="0.3">
      <c r="B51" s="10" t="s">
        <v>468</v>
      </c>
      <c r="C51" s="163">
        <f>+C50+C41</f>
        <v>0</v>
      </c>
    </row>
    <row r="52" spans="2:3" x14ac:dyDescent="0.3">
      <c r="B52" s="10" t="s">
        <v>1904</v>
      </c>
      <c r="C52" s="164">
        <f>+C40*20</f>
        <v>0</v>
      </c>
    </row>
    <row r="53" spans="2:3" x14ac:dyDescent="0.3">
      <c r="B53" s="10"/>
      <c r="C53" s="164">
        <f t="shared" ref="C53:C56" si="4">+C41*20</f>
        <v>0</v>
      </c>
    </row>
    <row r="54" spans="2:3" x14ac:dyDescent="0.3">
      <c r="B54" s="10"/>
      <c r="C54" s="164">
        <f t="shared" si="4"/>
        <v>0</v>
      </c>
    </row>
    <row r="55" spans="2:3" x14ac:dyDescent="0.3">
      <c r="B55" s="10"/>
      <c r="C55" s="164">
        <f t="shared" si="4"/>
        <v>0</v>
      </c>
    </row>
    <row r="56" spans="2:3" x14ac:dyDescent="0.3">
      <c r="B56" s="98"/>
      <c r="C56" s="164">
        <f t="shared" si="4"/>
        <v>0</v>
      </c>
    </row>
    <row r="57" spans="2:3" x14ac:dyDescent="0.3">
      <c r="B57" s="10"/>
      <c r="C57" s="162"/>
    </row>
    <row r="58" spans="2:3" x14ac:dyDescent="0.3">
      <c r="B58" s="10" t="s">
        <v>10</v>
      </c>
      <c r="C58" s="163">
        <f>+C51-C52-C53-C54-C55-C56-C57</f>
        <v>0</v>
      </c>
    </row>
    <row r="59" spans="2:3" x14ac:dyDescent="0.3">
      <c r="B59" s="10" t="s">
        <v>5</v>
      </c>
      <c r="C59" s="163">
        <f>+C58/3</f>
        <v>0</v>
      </c>
    </row>
    <row r="60" spans="2:3" x14ac:dyDescent="0.3">
      <c r="B60" s="10" t="s">
        <v>469</v>
      </c>
      <c r="C60" s="163">
        <f>+C58/3</f>
        <v>0</v>
      </c>
    </row>
    <row r="61" spans="2:3" x14ac:dyDescent="0.3">
      <c r="B61" s="10" t="s">
        <v>24</v>
      </c>
      <c r="C61" s="163">
        <f>+C58/3</f>
        <v>0</v>
      </c>
    </row>
  </sheetData>
  <mergeCells count="1">
    <mergeCell ref="B1:M1"/>
  </mergeCells>
  <pageMargins left="0.7" right="0.7" top="0.75" bottom="0.75" header="0.3" footer="0.3"/>
  <pageSetup paperSize="9" scale="76" orientation="portrait" r:id="rId1"/>
  <rowBreaks count="1" manualBreakCount="1">
    <brk id="61" max="12" man="1"/>
  </rowBreaks>
  <colBreaks count="1" manualBreakCount="1">
    <brk id="7" max="6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T2556"/>
  <sheetViews>
    <sheetView view="pageBreakPreview" topLeftCell="F1" zoomScale="115" zoomScaleNormal="130" zoomScaleSheetLayoutView="115" workbookViewId="0">
      <pane ySplit="3" topLeftCell="A550" activePane="bottomLeft" state="frozen"/>
      <selection pane="bottomLeft" activeCell="P1044" sqref="P1044"/>
    </sheetView>
  </sheetViews>
  <sheetFormatPr defaultRowHeight="14.4" x14ac:dyDescent="0.3"/>
  <cols>
    <col min="1" max="2" width="15.6640625" style="9" customWidth="1"/>
    <col min="3" max="3" width="18.109375" bestFit="1" customWidth="1"/>
    <col min="4" max="4" width="18.33203125" bestFit="1" customWidth="1"/>
    <col min="5" max="5" width="20.6640625" style="9" bestFit="1" customWidth="1"/>
    <col min="6" max="6" width="13.109375" style="9" bestFit="1" customWidth="1"/>
    <col min="7" max="7" width="11.44140625" style="9" bestFit="1" customWidth="1"/>
    <col min="8" max="8" width="10.88671875" style="9" customWidth="1"/>
    <col min="9" max="9" width="14.44140625" style="9" bestFit="1" customWidth="1"/>
    <col min="10" max="10" width="10.88671875" style="9" customWidth="1"/>
    <col min="11" max="11" width="9" style="9" customWidth="1"/>
    <col min="12" max="12" width="15.77734375" style="9" customWidth="1"/>
    <col min="13" max="13" width="18.21875" customWidth="1"/>
    <col min="14" max="14" width="17" customWidth="1"/>
    <col min="15" max="15" width="7.6640625" style="136" customWidth="1"/>
    <col min="16" max="16" width="19.33203125" style="139" customWidth="1"/>
    <col min="17" max="17" width="14" style="139" customWidth="1"/>
  </cols>
  <sheetData>
    <row r="1" spans="1:17" s="53" customFormat="1" ht="51.75" customHeight="1" x14ac:dyDescent="0.3">
      <c r="A1" s="56" t="s">
        <v>0</v>
      </c>
      <c r="B1" s="56" t="s">
        <v>21</v>
      </c>
      <c r="C1" s="56" t="s">
        <v>66</v>
      </c>
      <c r="D1" s="56" t="s">
        <v>67</v>
      </c>
      <c r="E1" s="56" t="s">
        <v>58</v>
      </c>
      <c r="F1" s="56" t="s">
        <v>59</v>
      </c>
      <c r="G1" s="56" t="s">
        <v>60</v>
      </c>
      <c r="H1" s="56" t="s">
        <v>61</v>
      </c>
      <c r="I1" s="56" t="s">
        <v>65</v>
      </c>
      <c r="J1" s="56" t="s">
        <v>62</v>
      </c>
      <c r="K1" s="56" t="s">
        <v>63</v>
      </c>
      <c r="L1" s="56" t="s">
        <v>64</v>
      </c>
      <c r="M1" s="98" t="s">
        <v>22</v>
      </c>
      <c r="N1" s="96">
        <f>+N2+B3</f>
        <v>1184935388.4260025</v>
      </c>
      <c r="O1" s="134"/>
      <c r="P1" s="140" t="s">
        <v>232</v>
      </c>
      <c r="Q1" s="140" t="s">
        <v>14</v>
      </c>
    </row>
    <row r="2" spans="1:17" s="53" customFormat="1" ht="16.2" thickBot="1" x14ac:dyDescent="0.3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8" t="s">
        <v>5</v>
      </c>
      <c r="N2" s="97">
        <f>+L3-C3</f>
        <v>724437440.4260025</v>
      </c>
      <c r="O2" s="134"/>
      <c r="P2" s="138"/>
      <c r="Q2" s="138"/>
    </row>
    <row r="3" spans="1:17" s="53" customFormat="1" ht="16.2" thickBot="1" x14ac:dyDescent="0.35">
      <c r="A3" s="95"/>
      <c r="B3" s="95">
        <f>+SUM(B4:B9995)</f>
        <v>460497948</v>
      </c>
      <c r="C3" s="95">
        <f>+SUM(C4:C9995)</f>
        <v>24681400060</v>
      </c>
      <c r="D3" s="95"/>
      <c r="E3" s="95"/>
      <c r="F3" s="95">
        <f>+SUM(F4:F9995)</f>
        <v>13815660</v>
      </c>
      <c r="G3" s="95">
        <f>+SUM(G4:G9995)</f>
        <v>6833940</v>
      </c>
      <c r="H3" s="95">
        <f>+SUM(H4:H9995)</f>
        <v>6981720</v>
      </c>
      <c r="I3" s="95"/>
      <c r="J3" s="95">
        <f>+SUM(J4:J9995)</f>
        <v>6828721.2322000042</v>
      </c>
      <c r="K3" s="95"/>
      <c r="L3" s="95">
        <f>+SUM(L4:L9995)+857286788</f>
        <v>25405837500.426003</v>
      </c>
      <c r="M3" s="98" t="s">
        <v>20</v>
      </c>
      <c r="N3" s="111">
        <f>+C3-L3-B3</f>
        <v>-1184935388.4260025</v>
      </c>
      <c r="O3" s="135"/>
      <c r="P3" s="138"/>
      <c r="Q3" s="138"/>
    </row>
    <row r="4" spans="1:17" hidden="1" x14ac:dyDescent="0.3">
      <c r="A4" s="54" t="s">
        <v>117</v>
      </c>
      <c r="B4" s="54"/>
      <c r="C4" s="54">
        <v>955000</v>
      </c>
      <c r="D4" s="54" t="s">
        <v>118</v>
      </c>
      <c r="E4" s="54" t="s">
        <v>155</v>
      </c>
      <c r="F4" s="57">
        <v>27180</v>
      </c>
      <c r="G4" s="57">
        <v>13460</v>
      </c>
      <c r="H4" s="54">
        <f t="shared" ref="H4:H9" si="0">+F4-G4</f>
        <v>13720</v>
      </c>
      <c r="I4" s="58">
        <v>3</v>
      </c>
      <c r="J4" s="54">
        <f t="shared" ref="J4:J35" si="1">+H4-H4*I4/100</f>
        <v>13308.4</v>
      </c>
      <c r="K4" s="57">
        <v>3350</v>
      </c>
      <c r="L4" s="54">
        <f t="shared" ref="L4:L9" si="2">+J4*K4</f>
        <v>44583140</v>
      </c>
    </row>
    <row r="5" spans="1:17" hidden="1" x14ac:dyDescent="0.3">
      <c r="A5" s="54"/>
      <c r="B5" s="54"/>
      <c r="C5" s="54">
        <v>120000000</v>
      </c>
      <c r="D5" s="54" t="s">
        <v>123</v>
      </c>
      <c r="E5" s="55" t="s">
        <v>122</v>
      </c>
      <c r="F5" s="57">
        <v>22050</v>
      </c>
      <c r="G5" s="57">
        <v>9970</v>
      </c>
      <c r="H5" s="54">
        <f t="shared" si="0"/>
        <v>12080</v>
      </c>
      <c r="I5" s="58">
        <v>2</v>
      </c>
      <c r="J5" s="54">
        <f t="shared" si="1"/>
        <v>11838.4</v>
      </c>
      <c r="K5" s="57">
        <v>3650</v>
      </c>
      <c r="L5" s="54">
        <f t="shared" si="2"/>
        <v>43210160</v>
      </c>
    </row>
    <row r="6" spans="1:17" hidden="1" x14ac:dyDescent="0.3">
      <c r="B6" s="54"/>
      <c r="C6" s="54">
        <v>36065000</v>
      </c>
      <c r="D6" s="54" t="s">
        <v>124</v>
      </c>
      <c r="E6" s="55"/>
      <c r="F6" s="57"/>
      <c r="G6" s="57"/>
      <c r="H6" s="54">
        <f t="shared" si="0"/>
        <v>0</v>
      </c>
      <c r="I6" s="58"/>
      <c r="J6" s="54">
        <f t="shared" si="1"/>
        <v>0</v>
      </c>
      <c r="K6" s="57"/>
      <c r="L6" s="54">
        <f t="shared" si="2"/>
        <v>0</v>
      </c>
    </row>
    <row r="7" spans="1:17" hidden="1" x14ac:dyDescent="0.3">
      <c r="A7" s="54" t="s">
        <v>135</v>
      </c>
      <c r="B7" s="54"/>
      <c r="C7" s="54">
        <v>242000000</v>
      </c>
      <c r="D7" s="54" t="s">
        <v>140</v>
      </c>
      <c r="E7" s="55" t="s">
        <v>141</v>
      </c>
      <c r="F7" s="57">
        <v>23140</v>
      </c>
      <c r="G7" s="57">
        <v>10880</v>
      </c>
      <c r="H7" s="54">
        <f t="shared" si="0"/>
        <v>12260</v>
      </c>
      <c r="I7" s="58">
        <v>2</v>
      </c>
      <c r="J7" s="54">
        <f t="shared" si="1"/>
        <v>12014.8</v>
      </c>
      <c r="K7" s="57">
        <v>3650</v>
      </c>
      <c r="L7" s="54">
        <f t="shared" si="2"/>
        <v>43854020</v>
      </c>
    </row>
    <row r="8" spans="1:17" hidden="1" x14ac:dyDescent="0.3">
      <c r="A8" s="54"/>
      <c r="B8" s="54"/>
      <c r="C8" s="54"/>
      <c r="D8" s="54"/>
      <c r="E8" s="55" t="s">
        <v>142</v>
      </c>
      <c r="F8" s="57">
        <v>30000</v>
      </c>
      <c r="G8" s="57">
        <v>10170</v>
      </c>
      <c r="H8" s="54">
        <f t="shared" si="0"/>
        <v>19830</v>
      </c>
      <c r="I8" s="58"/>
      <c r="J8" s="54">
        <f t="shared" si="1"/>
        <v>19830</v>
      </c>
      <c r="K8" s="57">
        <v>3650</v>
      </c>
      <c r="L8" s="54">
        <f t="shared" si="2"/>
        <v>72379500</v>
      </c>
    </row>
    <row r="9" spans="1:17" hidden="1" x14ac:dyDescent="0.3">
      <c r="A9" s="54"/>
      <c r="B9" s="54"/>
      <c r="C9" s="54"/>
      <c r="D9" s="54"/>
      <c r="E9" s="55" t="s">
        <v>143</v>
      </c>
      <c r="F9" s="57">
        <v>39910</v>
      </c>
      <c r="G9" s="57">
        <v>13310</v>
      </c>
      <c r="H9" s="54">
        <f t="shared" si="0"/>
        <v>26600</v>
      </c>
      <c r="I9" s="58"/>
      <c r="J9" s="54">
        <f t="shared" si="1"/>
        <v>26600</v>
      </c>
      <c r="K9" s="57">
        <v>3650</v>
      </c>
      <c r="L9" s="54">
        <f t="shared" si="2"/>
        <v>97090000</v>
      </c>
      <c r="M9" t="s">
        <v>109</v>
      </c>
    </row>
    <row r="10" spans="1:17" hidden="1" x14ac:dyDescent="0.3">
      <c r="A10" s="54"/>
      <c r="B10" s="54"/>
      <c r="C10" s="54"/>
      <c r="D10" s="54"/>
      <c r="E10" s="55" t="s">
        <v>144</v>
      </c>
      <c r="F10" s="57">
        <v>26720</v>
      </c>
      <c r="G10" s="57">
        <v>9580</v>
      </c>
      <c r="H10" s="54">
        <f t="shared" ref="H10:H26" si="3">+F10-G10</f>
        <v>17140</v>
      </c>
      <c r="I10" s="58"/>
      <c r="J10" s="54">
        <f t="shared" si="1"/>
        <v>17140</v>
      </c>
      <c r="K10" s="57">
        <v>3650</v>
      </c>
      <c r="L10" s="54">
        <f t="shared" ref="L10:L26" si="4">+J10*K10</f>
        <v>62561000</v>
      </c>
      <c r="N10" t="s">
        <v>33</v>
      </c>
    </row>
    <row r="11" spans="1:17" hidden="1" x14ac:dyDescent="0.3">
      <c r="A11" s="54"/>
      <c r="B11" s="54"/>
      <c r="C11" s="54">
        <v>3370000</v>
      </c>
      <c r="D11" s="54" t="s">
        <v>149</v>
      </c>
      <c r="E11" s="55" t="s">
        <v>147</v>
      </c>
      <c r="F11" s="57">
        <v>37120</v>
      </c>
      <c r="G11" s="57">
        <v>13380</v>
      </c>
      <c r="H11" s="54">
        <f t="shared" si="3"/>
        <v>23740</v>
      </c>
      <c r="I11" s="58">
        <v>2</v>
      </c>
      <c r="J11" s="54">
        <f t="shared" si="1"/>
        <v>23265.200000000001</v>
      </c>
      <c r="K11" s="57">
        <v>3350</v>
      </c>
      <c r="L11" s="54">
        <f t="shared" si="4"/>
        <v>77938420</v>
      </c>
    </row>
    <row r="12" spans="1:17" hidden="1" x14ac:dyDescent="0.3">
      <c r="A12" s="54" t="s">
        <v>153</v>
      </c>
      <c r="B12" s="54"/>
      <c r="C12" s="54"/>
      <c r="D12" s="54"/>
      <c r="E12" s="55" t="s">
        <v>156</v>
      </c>
      <c r="F12" s="57">
        <v>26180</v>
      </c>
      <c r="G12" s="57">
        <v>12980</v>
      </c>
      <c r="H12" s="54">
        <f t="shared" si="3"/>
        <v>13200</v>
      </c>
      <c r="I12" s="58">
        <v>2</v>
      </c>
      <c r="J12" s="54">
        <f t="shared" si="1"/>
        <v>12936</v>
      </c>
      <c r="K12" s="57">
        <v>3350</v>
      </c>
      <c r="L12" s="54">
        <f t="shared" si="4"/>
        <v>43335600</v>
      </c>
      <c r="M12" t="s">
        <v>33</v>
      </c>
    </row>
    <row r="13" spans="1:17" hidden="1" x14ac:dyDescent="0.3">
      <c r="A13" s="54"/>
      <c r="B13" s="54"/>
      <c r="C13" s="54"/>
      <c r="D13" s="54"/>
      <c r="E13" s="55" t="s">
        <v>157</v>
      </c>
      <c r="F13" s="57">
        <v>25480</v>
      </c>
      <c r="G13" s="57">
        <v>9460</v>
      </c>
      <c r="H13" s="54">
        <f t="shared" si="3"/>
        <v>16020</v>
      </c>
      <c r="I13" s="58">
        <v>1</v>
      </c>
      <c r="J13" s="54">
        <f t="shared" si="1"/>
        <v>15859.8</v>
      </c>
      <c r="K13" s="57">
        <v>3650</v>
      </c>
      <c r="L13" s="54">
        <f t="shared" si="4"/>
        <v>57888270</v>
      </c>
    </row>
    <row r="14" spans="1:17" hidden="1" x14ac:dyDescent="0.3">
      <c r="A14" s="54"/>
      <c r="B14" s="54" t="s">
        <v>33</v>
      </c>
      <c r="C14" s="54"/>
      <c r="D14" s="54"/>
      <c r="E14" s="55" t="s">
        <v>158</v>
      </c>
      <c r="F14" s="57">
        <v>15920</v>
      </c>
      <c r="G14" s="57">
        <v>9140</v>
      </c>
      <c r="H14" s="54">
        <f t="shared" si="3"/>
        <v>6780</v>
      </c>
      <c r="I14" s="58">
        <v>2</v>
      </c>
      <c r="J14" s="54">
        <f t="shared" si="1"/>
        <v>6644.4</v>
      </c>
      <c r="K14" s="57">
        <v>3900</v>
      </c>
      <c r="L14" s="54">
        <f t="shared" si="4"/>
        <v>25913160</v>
      </c>
    </row>
    <row r="15" spans="1:17" hidden="1" x14ac:dyDescent="0.3">
      <c r="A15" s="54"/>
      <c r="B15" s="54"/>
      <c r="C15" s="54">
        <f>650*3650</f>
        <v>2372500</v>
      </c>
      <c r="D15" s="54" t="s">
        <v>169</v>
      </c>
      <c r="E15" s="55"/>
      <c r="F15" s="57"/>
      <c r="G15" s="57"/>
      <c r="H15" s="54">
        <f t="shared" si="3"/>
        <v>0</v>
      </c>
      <c r="I15" s="58"/>
      <c r="J15" s="54">
        <f t="shared" si="1"/>
        <v>0</v>
      </c>
      <c r="K15" s="57"/>
      <c r="L15" s="54">
        <f t="shared" si="4"/>
        <v>0</v>
      </c>
    </row>
    <row r="16" spans="1:17" hidden="1" x14ac:dyDescent="0.3">
      <c r="A16" s="54" t="s">
        <v>170</v>
      </c>
      <c r="B16" s="54"/>
      <c r="C16" s="54">
        <f>40000*12250</f>
        <v>490000000</v>
      </c>
      <c r="D16" s="54" t="s">
        <v>171</v>
      </c>
      <c r="E16" s="55" t="s">
        <v>172</v>
      </c>
      <c r="F16" s="57">
        <v>10790</v>
      </c>
      <c r="G16" s="57">
        <v>4900</v>
      </c>
      <c r="H16" s="54">
        <f t="shared" si="3"/>
        <v>5890</v>
      </c>
      <c r="I16" s="58">
        <v>2</v>
      </c>
      <c r="J16" s="54">
        <f t="shared" si="1"/>
        <v>5772.2</v>
      </c>
      <c r="K16" s="57">
        <v>3900</v>
      </c>
      <c r="L16" s="54">
        <f t="shared" si="4"/>
        <v>22511580</v>
      </c>
      <c r="Q16" s="139" t="s">
        <v>33</v>
      </c>
    </row>
    <row r="17" spans="1:17" hidden="1" x14ac:dyDescent="0.3">
      <c r="A17" s="54"/>
      <c r="B17" s="54"/>
      <c r="C17" s="54"/>
      <c r="D17" s="54"/>
      <c r="E17" s="55" t="s">
        <v>173</v>
      </c>
      <c r="F17" s="57">
        <v>25400</v>
      </c>
      <c r="G17" s="57">
        <v>11160</v>
      </c>
      <c r="H17" s="54">
        <f t="shared" si="3"/>
        <v>14240</v>
      </c>
      <c r="I17" s="58">
        <v>2</v>
      </c>
      <c r="J17" s="54">
        <f t="shared" si="1"/>
        <v>13955.2</v>
      </c>
      <c r="K17" s="57">
        <v>3600</v>
      </c>
      <c r="L17" s="54">
        <f t="shared" si="4"/>
        <v>50238720</v>
      </c>
    </row>
    <row r="18" spans="1:17" hidden="1" x14ac:dyDescent="0.3">
      <c r="A18" s="54"/>
      <c r="B18" s="54"/>
      <c r="C18" s="54">
        <v>300000</v>
      </c>
      <c r="D18" s="54" t="s">
        <v>174</v>
      </c>
      <c r="E18" s="55" t="s">
        <v>175</v>
      </c>
      <c r="F18" s="57">
        <v>23820</v>
      </c>
      <c r="G18" s="57">
        <v>9240</v>
      </c>
      <c r="H18" s="54">
        <f t="shared" si="3"/>
        <v>14580</v>
      </c>
      <c r="I18" s="58">
        <v>2</v>
      </c>
      <c r="J18" s="54">
        <f t="shared" si="1"/>
        <v>14288.4</v>
      </c>
      <c r="K18" s="57">
        <v>3650</v>
      </c>
      <c r="L18" s="54">
        <f t="shared" si="4"/>
        <v>52152660</v>
      </c>
    </row>
    <row r="19" spans="1:17" hidden="1" x14ac:dyDescent="0.3">
      <c r="A19" s="54"/>
      <c r="B19" s="54"/>
      <c r="C19" s="54">
        <v>300000</v>
      </c>
      <c r="D19" s="54" t="s">
        <v>176</v>
      </c>
      <c r="E19" s="55" t="s">
        <v>177</v>
      </c>
      <c r="F19" s="57">
        <v>24980</v>
      </c>
      <c r="G19" s="57">
        <v>12900</v>
      </c>
      <c r="H19" s="54">
        <f t="shared" si="3"/>
        <v>12080</v>
      </c>
      <c r="I19" s="58">
        <v>3</v>
      </c>
      <c r="J19" s="54">
        <f t="shared" si="1"/>
        <v>11717.6</v>
      </c>
      <c r="K19" s="57">
        <v>3350</v>
      </c>
      <c r="L19" s="54">
        <f t="shared" si="4"/>
        <v>39253960</v>
      </c>
    </row>
    <row r="20" spans="1:17" hidden="1" x14ac:dyDescent="0.3">
      <c r="A20" s="54"/>
      <c r="B20" s="54"/>
      <c r="C20" s="54"/>
      <c r="D20" s="54"/>
      <c r="E20" s="55" t="s">
        <v>178</v>
      </c>
      <c r="F20" s="57">
        <v>25120</v>
      </c>
      <c r="G20" s="57">
        <v>9960</v>
      </c>
      <c r="H20" s="54">
        <f t="shared" si="3"/>
        <v>15160</v>
      </c>
      <c r="I20" s="58">
        <v>1</v>
      </c>
      <c r="J20" s="54">
        <f t="shared" si="1"/>
        <v>15008.4</v>
      </c>
      <c r="K20" s="57">
        <v>3650</v>
      </c>
      <c r="L20" s="54">
        <f t="shared" si="4"/>
        <v>54780660</v>
      </c>
    </row>
    <row r="21" spans="1:17" hidden="1" x14ac:dyDescent="0.3">
      <c r="A21" s="54"/>
      <c r="B21" s="54"/>
      <c r="C21" s="54"/>
      <c r="D21" s="54"/>
      <c r="E21" s="55" t="s">
        <v>179</v>
      </c>
      <c r="F21" s="57">
        <v>21980</v>
      </c>
      <c r="G21" s="57">
        <v>12750</v>
      </c>
      <c r="H21" s="54">
        <f t="shared" si="3"/>
        <v>9230</v>
      </c>
      <c r="I21" s="58">
        <v>2</v>
      </c>
      <c r="J21" s="54">
        <f t="shared" si="1"/>
        <v>9045.4</v>
      </c>
      <c r="K21" s="57">
        <v>3650</v>
      </c>
      <c r="L21" s="54">
        <f t="shared" si="4"/>
        <v>33015710</v>
      </c>
    </row>
    <row r="22" spans="1:17" hidden="1" x14ac:dyDescent="0.3">
      <c r="B22" s="54"/>
      <c r="C22" s="54"/>
      <c r="D22" s="54"/>
      <c r="E22" s="55" t="s">
        <v>180</v>
      </c>
      <c r="F22" s="57">
        <v>25530</v>
      </c>
      <c r="G22" s="57">
        <v>11460</v>
      </c>
      <c r="H22" s="54">
        <f t="shared" si="3"/>
        <v>14070</v>
      </c>
      <c r="I22" s="58">
        <v>2</v>
      </c>
      <c r="J22" s="54">
        <f t="shared" si="1"/>
        <v>13788.6</v>
      </c>
      <c r="K22" s="57">
        <v>3650</v>
      </c>
      <c r="L22" s="54">
        <f t="shared" si="4"/>
        <v>50328390</v>
      </c>
    </row>
    <row r="23" spans="1:17" hidden="1" x14ac:dyDescent="0.3">
      <c r="A23" s="54"/>
      <c r="B23" s="54"/>
      <c r="C23" s="54">
        <v>325000</v>
      </c>
      <c r="D23" t="s">
        <v>181</v>
      </c>
      <c r="E23" s="55" t="s">
        <v>182</v>
      </c>
      <c r="F23" s="57">
        <v>25520</v>
      </c>
      <c r="G23" s="57">
        <v>14820</v>
      </c>
      <c r="H23" s="54">
        <f t="shared" si="3"/>
        <v>10700</v>
      </c>
      <c r="I23" s="58">
        <v>3</v>
      </c>
      <c r="J23" s="54">
        <f t="shared" si="1"/>
        <v>10379</v>
      </c>
      <c r="K23" s="57">
        <v>3350</v>
      </c>
      <c r="L23" s="54">
        <f t="shared" si="4"/>
        <v>34769650</v>
      </c>
    </row>
    <row r="24" spans="1:17" hidden="1" x14ac:dyDescent="0.3">
      <c r="A24" s="54" t="s">
        <v>199</v>
      </c>
      <c r="B24" s="54"/>
      <c r="C24" s="54">
        <f>10000*12250</f>
        <v>122500000</v>
      </c>
      <c r="D24" s="54"/>
      <c r="E24" s="55" t="s">
        <v>202</v>
      </c>
      <c r="F24" s="57">
        <v>10580</v>
      </c>
      <c r="G24" s="57">
        <v>5160</v>
      </c>
      <c r="H24" s="54">
        <f t="shared" si="3"/>
        <v>5420</v>
      </c>
      <c r="I24" s="58">
        <v>2</v>
      </c>
      <c r="J24" s="54">
        <f t="shared" si="1"/>
        <v>5311.6</v>
      </c>
      <c r="K24" s="57">
        <v>3900</v>
      </c>
      <c r="L24" s="54">
        <f t="shared" si="4"/>
        <v>20715240</v>
      </c>
    </row>
    <row r="25" spans="1:17" hidden="1" x14ac:dyDescent="0.3">
      <c r="A25" s="54"/>
      <c r="B25" s="54"/>
      <c r="C25" s="54"/>
      <c r="D25" s="54"/>
      <c r="E25" s="55" t="s">
        <v>203</v>
      </c>
      <c r="F25" s="57">
        <v>9500</v>
      </c>
      <c r="G25" s="57">
        <v>4670</v>
      </c>
      <c r="H25" s="54">
        <f t="shared" si="3"/>
        <v>4830</v>
      </c>
      <c r="I25" s="58">
        <v>2</v>
      </c>
      <c r="J25" s="54">
        <f t="shared" si="1"/>
        <v>4733.3999999999996</v>
      </c>
      <c r="K25" s="57">
        <v>3900</v>
      </c>
      <c r="L25" s="54">
        <f t="shared" si="4"/>
        <v>18460260</v>
      </c>
    </row>
    <row r="26" spans="1:17" hidden="1" x14ac:dyDescent="0.3">
      <c r="A26" s="54"/>
      <c r="B26" s="54"/>
      <c r="C26" s="54">
        <v>380000</v>
      </c>
      <c r="D26" s="54" t="s">
        <v>207</v>
      </c>
      <c r="E26" s="55" t="s">
        <v>204</v>
      </c>
      <c r="F26" s="57">
        <v>29400</v>
      </c>
      <c r="G26" s="57">
        <v>9800</v>
      </c>
      <c r="H26" s="54">
        <f t="shared" si="3"/>
        <v>19600</v>
      </c>
      <c r="I26" s="58">
        <v>2</v>
      </c>
      <c r="J26" s="54">
        <f t="shared" si="1"/>
        <v>19208</v>
      </c>
      <c r="K26" s="57">
        <v>3650</v>
      </c>
      <c r="L26" s="54">
        <f t="shared" si="4"/>
        <v>70109200</v>
      </c>
    </row>
    <row r="27" spans="1:17" hidden="1" x14ac:dyDescent="0.3">
      <c r="A27" s="54"/>
      <c r="B27" s="54"/>
      <c r="C27" s="54">
        <v>700000</v>
      </c>
      <c r="D27" s="54" t="s">
        <v>206</v>
      </c>
      <c r="E27" s="55" t="s">
        <v>205</v>
      </c>
      <c r="F27" s="57">
        <v>24080</v>
      </c>
      <c r="G27" s="57">
        <v>14040</v>
      </c>
      <c r="H27" s="54">
        <f t="shared" ref="H27:H90" si="5">+F27-G27</f>
        <v>10040</v>
      </c>
      <c r="I27" s="58">
        <v>3.6</v>
      </c>
      <c r="J27" s="54">
        <f t="shared" si="1"/>
        <v>9678.56</v>
      </c>
      <c r="K27" s="57">
        <v>3350</v>
      </c>
      <c r="L27" s="54">
        <f t="shared" ref="L27:L90" si="6">+J27*K27</f>
        <v>32423176</v>
      </c>
      <c r="N27" s="9"/>
      <c r="O27" s="137"/>
    </row>
    <row r="28" spans="1:17" hidden="1" x14ac:dyDescent="0.3">
      <c r="A28" s="54" t="s">
        <v>219</v>
      </c>
      <c r="B28" s="54"/>
      <c r="C28" s="54">
        <f>16000*12270</f>
        <v>196320000</v>
      </c>
      <c r="D28" s="54" t="s">
        <v>224</v>
      </c>
      <c r="E28" s="55" t="s">
        <v>225</v>
      </c>
      <c r="F28" s="57">
        <v>22200</v>
      </c>
      <c r="G28" s="57">
        <v>9830</v>
      </c>
      <c r="H28" s="54">
        <f t="shared" si="5"/>
        <v>12370</v>
      </c>
      <c r="I28" s="58">
        <v>2</v>
      </c>
      <c r="J28" s="54">
        <f t="shared" si="1"/>
        <v>12122.6</v>
      </c>
      <c r="K28" s="57">
        <v>3650</v>
      </c>
      <c r="L28" s="54">
        <f t="shared" si="6"/>
        <v>44247490</v>
      </c>
      <c r="M28" s="9"/>
      <c r="N28" s="9"/>
      <c r="O28" s="137"/>
      <c r="P28" s="139">
        <v>43100000</v>
      </c>
      <c r="Q28" s="139">
        <f t="shared" ref="Q28:Q91" si="7">+L28-P28</f>
        <v>1147490</v>
      </c>
    </row>
    <row r="29" spans="1:17" ht="15.6" hidden="1" x14ac:dyDescent="0.3">
      <c r="A29" s="54"/>
      <c r="B29" s="54"/>
      <c r="C29" s="112"/>
      <c r="D29" s="54"/>
      <c r="E29" s="55" t="s">
        <v>226</v>
      </c>
      <c r="F29" s="57">
        <v>26520</v>
      </c>
      <c r="G29" s="57">
        <v>13300</v>
      </c>
      <c r="H29" s="54">
        <f t="shared" si="5"/>
        <v>13220</v>
      </c>
      <c r="I29" s="58">
        <v>2.6</v>
      </c>
      <c r="J29" s="54">
        <f t="shared" si="1"/>
        <v>12876.28</v>
      </c>
      <c r="K29" s="57">
        <v>3350</v>
      </c>
      <c r="L29" s="54">
        <f t="shared" si="6"/>
        <v>43135538</v>
      </c>
      <c r="M29" s="9"/>
      <c r="N29" s="9"/>
      <c r="O29" s="137"/>
      <c r="P29" s="139">
        <v>42474000</v>
      </c>
      <c r="Q29" s="139">
        <f t="shared" si="7"/>
        <v>661538</v>
      </c>
    </row>
    <row r="30" spans="1:17" hidden="1" x14ac:dyDescent="0.3">
      <c r="A30" s="54"/>
      <c r="B30" s="54"/>
      <c r="C30" s="54">
        <v>645000</v>
      </c>
      <c r="D30" s="54" t="s">
        <v>228</v>
      </c>
      <c r="E30" s="55" t="s">
        <v>227</v>
      </c>
      <c r="F30" s="57">
        <v>17620</v>
      </c>
      <c r="G30" s="57">
        <v>10200</v>
      </c>
      <c r="H30" s="54">
        <f t="shared" si="5"/>
        <v>7420</v>
      </c>
      <c r="I30" s="58">
        <v>2</v>
      </c>
      <c r="J30" s="54">
        <f t="shared" si="1"/>
        <v>7271.6</v>
      </c>
      <c r="K30" s="57">
        <v>3650</v>
      </c>
      <c r="L30" s="54">
        <f t="shared" si="6"/>
        <v>26541340</v>
      </c>
      <c r="M30" s="9"/>
      <c r="N30" s="9"/>
      <c r="O30" s="137"/>
      <c r="P30" s="139">
        <v>25645000</v>
      </c>
      <c r="Q30" s="139">
        <f t="shared" si="7"/>
        <v>896340</v>
      </c>
    </row>
    <row r="31" spans="1:17" hidden="1" x14ac:dyDescent="0.3">
      <c r="A31" s="54"/>
      <c r="B31" s="54"/>
      <c r="C31" s="54">
        <v>365000</v>
      </c>
      <c r="D31" s="54" t="s">
        <v>230</v>
      </c>
      <c r="E31" s="55" t="s">
        <v>229</v>
      </c>
      <c r="F31" s="57">
        <v>17940</v>
      </c>
      <c r="G31" s="57">
        <v>9400</v>
      </c>
      <c r="H31" s="54">
        <f t="shared" si="5"/>
        <v>8540</v>
      </c>
      <c r="I31" s="58">
        <v>2</v>
      </c>
      <c r="J31" s="54">
        <f t="shared" si="1"/>
        <v>8369.2000000000007</v>
      </c>
      <c r="K31" s="57">
        <v>3650</v>
      </c>
      <c r="L31" s="54">
        <f t="shared" si="6"/>
        <v>30547580.000000004</v>
      </c>
      <c r="M31" s="9"/>
      <c r="N31" s="9"/>
      <c r="O31" s="137"/>
      <c r="P31" s="139">
        <v>29525000</v>
      </c>
      <c r="Q31" s="139">
        <f t="shared" si="7"/>
        <v>1022580.0000000037</v>
      </c>
    </row>
    <row r="32" spans="1:17" hidden="1" x14ac:dyDescent="0.3">
      <c r="A32" s="54"/>
      <c r="B32" s="54"/>
      <c r="C32" s="54"/>
      <c r="D32" s="54"/>
      <c r="E32" s="55" t="s">
        <v>231</v>
      </c>
      <c r="F32" s="57">
        <v>32900</v>
      </c>
      <c r="G32" s="57">
        <v>12460</v>
      </c>
      <c r="H32" s="54">
        <f t="shared" si="5"/>
        <v>20440</v>
      </c>
      <c r="I32" s="58">
        <v>2.5</v>
      </c>
      <c r="J32" s="54">
        <f t="shared" si="1"/>
        <v>19929</v>
      </c>
      <c r="K32" s="57">
        <v>3350</v>
      </c>
      <c r="L32" s="54">
        <f t="shared" si="6"/>
        <v>66762150</v>
      </c>
      <c r="M32" s="9"/>
      <c r="N32" s="9"/>
      <c r="O32" s="137"/>
      <c r="P32" s="139">
        <v>64753000</v>
      </c>
      <c r="Q32" s="139">
        <f t="shared" si="7"/>
        <v>2009150</v>
      </c>
    </row>
    <row r="33" spans="1:17" hidden="1" x14ac:dyDescent="0.3">
      <c r="A33" s="54"/>
      <c r="B33" s="54"/>
      <c r="C33" s="54">
        <v>1267000</v>
      </c>
      <c r="D33" s="54" t="s">
        <v>248</v>
      </c>
      <c r="E33" s="55"/>
      <c r="F33" s="57"/>
      <c r="G33" s="57"/>
      <c r="H33" s="54">
        <f t="shared" si="5"/>
        <v>0</v>
      </c>
      <c r="I33" s="58"/>
      <c r="J33" s="54">
        <f t="shared" si="1"/>
        <v>0</v>
      </c>
      <c r="K33" s="57"/>
      <c r="L33" s="54">
        <f t="shared" si="6"/>
        <v>0</v>
      </c>
      <c r="Q33" s="139">
        <f t="shared" si="7"/>
        <v>0</v>
      </c>
    </row>
    <row r="34" spans="1:17" hidden="1" x14ac:dyDescent="0.3">
      <c r="A34" s="54"/>
      <c r="B34" s="54"/>
      <c r="C34" s="54">
        <v>858000</v>
      </c>
      <c r="D34" s="54" t="s">
        <v>249</v>
      </c>
      <c r="E34" s="55"/>
      <c r="F34" s="57"/>
      <c r="G34" s="57"/>
      <c r="H34" s="54">
        <f t="shared" si="5"/>
        <v>0</v>
      </c>
      <c r="I34" s="58"/>
      <c r="J34" s="54">
        <f t="shared" si="1"/>
        <v>0</v>
      </c>
      <c r="K34" s="57"/>
      <c r="L34" s="54">
        <f t="shared" si="6"/>
        <v>0</v>
      </c>
      <c r="Q34" s="139">
        <f t="shared" si="7"/>
        <v>0</v>
      </c>
    </row>
    <row r="35" spans="1:17" hidden="1" x14ac:dyDescent="0.3">
      <c r="A35" s="54" t="s">
        <v>250</v>
      </c>
      <c r="B35" s="54"/>
      <c r="C35" s="54">
        <f>15000*12280</f>
        <v>184200000</v>
      </c>
      <c r="D35" s="54" t="s">
        <v>251</v>
      </c>
      <c r="E35" s="55" t="s">
        <v>252</v>
      </c>
      <c r="F35" s="57">
        <v>23900</v>
      </c>
      <c r="G35" s="57">
        <v>11000</v>
      </c>
      <c r="H35" s="54">
        <f t="shared" si="5"/>
        <v>12900</v>
      </c>
      <c r="I35" s="58">
        <v>2</v>
      </c>
      <c r="J35" s="54">
        <f t="shared" si="1"/>
        <v>12642</v>
      </c>
      <c r="K35" s="57">
        <v>3350</v>
      </c>
      <c r="L35" s="54">
        <f t="shared" si="6"/>
        <v>42350700</v>
      </c>
      <c r="P35" s="139">
        <v>41500000</v>
      </c>
      <c r="Q35" s="139">
        <f t="shared" si="7"/>
        <v>850700</v>
      </c>
    </row>
    <row r="36" spans="1:17" hidden="1" x14ac:dyDescent="0.3">
      <c r="A36" s="54"/>
      <c r="B36" s="54"/>
      <c r="C36" s="54"/>
      <c r="D36" s="54"/>
      <c r="E36" s="55" t="s">
        <v>253</v>
      </c>
      <c r="F36" s="57">
        <v>11160</v>
      </c>
      <c r="G36" s="57">
        <v>5020</v>
      </c>
      <c r="H36" s="54">
        <f t="shared" si="5"/>
        <v>6140</v>
      </c>
      <c r="I36" s="58">
        <v>2</v>
      </c>
      <c r="J36" s="54">
        <f t="shared" ref="J36:J67" si="8">+H36-H36*I36/100</f>
        <v>6017.2</v>
      </c>
      <c r="K36" s="57">
        <v>3900</v>
      </c>
      <c r="L36" s="54">
        <f t="shared" si="6"/>
        <v>23467080</v>
      </c>
      <c r="P36" s="139">
        <v>22632000</v>
      </c>
      <c r="Q36" s="139">
        <f t="shared" si="7"/>
        <v>835080</v>
      </c>
    </row>
    <row r="37" spans="1:17" hidden="1" x14ac:dyDescent="0.3">
      <c r="A37" s="54"/>
      <c r="B37" s="54"/>
      <c r="C37" s="54"/>
      <c r="D37" s="54"/>
      <c r="E37" s="55"/>
      <c r="F37" s="57"/>
      <c r="G37" s="57"/>
      <c r="H37" s="54">
        <f t="shared" si="5"/>
        <v>0</v>
      </c>
      <c r="I37" s="58"/>
      <c r="J37" s="54">
        <f t="shared" si="8"/>
        <v>0</v>
      </c>
      <c r="K37" s="57"/>
      <c r="L37" s="54">
        <f t="shared" si="6"/>
        <v>0</v>
      </c>
      <c r="O37" s="136" t="s">
        <v>33</v>
      </c>
      <c r="Q37" s="139">
        <f t="shared" si="7"/>
        <v>0</v>
      </c>
    </row>
    <row r="38" spans="1:17" hidden="1" x14ac:dyDescent="0.3">
      <c r="A38" s="54"/>
      <c r="B38" s="54"/>
      <c r="C38" s="54">
        <f>288*3900</f>
        <v>1123200</v>
      </c>
      <c r="D38" s="54" t="s">
        <v>255</v>
      </c>
      <c r="E38" s="55"/>
      <c r="F38" s="57"/>
      <c r="G38" s="57"/>
      <c r="H38" s="54">
        <f t="shared" si="5"/>
        <v>0</v>
      </c>
      <c r="I38" s="58"/>
      <c r="J38" s="54">
        <f t="shared" si="8"/>
        <v>0</v>
      </c>
      <c r="K38" s="57"/>
      <c r="L38" s="54">
        <f t="shared" si="6"/>
        <v>0</v>
      </c>
      <c r="Q38" s="139">
        <f t="shared" si="7"/>
        <v>0</v>
      </c>
    </row>
    <row r="39" spans="1:17" hidden="1" x14ac:dyDescent="0.3">
      <c r="A39" s="54"/>
      <c r="B39" s="54"/>
      <c r="C39" s="54">
        <f>133*3900</f>
        <v>518700</v>
      </c>
      <c r="D39" s="54" t="s">
        <v>256</v>
      </c>
      <c r="E39" s="55"/>
      <c r="F39" s="57"/>
      <c r="G39" s="57"/>
      <c r="H39" s="54">
        <f t="shared" si="5"/>
        <v>0</v>
      </c>
      <c r="I39" s="58"/>
      <c r="J39" s="54">
        <f t="shared" si="8"/>
        <v>0</v>
      </c>
      <c r="K39" s="57"/>
      <c r="L39" s="54">
        <f t="shared" si="6"/>
        <v>0</v>
      </c>
      <c r="Q39" s="139">
        <f t="shared" si="7"/>
        <v>0</v>
      </c>
    </row>
    <row r="40" spans="1:17" hidden="1" x14ac:dyDescent="0.3">
      <c r="A40" s="54"/>
      <c r="B40" s="54"/>
      <c r="C40" s="54">
        <f>278*3900</f>
        <v>1084200</v>
      </c>
      <c r="D40" s="54" t="s">
        <v>257</v>
      </c>
      <c r="E40" s="55"/>
      <c r="F40" s="57"/>
      <c r="G40" s="57"/>
      <c r="H40" s="54">
        <f t="shared" si="5"/>
        <v>0</v>
      </c>
      <c r="I40" s="58"/>
      <c r="J40" s="54">
        <f t="shared" si="8"/>
        <v>0</v>
      </c>
      <c r="K40" s="57"/>
      <c r="L40" s="54">
        <f t="shared" si="6"/>
        <v>0</v>
      </c>
      <c r="Q40" s="139">
        <f t="shared" si="7"/>
        <v>0</v>
      </c>
    </row>
    <row r="41" spans="1:17" hidden="1" x14ac:dyDescent="0.3">
      <c r="A41" s="54"/>
      <c r="B41" s="54"/>
      <c r="C41" s="54">
        <f>309*3900</f>
        <v>1205100</v>
      </c>
      <c r="D41" s="54" t="s">
        <v>258</v>
      </c>
      <c r="E41" s="55"/>
      <c r="F41" s="57"/>
      <c r="G41" s="57"/>
      <c r="H41" s="54">
        <f t="shared" si="5"/>
        <v>0</v>
      </c>
      <c r="I41" s="58"/>
      <c r="J41" s="54">
        <f t="shared" si="8"/>
        <v>0</v>
      </c>
      <c r="K41" s="57"/>
      <c r="L41" s="54">
        <f t="shared" si="6"/>
        <v>0</v>
      </c>
      <c r="Q41" s="139">
        <f t="shared" si="7"/>
        <v>0</v>
      </c>
    </row>
    <row r="42" spans="1:17" hidden="1" x14ac:dyDescent="0.3">
      <c r="A42" s="54" t="s">
        <v>259</v>
      </c>
      <c r="B42" s="54"/>
      <c r="C42" s="54"/>
      <c r="D42" s="54"/>
      <c r="E42" s="55" t="s">
        <v>265</v>
      </c>
      <c r="F42" s="57">
        <v>28780</v>
      </c>
      <c r="G42" s="57">
        <v>14840</v>
      </c>
      <c r="H42" s="54">
        <f t="shared" si="5"/>
        <v>13940</v>
      </c>
      <c r="I42" s="58">
        <v>5</v>
      </c>
      <c r="J42" s="54">
        <f t="shared" si="8"/>
        <v>13243</v>
      </c>
      <c r="K42" s="57">
        <v>3250</v>
      </c>
      <c r="L42" s="54">
        <f t="shared" si="6"/>
        <v>43039750</v>
      </c>
      <c r="P42" s="139">
        <v>44135000</v>
      </c>
      <c r="Q42" s="139">
        <f t="shared" si="7"/>
        <v>-1095250</v>
      </c>
    </row>
    <row r="43" spans="1:17" hidden="1" x14ac:dyDescent="0.3">
      <c r="A43" s="54"/>
      <c r="B43" s="54"/>
      <c r="C43" s="54"/>
      <c r="D43" s="54"/>
      <c r="E43" s="55" t="s">
        <v>266</v>
      </c>
      <c r="F43" s="57">
        <v>30860</v>
      </c>
      <c r="G43" s="57">
        <v>13300</v>
      </c>
      <c r="H43" s="54">
        <f t="shared" si="5"/>
        <v>17560</v>
      </c>
      <c r="I43" s="58">
        <v>2</v>
      </c>
      <c r="J43" s="54">
        <f t="shared" si="8"/>
        <v>17208.8</v>
      </c>
      <c r="K43" s="57">
        <v>3650</v>
      </c>
      <c r="L43" s="54">
        <f t="shared" si="6"/>
        <v>62812120</v>
      </c>
      <c r="P43" s="139">
        <v>60230000</v>
      </c>
      <c r="Q43" s="139">
        <f t="shared" si="7"/>
        <v>2582120</v>
      </c>
    </row>
    <row r="44" spans="1:17" ht="0.6" hidden="1" customHeight="1" x14ac:dyDescent="0.3">
      <c r="A44" s="54"/>
      <c r="B44" s="54"/>
      <c r="C44" s="54"/>
      <c r="D44" s="54"/>
      <c r="E44" s="55"/>
      <c r="F44" s="57"/>
      <c r="G44" s="57"/>
      <c r="H44" s="54">
        <f t="shared" si="5"/>
        <v>0</v>
      </c>
      <c r="I44" s="58"/>
      <c r="J44" s="54">
        <f t="shared" si="8"/>
        <v>0</v>
      </c>
      <c r="K44" s="57"/>
      <c r="L44" s="54">
        <f t="shared" si="6"/>
        <v>0</v>
      </c>
      <c r="P44" s="139">
        <v>60500</v>
      </c>
      <c r="Q44" s="139">
        <f t="shared" si="7"/>
        <v>-60500</v>
      </c>
    </row>
    <row r="45" spans="1:17" hidden="1" x14ac:dyDescent="0.3">
      <c r="A45" s="54"/>
      <c r="B45" s="54"/>
      <c r="C45" s="54"/>
      <c r="D45" s="54"/>
      <c r="E45" s="55" t="s">
        <v>267</v>
      </c>
      <c r="F45" s="57">
        <v>24210</v>
      </c>
      <c r="G45" s="57">
        <v>10820</v>
      </c>
      <c r="H45" s="54">
        <f t="shared" si="5"/>
        <v>13390</v>
      </c>
      <c r="I45" s="58">
        <v>2</v>
      </c>
      <c r="J45" s="54">
        <f t="shared" si="8"/>
        <v>13122.2</v>
      </c>
      <c r="K45" s="57">
        <v>3650</v>
      </c>
      <c r="L45" s="54">
        <f t="shared" si="6"/>
        <v>47896030</v>
      </c>
      <c r="P45" s="139">
        <v>46757000</v>
      </c>
      <c r="Q45" s="139">
        <f t="shared" si="7"/>
        <v>1139030</v>
      </c>
    </row>
    <row r="46" spans="1:17" hidden="1" x14ac:dyDescent="0.3">
      <c r="A46" s="54"/>
      <c r="B46" s="54"/>
      <c r="C46" s="54"/>
      <c r="D46" s="54"/>
      <c r="E46" s="55" t="s">
        <v>268</v>
      </c>
      <c r="F46" s="57">
        <v>36240</v>
      </c>
      <c r="G46" s="57">
        <v>17860</v>
      </c>
      <c r="H46" s="54">
        <f t="shared" si="5"/>
        <v>18380</v>
      </c>
      <c r="I46" s="58">
        <v>2</v>
      </c>
      <c r="J46" s="54">
        <f t="shared" si="8"/>
        <v>18012.400000000001</v>
      </c>
      <c r="K46" s="57">
        <v>3350</v>
      </c>
      <c r="L46" s="54">
        <f t="shared" si="6"/>
        <v>60341540.000000007</v>
      </c>
      <c r="P46" s="139">
        <v>59620000</v>
      </c>
      <c r="Q46" s="139">
        <f t="shared" si="7"/>
        <v>721540.00000000745</v>
      </c>
    </row>
    <row r="47" spans="1:17" hidden="1" x14ac:dyDescent="0.3">
      <c r="A47" s="54" t="s">
        <v>270</v>
      </c>
      <c r="B47" s="54"/>
      <c r="C47" s="54"/>
      <c r="D47" s="54"/>
      <c r="E47" s="55" t="s">
        <v>271</v>
      </c>
      <c r="F47" s="57">
        <v>24200</v>
      </c>
      <c r="G47" s="57">
        <v>11080</v>
      </c>
      <c r="H47" s="54">
        <f t="shared" si="5"/>
        <v>13120</v>
      </c>
      <c r="I47" s="58">
        <v>2</v>
      </c>
      <c r="J47" s="54">
        <f t="shared" si="8"/>
        <v>12857.6</v>
      </c>
      <c r="K47" s="57">
        <v>3650</v>
      </c>
      <c r="L47" s="54">
        <f t="shared" si="6"/>
        <v>46930240</v>
      </c>
      <c r="P47" s="139">
        <v>45383000</v>
      </c>
      <c r="Q47" s="139">
        <f t="shared" si="7"/>
        <v>1547240</v>
      </c>
    </row>
    <row r="48" spans="1:17" hidden="1" x14ac:dyDescent="0.3">
      <c r="A48" s="54" t="s">
        <v>274</v>
      </c>
      <c r="B48" s="54"/>
      <c r="C48" s="54">
        <f>20000*12300</f>
        <v>246000000</v>
      </c>
      <c r="D48" s="54" t="s">
        <v>275</v>
      </c>
      <c r="E48" s="55"/>
      <c r="F48" s="57"/>
      <c r="G48" s="57"/>
      <c r="H48" s="54">
        <f t="shared" si="5"/>
        <v>0</v>
      </c>
      <c r="I48" s="58"/>
      <c r="J48" s="54">
        <f t="shared" si="8"/>
        <v>0</v>
      </c>
      <c r="K48" s="57"/>
      <c r="L48" s="54">
        <f t="shared" si="6"/>
        <v>0</v>
      </c>
      <c r="Q48" s="139">
        <f t="shared" si="7"/>
        <v>0</v>
      </c>
    </row>
    <row r="49" spans="1:17" hidden="1" x14ac:dyDescent="0.3">
      <c r="A49" s="54"/>
      <c r="B49" s="54"/>
      <c r="C49" s="54"/>
      <c r="D49" s="54"/>
      <c r="E49" s="55" t="s">
        <v>277</v>
      </c>
      <c r="F49" s="57">
        <v>22990</v>
      </c>
      <c r="G49" s="57">
        <v>9200</v>
      </c>
      <c r="H49" s="54">
        <f t="shared" si="5"/>
        <v>13790</v>
      </c>
      <c r="I49" s="58">
        <v>2.5</v>
      </c>
      <c r="J49" s="54">
        <f t="shared" si="8"/>
        <v>13445.25</v>
      </c>
      <c r="K49" s="57">
        <v>3350</v>
      </c>
      <c r="L49" s="54">
        <f t="shared" si="6"/>
        <v>45041587.5</v>
      </c>
      <c r="P49" s="139">
        <v>44128000</v>
      </c>
      <c r="Q49" s="139">
        <f t="shared" si="7"/>
        <v>913587.5</v>
      </c>
    </row>
    <row r="50" spans="1:17" hidden="1" x14ac:dyDescent="0.3">
      <c r="A50" s="54"/>
      <c r="B50" s="54"/>
      <c r="C50" s="54"/>
      <c r="D50" s="54"/>
      <c r="E50" s="55" t="s">
        <v>278</v>
      </c>
      <c r="F50" s="57">
        <v>24080</v>
      </c>
      <c r="G50" s="57">
        <v>9930</v>
      </c>
      <c r="H50" s="54">
        <f t="shared" si="5"/>
        <v>14150</v>
      </c>
      <c r="I50" s="58">
        <v>2.5</v>
      </c>
      <c r="J50" s="54">
        <f t="shared" si="8"/>
        <v>13796.25</v>
      </c>
      <c r="K50" s="57">
        <v>3350</v>
      </c>
      <c r="L50" s="54">
        <f t="shared" si="6"/>
        <v>46217437.5</v>
      </c>
      <c r="P50" s="139">
        <v>45280000</v>
      </c>
      <c r="Q50" s="139">
        <f t="shared" si="7"/>
        <v>937437.5</v>
      </c>
    </row>
    <row r="51" spans="1:17" hidden="1" x14ac:dyDescent="0.3">
      <c r="A51" s="54"/>
      <c r="B51" s="54"/>
      <c r="C51" s="54"/>
      <c r="D51" s="54"/>
      <c r="E51" s="55" t="s">
        <v>276</v>
      </c>
      <c r="F51" s="57">
        <v>24900</v>
      </c>
      <c r="G51" s="57">
        <v>13000</v>
      </c>
      <c r="H51" s="54">
        <f t="shared" si="5"/>
        <v>11900</v>
      </c>
      <c r="I51" s="58">
        <v>2</v>
      </c>
      <c r="J51" s="54">
        <f t="shared" si="8"/>
        <v>11662</v>
      </c>
      <c r="K51" s="57">
        <v>3650</v>
      </c>
      <c r="L51" s="54">
        <f t="shared" si="6"/>
        <v>42566300</v>
      </c>
      <c r="P51" s="139">
        <v>40608000</v>
      </c>
      <c r="Q51" s="139">
        <f t="shared" si="7"/>
        <v>1958300</v>
      </c>
    </row>
    <row r="52" spans="1:17" hidden="1" x14ac:dyDescent="0.3">
      <c r="B52" s="54"/>
      <c r="C52" s="54"/>
      <c r="D52" s="54"/>
      <c r="E52" s="55"/>
      <c r="F52" s="57"/>
      <c r="G52" s="57"/>
      <c r="H52" s="54">
        <f t="shared" si="5"/>
        <v>0</v>
      </c>
      <c r="I52" s="58"/>
      <c r="J52" s="54">
        <f t="shared" si="8"/>
        <v>0</v>
      </c>
      <c r="K52" s="57"/>
      <c r="L52" s="54">
        <f t="shared" si="6"/>
        <v>0</v>
      </c>
      <c r="Q52" s="139">
        <f t="shared" si="7"/>
        <v>0</v>
      </c>
    </row>
    <row r="53" spans="1:17" hidden="1" x14ac:dyDescent="0.3">
      <c r="A53" s="54"/>
      <c r="B53" s="54"/>
      <c r="C53" s="54"/>
      <c r="D53" s="54"/>
      <c r="E53" s="55"/>
      <c r="F53" s="57"/>
      <c r="G53" s="57"/>
      <c r="H53" s="54">
        <f t="shared" si="5"/>
        <v>0</v>
      </c>
      <c r="I53" s="58"/>
      <c r="J53" s="54">
        <f t="shared" si="8"/>
        <v>0</v>
      </c>
      <c r="K53" s="57"/>
      <c r="L53" s="54">
        <f t="shared" si="6"/>
        <v>0</v>
      </c>
      <c r="Q53" s="139">
        <f t="shared" si="7"/>
        <v>0</v>
      </c>
    </row>
    <row r="54" spans="1:17" hidden="1" x14ac:dyDescent="0.3">
      <c r="A54" s="54"/>
      <c r="B54" s="54"/>
      <c r="C54" s="54"/>
      <c r="D54" s="54"/>
      <c r="E54" s="55"/>
      <c r="F54" s="57"/>
      <c r="G54" s="57"/>
      <c r="H54" s="54">
        <f t="shared" si="5"/>
        <v>0</v>
      </c>
      <c r="I54" s="58"/>
      <c r="J54" s="54">
        <f t="shared" si="8"/>
        <v>0</v>
      </c>
      <c r="K54" s="57"/>
      <c r="L54" s="54">
        <f t="shared" si="6"/>
        <v>0</v>
      </c>
      <c r="Q54" s="139">
        <f t="shared" si="7"/>
        <v>0</v>
      </c>
    </row>
    <row r="55" spans="1:17" hidden="1" x14ac:dyDescent="0.3">
      <c r="A55" s="54" t="s">
        <v>288</v>
      </c>
      <c r="B55" s="54"/>
      <c r="C55" s="54">
        <f>34000*12300</f>
        <v>418200000</v>
      </c>
      <c r="D55" s="54" t="s">
        <v>289</v>
      </c>
      <c r="E55" s="55" t="s">
        <v>290</v>
      </c>
      <c r="F55" s="57">
        <v>18580</v>
      </c>
      <c r="G55" s="57">
        <v>9740</v>
      </c>
      <c r="H55" s="54">
        <f t="shared" si="5"/>
        <v>8840</v>
      </c>
      <c r="I55" s="58">
        <v>2</v>
      </c>
      <c r="J55" s="54">
        <f t="shared" si="8"/>
        <v>8663.2000000000007</v>
      </c>
      <c r="K55" s="57">
        <v>3650</v>
      </c>
      <c r="L55" s="54">
        <f t="shared" si="6"/>
        <v>31620680.000000004</v>
      </c>
      <c r="P55" s="139">
        <v>30870000</v>
      </c>
      <c r="Q55" s="139">
        <f t="shared" si="7"/>
        <v>750680.00000000373</v>
      </c>
    </row>
    <row r="56" spans="1:17" hidden="1" x14ac:dyDescent="0.3">
      <c r="A56" s="54"/>
      <c r="B56" s="54"/>
      <c r="C56" s="54"/>
      <c r="D56" s="54"/>
      <c r="E56" s="55" t="s">
        <v>291</v>
      </c>
      <c r="F56" s="57">
        <v>21690</v>
      </c>
      <c r="G56" s="57">
        <v>9700</v>
      </c>
      <c r="H56" s="54">
        <f t="shared" si="5"/>
        <v>11990</v>
      </c>
      <c r="I56" s="58">
        <v>2</v>
      </c>
      <c r="J56" s="54">
        <f t="shared" si="8"/>
        <v>11750.2</v>
      </c>
      <c r="K56" s="57">
        <v>3650</v>
      </c>
      <c r="L56" s="54">
        <f t="shared" si="6"/>
        <v>42888230</v>
      </c>
      <c r="P56" s="139">
        <v>40706000</v>
      </c>
      <c r="Q56" s="139">
        <f t="shared" si="7"/>
        <v>2182230</v>
      </c>
    </row>
    <row r="57" spans="1:17" hidden="1" x14ac:dyDescent="0.3">
      <c r="A57" s="54" t="s">
        <v>296</v>
      </c>
      <c r="B57" s="54"/>
      <c r="C57" s="54">
        <f>5000*12270</f>
        <v>61350000</v>
      </c>
      <c r="D57" s="54" t="s">
        <v>297</v>
      </c>
      <c r="E57" s="55" t="s">
        <v>298</v>
      </c>
      <c r="F57" s="57">
        <v>20880</v>
      </c>
      <c r="G57" s="57">
        <v>9000</v>
      </c>
      <c r="H57" s="54">
        <f t="shared" si="5"/>
        <v>11880</v>
      </c>
      <c r="I57" s="58">
        <v>2</v>
      </c>
      <c r="J57" s="54">
        <f t="shared" si="8"/>
        <v>11642.4</v>
      </c>
      <c r="K57" s="57">
        <v>3650</v>
      </c>
      <c r="L57" s="54">
        <f t="shared" si="6"/>
        <v>42494760</v>
      </c>
      <c r="P57" s="139">
        <v>40608000</v>
      </c>
      <c r="Q57" s="139">
        <f t="shared" si="7"/>
        <v>1886760</v>
      </c>
    </row>
    <row r="58" spans="1:17" hidden="1" x14ac:dyDescent="0.3">
      <c r="B58" s="54"/>
      <c r="C58" s="54"/>
      <c r="D58" s="54"/>
      <c r="E58" s="55" t="s">
        <v>300</v>
      </c>
      <c r="F58" s="57">
        <v>26100</v>
      </c>
      <c r="G58" s="57">
        <v>12280</v>
      </c>
      <c r="H58" s="54">
        <f t="shared" si="5"/>
        <v>13820</v>
      </c>
      <c r="I58" s="58">
        <v>2.5</v>
      </c>
      <c r="J58" s="54">
        <f t="shared" si="8"/>
        <v>13474.5</v>
      </c>
      <c r="K58" s="57">
        <v>3350</v>
      </c>
      <c r="L58" s="54">
        <f t="shared" si="6"/>
        <v>45139575</v>
      </c>
      <c r="P58" s="139">
        <v>43780000</v>
      </c>
      <c r="Q58" s="139">
        <f t="shared" si="7"/>
        <v>1359575</v>
      </c>
    </row>
    <row r="59" spans="1:17" hidden="1" x14ac:dyDescent="0.3">
      <c r="A59" s="54" t="s">
        <v>302</v>
      </c>
      <c r="B59" s="54"/>
      <c r="C59" s="54">
        <v>250000</v>
      </c>
      <c r="D59" s="54" t="s">
        <v>304</v>
      </c>
      <c r="E59" s="55" t="s">
        <v>303</v>
      </c>
      <c r="F59" s="57">
        <v>24780</v>
      </c>
      <c r="G59" s="57">
        <v>12600</v>
      </c>
      <c r="H59" s="54">
        <f t="shared" si="5"/>
        <v>12180</v>
      </c>
      <c r="I59" s="58">
        <v>2</v>
      </c>
      <c r="J59" s="54">
        <f t="shared" si="8"/>
        <v>11936.4</v>
      </c>
      <c r="K59" s="57">
        <v>3650</v>
      </c>
      <c r="L59" s="54">
        <f t="shared" si="6"/>
        <v>43567860</v>
      </c>
      <c r="P59" s="139">
        <v>41848000</v>
      </c>
      <c r="Q59" s="139">
        <f t="shared" si="7"/>
        <v>1719860</v>
      </c>
    </row>
    <row r="60" spans="1:17" hidden="1" x14ac:dyDescent="0.3">
      <c r="A60" s="54"/>
      <c r="B60" s="54"/>
      <c r="C60" s="54">
        <f>199*3650</f>
        <v>726350</v>
      </c>
      <c r="D60" s="54" t="s">
        <v>309</v>
      </c>
      <c r="E60" s="55" t="s">
        <v>305</v>
      </c>
      <c r="F60" s="57">
        <v>24280</v>
      </c>
      <c r="G60" s="57">
        <v>12580</v>
      </c>
      <c r="H60" s="54">
        <f t="shared" si="5"/>
        <v>11700</v>
      </c>
      <c r="I60" s="58">
        <v>2</v>
      </c>
      <c r="J60" s="54">
        <f t="shared" si="8"/>
        <v>11466</v>
      </c>
      <c r="K60" s="57">
        <v>3650</v>
      </c>
      <c r="L60" s="54">
        <f t="shared" si="6"/>
        <v>41850900</v>
      </c>
      <c r="P60" s="139">
        <v>40950000</v>
      </c>
      <c r="Q60" s="139">
        <f t="shared" si="7"/>
        <v>900900</v>
      </c>
    </row>
    <row r="61" spans="1:17" hidden="1" x14ac:dyDescent="0.3">
      <c r="A61" s="54"/>
      <c r="B61" s="54"/>
      <c r="C61" s="54">
        <f>248*3650</f>
        <v>905200</v>
      </c>
      <c r="D61" s="54" t="s">
        <v>310</v>
      </c>
      <c r="E61" s="55" t="s">
        <v>306</v>
      </c>
      <c r="F61" s="57">
        <v>27680</v>
      </c>
      <c r="G61" s="57">
        <v>13300</v>
      </c>
      <c r="H61" s="54">
        <f t="shared" si="5"/>
        <v>14380</v>
      </c>
      <c r="I61" s="58">
        <v>2</v>
      </c>
      <c r="J61" s="54">
        <f t="shared" si="8"/>
        <v>14092.4</v>
      </c>
      <c r="K61" s="57">
        <v>3650</v>
      </c>
      <c r="L61" s="54">
        <f t="shared" si="6"/>
        <v>51437260</v>
      </c>
      <c r="P61" s="139">
        <v>50225000</v>
      </c>
      <c r="Q61" s="139">
        <f t="shared" si="7"/>
        <v>1212260</v>
      </c>
    </row>
    <row r="62" spans="1:17" hidden="1" x14ac:dyDescent="0.3">
      <c r="A62" s="54"/>
      <c r="B62" s="54"/>
      <c r="C62" s="54">
        <f>512*3650</f>
        <v>1868800</v>
      </c>
      <c r="D62" s="54" t="s">
        <v>311</v>
      </c>
      <c r="E62" s="55" t="s">
        <v>307</v>
      </c>
      <c r="F62" s="57">
        <v>26680</v>
      </c>
      <c r="G62" s="57">
        <v>12180</v>
      </c>
      <c r="H62" s="54">
        <f t="shared" si="5"/>
        <v>14500</v>
      </c>
      <c r="I62" s="58">
        <v>2</v>
      </c>
      <c r="J62" s="54">
        <f t="shared" si="8"/>
        <v>14210</v>
      </c>
      <c r="K62" s="57">
        <v>3900</v>
      </c>
      <c r="L62" s="54">
        <f t="shared" si="6"/>
        <v>55419000</v>
      </c>
      <c r="P62" s="139">
        <v>53410000</v>
      </c>
      <c r="Q62" s="139">
        <f t="shared" si="7"/>
        <v>2009000</v>
      </c>
    </row>
    <row r="63" spans="1:17" hidden="1" x14ac:dyDescent="0.3">
      <c r="A63" s="54"/>
      <c r="B63" s="54"/>
      <c r="C63" s="54">
        <f>1040*3650</f>
        <v>3796000</v>
      </c>
      <c r="D63" s="54" t="s">
        <v>312</v>
      </c>
      <c r="E63" s="55" t="s">
        <v>308</v>
      </c>
      <c r="F63" s="57">
        <v>21080</v>
      </c>
      <c r="G63" s="57">
        <v>10850</v>
      </c>
      <c r="H63" s="54">
        <f t="shared" si="5"/>
        <v>10230</v>
      </c>
      <c r="I63" s="58">
        <v>2</v>
      </c>
      <c r="J63" s="54">
        <f t="shared" si="8"/>
        <v>10025.4</v>
      </c>
      <c r="K63" s="57">
        <v>3650</v>
      </c>
      <c r="L63" s="54">
        <f t="shared" si="6"/>
        <v>36592710</v>
      </c>
      <c r="P63" s="139">
        <v>35723000</v>
      </c>
      <c r="Q63" s="139">
        <f t="shared" si="7"/>
        <v>869710</v>
      </c>
    </row>
    <row r="64" spans="1:17" hidden="1" x14ac:dyDescent="0.3">
      <c r="A64" s="54"/>
      <c r="B64" s="54"/>
      <c r="C64" s="54"/>
      <c r="D64" s="54"/>
      <c r="E64" s="55"/>
      <c r="F64" s="57"/>
      <c r="G64" s="57"/>
      <c r="H64" s="54">
        <f t="shared" si="5"/>
        <v>0</v>
      </c>
      <c r="I64" s="58"/>
      <c r="J64" s="54">
        <f t="shared" si="8"/>
        <v>0</v>
      </c>
      <c r="K64" s="57"/>
      <c r="L64" s="54">
        <f t="shared" si="6"/>
        <v>0</v>
      </c>
      <c r="Q64" s="139">
        <f t="shared" si="7"/>
        <v>0</v>
      </c>
    </row>
    <row r="65" spans="1:17" hidden="1" x14ac:dyDescent="0.3">
      <c r="A65" s="54"/>
      <c r="B65" s="54"/>
      <c r="C65" s="54"/>
      <c r="D65" s="54"/>
      <c r="E65" s="55"/>
      <c r="F65" s="57"/>
      <c r="G65" s="57"/>
      <c r="H65" s="54">
        <f t="shared" si="5"/>
        <v>0</v>
      </c>
      <c r="I65" s="58"/>
      <c r="J65" s="54">
        <f t="shared" si="8"/>
        <v>0</v>
      </c>
      <c r="K65" s="57"/>
      <c r="L65" s="54">
        <f t="shared" si="6"/>
        <v>0</v>
      </c>
      <c r="Q65" s="139">
        <f t="shared" si="7"/>
        <v>0</v>
      </c>
    </row>
    <row r="66" spans="1:17" hidden="1" x14ac:dyDescent="0.3">
      <c r="A66" s="9" t="s">
        <v>320</v>
      </c>
      <c r="B66" s="54"/>
      <c r="C66" s="54">
        <f>20000*12230</f>
        <v>244600000</v>
      </c>
      <c r="D66" s="54" t="s">
        <v>321</v>
      </c>
      <c r="E66" s="55" t="s">
        <v>322</v>
      </c>
      <c r="F66" s="57">
        <v>17320</v>
      </c>
      <c r="G66" s="57">
        <v>9400</v>
      </c>
      <c r="H66" s="54">
        <f t="shared" si="5"/>
        <v>7920</v>
      </c>
      <c r="I66" s="58">
        <v>2</v>
      </c>
      <c r="J66" s="54">
        <f t="shared" si="8"/>
        <v>7761.6</v>
      </c>
      <c r="K66" s="57">
        <v>3650</v>
      </c>
      <c r="L66" s="54">
        <f t="shared" si="6"/>
        <v>28329840</v>
      </c>
      <c r="P66" s="139">
        <v>27650000</v>
      </c>
      <c r="Q66" s="139">
        <f t="shared" si="7"/>
        <v>679840</v>
      </c>
    </row>
    <row r="67" spans="1:17" hidden="1" x14ac:dyDescent="0.3">
      <c r="B67" s="54"/>
      <c r="C67" s="54"/>
      <c r="D67" s="54"/>
      <c r="E67" s="55" t="s">
        <v>323</v>
      </c>
      <c r="F67" s="57">
        <v>32120</v>
      </c>
      <c r="G67" s="57">
        <v>16120</v>
      </c>
      <c r="H67" s="54">
        <f t="shared" si="5"/>
        <v>16000</v>
      </c>
      <c r="I67" s="58">
        <v>2</v>
      </c>
      <c r="J67" s="54">
        <f t="shared" si="8"/>
        <v>15680</v>
      </c>
      <c r="K67" s="57">
        <v>3650</v>
      </c>
      <c r="L67" s="54">
        <f t="shared" si="6"/>
        <v>57232000</v>
      </c>
      <c r="P67" s="139">
        <v>55400000</v>
      </c>
      <c r="Q67" s="139">
        <f t="shared" si="7"/>
        <v>1832000</v>
      </c>
    </row>
    <row r="68" spans="1:17" hidden="1" x14ac:dyDescent="0.3">
      <c r="A68" s="54"/>
      <c r="B68" s="54"/>
      <c r="C68" s="54"/>
      <c r="D68" s="54"/>
      <c r="E68" s="55" t="s">
        <v>324</v>
      </c>
      <c r="F68" s="57">
        <v>24070</v>
      </c>
      <c r="G68" s="57">
        <v>10830</v>
      </c>
      <c r="H68" s="54">
        <f t="shared" si="5"/>
        <v>13240</v>
      </c>
      <c r="I68" s="58">
        <v>1.5</v>
      </c>
      <c r="J68" s="54">
        <f t="shared" ref="J68:J99" si="9">+H68-H68*I68/100</f>
        <v>13041.4</v>
      </c>
      <c r="K68" s="57">
        <v>3650</v>
      </c>
      <c r="L68" s="54">
        <f t="shared" si="6"/>
        <v>47601110</v>
      </c>
      <c r="P68" s="139">
        <f>3850*12250</f>
        <v>47162500</v>
      </c>
      <c r="Q68" s="139">
        <f t="shared" si="7"/>
        <v>438610</v>
      </c>
    </row>
    <row r="69" spans="1:17" hidden="1" x14ac:dyDescent="0.3">
      <c r="A69" s="54"/>
      <c r="B69" s="54"/>
      <c r="C69" s="54"/>
      <c r="D69" s="54"/>
      <c r="E69" s="55" t="s">
        <v>325</v>
      </c>
      <c r="F69" s="57">
        <v>28110</v>
      </c>
      <c r="G69" s="57">
        <v>14850</v>
      </c>
      <c r="H69" s="54">
        <f t="shared" si="5"/>
        <v>13260</v>
      </c>
      <c r="I69" s="58">
        <v>2</v>
      </c>
      <c r="J69" s="54">
        <f t="shared" si="9"/>
        <v>12994.8</v>
      </c>
      <c r="K69" s="57">
        <v>3650</v>
      </c>
      <c r="L69" s="54">
        <f t="shared" si="6"/>
        <v>47431020</v>
      </c>
      <c r="P69" s="139">
        <v>46017000</v>
      </c>
      <c r="Q69" s="139">
        <f t="shared" si="7"/>
        <v>1414020</v>
      </c>
    </row>
    <row r="70" spans="1:17" hidden="1" x14ac:dyDescent="0.3">
      <c r="A70" s="54"/>
      <c r="B70" s="54"/>
      <c r="C70" s="54"/>
      <c r="D70" s="54"/>
      <c r="E70" s="55" t="s">
        <v>326</v>
      </c>
      <c r="F70" s="57">
        <v>9920</v>
      </c>
      <c r="G70" s="57">
        <v>5060</v>
      </c>
      <c r="H70" s="54">
        <f t="shared" si="5"/>
        <v>4860</v>
      </c>
      <c r="I70" s="58">
        <v>4.4000000000000004</v>
      </c>
      <c r="J70" s="54">
        <f t="shared" si="9"/>
        <v>4646.16</v>
      </c>
      <c r="K70" s="57">
        <v>3600</v>
      </c>
      <c r="L70" s="54">
        <f t="shared" si="6"/>
        <v>16726176</v>
      </c>
      <c r="P70" s="139">
        <v>16493000</v>
      </c>
      <c r="Q70" s="139">
        <f t="shared" si="7"/>
        <v>233176</v>
      </c>
    </row>
    <row r="71" spans="1:17" hidden="1" x14ac:dyDescent="0.3">
      <c r="A71" s="54"/>
      <c r="B71" s="54"/>
      <c r="C71" s="54">
        <f>3500*12230</f>
        <v>42805000</v>
      </c>
      <c r="D71" s="54" t="s">
        <v>327</v>
      </c>
      <c r="E71" s="55" t="s">
        <v>330</v>
      </c>
      <c r="F71" s="57">
        <v>25020</v>
      </c>
      <c r="G71" s="57">
        <v>13160</v>
      </c>
      <c r="H71" s="54">
        <f t="shared" si="5"/>
        <v>11860</v>
      </c>
      <c r="I71" s="58">
        <v>2</v>
      </c>
      <c r="J71" s="54">
        <f t="shared" si="9"/>
        <v>11622.8</v>
      </c>
      <c r="K71" s="57">
        <v>3350</v>
      </c>
      <c r="L71" s="54">
        <f t="shared" si="6"/>
        <v>38936380</v>
      </c>
      <c r="P71" s="139">
        <v>38355000</v>
      </c>
      <c r="Q71" s="139">
        <f t="shared" si="7"/>
        <v>581380</v>
      </c>
    </row>
    <row r="72" spans="1:17" hidden="1" x14ac:dyDescent="0.3">
      <c r="A72" s="54"/>
      <c r="B72" s="54"/>
      <c r="C72" s="54">
        <f>212*3650</f>
        <v>773800</v>
      </c>
      <c r="D72" s="54" t="s">
        <v>331</v>
      </c>
      <c r="E72" s="55"/>
      <c r="F72" s="57"/>
      <c r="G72" s="57"/>
      <c r="H72" s="54">
        <f t="shared" si="5"/>
        <v>0</v>
      </c>
      <c r="I72" s="58"/>
      <c r="J72" s="54">
        <f t="shared" si="9"/>
        <v>0</v>
      </c>
      <c r="K72" s="57"/>
      <c r="L72" s="54">
        <f t="shared" si="6"/>
        <v>0</v>
      </c>
      <c r="Q72" s="139">
        <f t="shared" si="7"/>
        <v>0</v>
      </c>
    </row>
    <row r="73" spans="1:17" hidden="1" x14ac:dyDescent="0.3">
      <c r="A73" s="54" t="s">
        <v>332</v>
      </c>
      <c r="B73" s="54"/>
      <c r="C73" s="54">
        <f>20000*12230</f>
        <v>244600000</v>
      </c>
      <c r="D73" s="54" t="s">
        <v>321</v>
      </c>
      <c r="E73" s="55" t="s">
        <v>333</v>
      </c>
      <c r="F73" s="57">
        <v>19030</v>
      </c>
      <c r="G73" s="57">
        <v>9780</v>
      </c>
      <c r="H73" s="54">
        <f t="shared" si="5"/>
        <v>9250</v>
      </c>
      <c r="I73" s="58">
        <v>2</v>
      </c>
      <c r="J73" s="54">
        <f t="shared" si="9"/>
        <v>9065</v>
      </c>
      <c r="K73" s="57">
        <v>3650</v>
      </c>
      <c r="L73" s="54">
        <f t="shared" si="6"/>
        <v>33087250</v>
      </c>
      <c r="P73" s="139">
        <v>32200000</v>
      </c>
      <c r="Q73" s="139">
        <f t="shared" si="7"/>
        <v>887250</v>
      </c>
    </row>
    <row r="74" spans="1:17" hidden="1" x14ac:dyDescent="0.3">
      <c r="A74" s="54"/>
      <c r="B74" s="54"/>
      <c r="C74" s="54">
        <v>800000</v>
      </c>
      <c r="D74" s="54" t="s">
        <v>334</v>
      </c>
      <c r="E74" s="55" t="s">
        <v>334</v>
      </c>
      <c r="F74" s="57">
        <v>20430</v>
      </c>
      <c r="G74" s="57">
        <v>9350</v>
      </c>
      <c r="H74" s="54">
        <f t="shared" si="5"/>
        <v>11080</v>
      </c>
      <c r="I74" s="58">
        <v>2.2999999999999998</v>
      </c>
      <c r="J74" s="54">
        <f t="shared" si="9"/>
        <v>10825.16</v>
      </c>
      <c r="K74" s="57">
        <v>3650</v>
      </c>
      <c r="L74" s="54">
        <f t="shared" si="6"/>
        <v>39511834</v>
      </c>
      <c r="P74" s="139">
        <v>37390000</v>
      </c>
      <c r="Q74" s="139">
        <f t="shared" si="7"/>
        <v>2121834</v>
      </c>
    </row>
    <row r="75" spans="1:17" hidden="1" x14ac:dyDescent="0.3">
      <c r="A75" s="54"/>
      <c r="B75" s="54"/>
      <c r="C75" s="54">
        <v>450000</v>
      </c>
      <c r="D75" s="54" t="s">
        <v>335</v>
      </c>
      <c r="E75" s="55" t="s">
        <v>226</v>
      </c>
      <c r="F75" s="57">
        <v>24660</v>
      </c>
      <c r="G75" s="57">
        <v>13340</v>
      </c>
      <c r="H75" s="54">
        <f t="shared" si="5"/>
        <v>11320</v>
      </c>
      <c r="I75" s="58">
        <v>2.4</v>
      </c>
      <c r="J75" s="54">
        <f t="shared" si="9"/>
        <v>11048.32</v>
      </c>
      <c r="K75" s="57">
        <v>3350</v>
      </c>
      <c r="L75" s="54">
        <f t="shared" si="6"/>
        <v>37011872</v>
      </c>
      <c r="P75" s="139">
        <v>36459000</v>
      </c>
      <c r="Q75" s="139">
        <f t="shared" si="7"/>
        <v>552872</v>
      </c>
    </row>
    <row r="76" spans="1:17" hidden="1" x14ac:dyDescent="0.3">
      <c r="B76" s="54"/>
      <c r="C76" s="54"/>
      <c r="D76" s="54"/>
      <c r="E76" s="55" t="s">
        <v>356</v>
      </c>
      <c r="F76" s="57">
        <v>22130</v>
      </c>
      <c r="G76" s="57">
        <v>11320</v>
      </c>
      <c r="H76" s="54">
        <f t="shared" si="5"/>
        <v>10810</v>
      </c>
      <c r="I76" s="58">
        <v>3.8</v>
      </c>
      <c r="J76" s="54">
        <f t="shared" si="9"/>
        <v>10399.219999999999</v>
      </c>
      <c r="K76" s="57">
        <v>3650</v>
      </c>
      <c r="L76" s="54">
        <f t="shared" si="6"/>
        <v>37957153</v>
      </c>
      <c r="P76" s="139">
        <v>37907000</v>
      </c>
      <c r="Q76" s="139">
        <f t="shared" si="7"/>
        <v>50153</v>
      </c>
    </row>
    <row r="77" spans="1:17" hidden="1" x14ac:dyDescent="0.3">
      <c r="B77" s="54"/>
      <c r="C77" s="54">
        <v>6000000</v>
      </c>
      <c r="D77" s="54" t="s">
        <v>336</v>
      </c>
      <c r="E77" s="55"/>
      <c r="F77" s="57"/>
      <c r="G77" s="57"/>
      <c r="H77" s="54">
        <f t="shared" si="5"/>
        <v>0</v>
      </c>
      <c r="I77" s="58"/>
      <c r="J77" s="54">
        <f t="shared" si="9"/>
        <v>0</v>
      </c>
      <c r="K77" s="57"/>
      <c r="L77" s="54">
        <f t="shared" si="6"/>
        <v>0</v>
      </c>
      <c r="Q77" s="139">
        <f t="shared" si="7"/>
        <v>0</v>
      </c>
    </row>
    <row r="78" spans="1:17" hidden="1" x14ac:dyDescent="0.3">
      <c r="A78" s="54"/>
      <c r="B78" s="54"/>
      <c r="C78" s="54">
        <v>1235000</v>
      </c>
      <c r="D78" s="54" t="s">
        <v>337</v>
      </c>
      <c r="E78" s="55"/>
      <c r="F78" s="57"/>
      <c r="G78" s="57"/>
      <c r="H78" s="54">
        <f t="shared" si="5"/>
        <v>0</v>
      </c>
      <c r="I78" s="58"/>
      <c r="J78" s="54">
        <f t="shared" si="9"/>
        <v>0</v>
      </c>
      <c r="K78" s="57"/>
      <c r="L78" s="54">
        <f t="shared" si="6"/>
        <v>0</v>
      </c>
      <c r="Q78" s="139">
        <f t="shared" si="7"/>
        <v>0</v>
      </c>
    </row>
    <row r="79" spans="1:17" hidden="1" x14ac:dyDescent="0.3">
      <c r="A79" s="54"/>
      <c r="B79" s="54"/>
      <c r="C79" s="54">
        <v>1070000</v>
      </c>
      <c r="D79" s="54" t="s">
        <v>338</v>
      </c>
      <c r="E79" s="55"/>
      <c r="F79" s="57"/>
      <c r="G79" s="57"/>
      <c r="H79" s="54">
        <f t="shared" si="5"/>
        <v>0</v>
      </c>
      <c r="I79" s="58"/>
      <c r="J79" s="54">
        <f t="shared" si="9"/>
        <v>0</v>
      </c>
      <c r="K79" s="57"/>
      <c r="L79" s="54">
        <f t="shared" si="6"/>
        <v>0</v>
      </c>
      <c r="Q79" s="139">
        <f t="shared" si="7"/>
        <v>0</v>
      </c>
    </row>
    <row r="80" spans="1:17" hidden="1" x14ac:dyDescent="0.3">
      <c r="A80" s="54" t="s">
        <v>339</v>
      </c>
      <c r="B80" s="54">
        <f>750*12230</f>
        <v>9172500</v>
      </c>
      <c r="C80" s="54"/>
      <c r="D80" s="54" t="s">
        <v>341</v>
      </c>
      <c r="E80" s="55" t="s">
        <v>340</v>
      </c>
      <c r="F80" s="57">
        <v>25080</v>
      </c>
      <c r="G80" s="57">
        <v>12740</v>
      </c>
      <c r="H80" s="54">
        <f t="shared" si="5"/>
        <v>12340</v>
      </c>
      <c r="I80" s="58">
        <v>2</v>
      </c>
      <c r="J80" s="54">
        <f t="shared" si="9"/>
        <v>12093.2</v>
      </c>
      <c r="K80" s="57">
        <v>3650</v>
      </c>
      <c r="L80" s="54">
        <f t="shared" si="6"/>
        <v>44140180</v>
      </c>
      <c r="P80" s="139">
        <v>43100000</v>
      </c>
      <c r="Q80" s="139">
        <f t="shared" si="7"/>
        <v>1040180</v>
      </c>
    </row>
    <row r="81" spans="1:20" hidden="1" x14ac:dyDescent="0.3">
      <c r="A81" s="54"/>
      <c r="B81" s="54"/>
      <c r="C81" s="54">
        <v>70000</v>
      </c>
      <c r="D81" s="54" t="s">
        <v>343</v>
      </c>
      <c r="E81" s="55" t="s">
        <v>342</v>
      </c>
      <c r="F81" s="57">
        <v>9920</v>
      </c>
      <c r="G81" s="57">
        <v>5020</v>
      </c>
      <c r="H81" s="54">
        <f t="shared" si="5"/>
        <v>4900</v>
      </c>
      <c r="I81" s="58">
        <v>3.6</v>
      </c>
      <c r="J81" s="54">
        <f t="shared" si="9"/>
        <v>4723.6000000000004</v>
      </c>
      <c r="K81" s="57">
        <v>3550</v>
      </c>
      <c r="L81" s="54">
        <f t="shared" si="6"/>
        <v>16768780.000000002</v>
      </c>
      <c r="P81" s="139">
        <v>16350000</v>
      </c>
      <c r="Q81" s="139">
        <f t="shared" si="7"/>
        <v>418780.00000000186</v>
      </c>
    </row>
    <row r="82" spans="1:20" hidden="1" x14ac:dyDescent="0.3">
      <c r="A82" s="54"/>
      <c r="B82" s="54"/>
      <c r="C82" s="54">
        <v>50000000</v>
      </c>
      <c r="D82" s="54" t="s">
        <v>344</v>
      </c>
      <c r="E82" s="55" t="s">
        <v>345</v>
      </c>
      <c r="F82" s="57">
        <v>10120</v>
      </c>
      <c r="G82" s="57">
        <v>5150</v>
      </c>
      <c r="H82" s="54">
        <f t="shared" si="5"/>
        <v>4970</v>
      </c>
      <c r="I82" s="58">
        <v>2</v>
      </c>
      <c r="J82" s="54">
        <f t="shared" si="9"/>
        <v>4870.6000000000004</v>
      </c>
      <c r="K82" s="57">
        <v>3900</v>
      </c>
      <c r="L82" s="54">
        <f t="shared" si="6"/>
        <v>18995340</v>
      </c>
      <c r="P82" s="139">
        <v>18319000</v>
      </c>
      <c r="Q82" s="139">
        <f t="shared" si="7"/>
        <v>676340</v>
      </c>
      <c r="T82" t="s">
        <v>33</v>
      </c>
    </row>
    <row r="83" spans="1:20" hidden="1" x14ac:dyDescent="0.3">
      <c r="A83" s="54" t="s">
        <v>350</v>
      </c>
      <c r="B83" s="54"/>
      <c r="C83" s="54">
        <f>15000*12170</f>
        <v>182550000</v>
      </c>
      <c r="D83" s="54" t="s">
        <v>351</v>
      </c>
      <c r="E83" s="55" t="s">
        <v>353</v>
      </c>
      <c r="F83" s="57">
        <v>9800</v>
      </c>
      <c r="G83" s="57">
        <v>4550</v>
      </c>
      <c r="H83" s="54">
        <f t="shared" si="5"/>
        <v>5250</v>
      </c>
      <c r="I83" s="58">
        <v>2</v>
      </c>
      <c r="J83" s="54">
        <f t="shared" si="9"/>
        <v>5145</v>
      </c>
      <c r="K83" s="57">
        <v>3900</v>
      </c>
      <c r="L83" s="54">
        <f t="shared" si="6"/>
        <v>20065500</v>
      </c>
      <c r="P83" s="139">
        <v>19350000</v>
      </c>
      <c r="Q83" s="139">
        <f t="shared" si="7"/>
        <v>715500</v>
      </c>
    </row>
    <row r="84" spans="1:20" hidden="1" x14ac:dyDescent="0.3">
      <c r="A84" s="54"/>
      <c r="B84" s="54"/>
      <c r="C84" s="54">
        <f>2000*12170</f>
        <v>24340000</v>
      </c>
      <c r="D84" s="54" t="s">
        <v>352</v>
      </c>
      <c r="E84" s="55" t="s">
        <v>354</v>
      </c>
      <c r="F84" s="57">
        <v>19950</v>
      </c>
      <c r="G84" s="57">
        <v>8980</v>
      </c>
      <c r="H84" s="54">
        <f t="shared" si="5"/>
        <v>10970</v>
      </c>
      <c r="I84" s="58">
        <v>2</v>
      </c>
      <c r="J84" s="54">
        <f t="shared" si="9"/>
        <v>10750.6</v>
      </c>
      <c r="K84" s="57">
        <v>3650</v>
      </c>
      <c r="L84" s="54">
        <f t="shared" si="6"/>
        <v>39239690</v>
      </c>
      <c r="P84" s="139">
        <v>38307000</v>
      </c>
      <c r="Q84" s="139">
        <f t="shared" si="7"/>
        <v>932690</v>
      </c>
    </row>
    <row r="85" spans="1:20" hidden="1" x14ac:dyDescent="0.3">
      <c r="A85" s="54"/>
      <c r="B85" s="54"/>
      <c r="C85" s="54"/>
      <c r="D85" s="54">
        <v>0</v>
      </c>
      <c r="E85" s="55" t="s">
        <v>355</v>
      </c>
      <c r="F85" s="57">
        <v>29560</v>
      </c>
      <c r="G85" s="57">
        <v>16030</v>
      </c>
      <c r="H85" s="54">
        <f t="shared" si="5"/>
        <v>13530</v>
      </c>
      <c r="I85" s="58">
        <v>1</v>
      </c>
      <c r="J85" s="54">
        <f t="shared" si="9"/>
        <v>13394.7</v>
      </c>
      <c r="K85" s="57">
        <v>3650</v>
      </c>
      <c r="L85" s="54">
        <f t="shared" si="6"/>
        <v>48890655</v>
      </c>
      <c r="P85" s="139">
        <v>47335000</v>
      </c>
      <c r="Q85" s="139">
        <f t="shared" si="7"/>
        <v>1555655</v>
      </c>
    </row>
    <row r="86" spans="1:20" hidden="1" x14ac:dyDescent="0.3">
      <c r="A86" s="54"/>
      <c r="B86" s="54"/>
      <c r="C86" s="54"/>
      <c r="D86" s="54">
        <v>0</v>
      </c>
      <c r="E86" s="55"/>
      <c r="F86" s="57"/>
      <c r="G86" s="57"/>
      <c r="H86" s="54">
        <f t="shared" si="5"/>
        <v>0</v>
      </c>
      <c r="I86" s="58"/>
      <c r="J86" s="54">
        <f t="shared" si="9"/>
        <v>0</v>
      </c>
      <c r="K86" s="57"/>
      <c r="L86" s="54">
        <f t="shared" si="6"/>
        <v>0</v>
      </c>
      <c r="Q86" s="139">
        <f t="shared" si="7"/>
        <v>0</v>
      </c>
    </row>
    <row r="87" spans="1:20" hidden="1" x14ac:dyDescent="0.3">
      <c r="A87" s="54"/>
      <c r="B87" s="54"/>
      <c r="C87" s="54"/>
      <c r="D87" s="54">
        <v>0</v>
      </c>
      <c r="E87" s="55"/>
      <c r="F87" s="57"/>
      <c r="G87" s="57"/>
      <c r="H87" s="54">
        <f t="shared" si="5"/>
        <v>0</v>
      </c>
      <c r="I87" s="58"/>
      <c r="J87" s="54">
        <f t="shared" si="9"/>
        <v>0</v>
      </c>
      <c r="K87" s="57"/>
      <c r="L87" s="54">
        <f t="shared" si="6"/>
        <v>0</v>
      </c>
      <c r="Q87" s="139">
        <f t="shared" si="7"/>
        <v>0</v>
      </c>
    </row>
    <row r="88" spans="1:20" hidden="1" x14ac:dyDescent="0.3">
      <c r="A88" s="54"/>
      <c r="B88" s="54"/>
      <c r="C88" s="54"/>
      <c r="D88" s="54">
        <v>0</v>
      </c>
      <c r="E88" s="55"/>
      <c r="F88" s="57"/>
      <c r="G88" s="57"/>
      <c r="H88" s="54">
        <f t="shared" si="5"/>
        <v>0</v>
      </c>
      <c r="I88" s="58"/>
      <c r="J88" s="54">
        <f t="shared" si="9"/>
        <v>0</v>
      </c>
      <c r="K88" s="57"/>
      <c r="L88" s="54">
        <f t="shared" si="6"/>
        <v>0</v>
      </c>
      <c r="Q88" s="139">
        <f t="shared" si="7"/>
        <v>0</v>
      </c>
    </row>
    <row r="89" spans="1:20" hidden="1" x14ac:dyDescent="0.3">
      <c r="A89" s="54" t="s">
        <v>365</v>
      </c>
      <c r="B89" s="54"/>
      <c r="C89" s="54"/>
      <c r="D89" s="54"/>
      <c r="E89" s="55" t="s">
        <v>366</v>
      </c>
      <c r="F89" s="57">
        <v>7320</v>
      </c>
      <c r="G89" s="57">
        <v>3740</v>
      </c>
      <c r="H89" s="54">
        <f t="shared" si="5"/>
        <v>3580</v>
      </c>
      <c r="I89" s="58">
        <v>2</v>
      </c>
      <c r="J89" s="54">
        <f t="shared" si="9"/>
        <v>3508.4</v>
      </c>
      <c r="K89" s="57">
        <v>3900</v>
      </c>
      <c r="L89" s="54">
        <f t="shared" si="6"/>
        <v>13682760</v>
      </c>
      <c r="P89" s="139">
        <v>13195000</v>
      </c>
      <c r="Q89" s="139">
        <f t="shared" si="7"/>
        <v>487760</v>
      </c>
    </row>
    <row r="90" spans="1:20" hidden="1" x14ac:dyDescent="0.3">
      <c r="A90" s="54"/>
      <c r="B90" s="54"/>
      <c r="C90" s="54"/>
      <c r="D90" s="54"/>
      <c r="E90" s="55" t="s">
        <v>367</v>
      </c>
      <c r="F90" s="57">
        <v>19950</v>
      </c>
      <c r="G90" s="57">
        <v>9430</v>
      </c>
      <c r="H90" s="54">
        <f t="shared" si="5"/>
        <v>10520</v>
      </c>
      <c r="I90" s="58"/>
      <c r="J90" s="54">
        <f t="shared" si="9"/>
        <v>10520</v>
      </c>
      <c r="K90" s="57">
        <v>3650</v>
      </c>
      <c r="L90" s="54">
        <f t="shared" si="6"/>
        <v>38398000</v>
      </c>
      <c r="P90" s="139">
        <v>37493000</v>
      </c>
      <c r="Q90" s="139">
        <f t="shared" si="7"/>
        <v>905000</v>
      </c>
    </row>
    <row r="91" spans="1:20" hidden="1" x14ac:dyDescent="0.3">
      <c r="A91" s="54"/>
      <c r="B91" s="54"/>
      <c r="C91" s="54"/>
      <c r="D91" s="54"/>
      <c r="E91" s="55" t="s">
        <v>368</v>
      </c>
      <c r="F91" s="57">
        <v>20920</v>
      </c>
      <c r="G91" s="57">
        <v>10580</v>
      </c>
      <c r="H91" s="54">
        <f t="shared" ref="H91:H154" si="10">+F91-G91</f>
        <v>10340</v>
      </c>
      <c r="I91" s="58">
        <v>5</v>
      </c>
      <c r="J91" s="54">
        <f t="shared" si="9"/>
        <v>9823</v>
      </c>
      <c r="K91" s="57">
        <v>3350</v>
      </c>
      <c r="L91" s="54">
        <f t="shared" ref="L91:L154" si="11">+J91*K91</f>
        <v>32907050</v>
      </c>
      <c r="P91" s="139">
        <v>32415000</v>
      </c>
      <c r="Q91" s="139">
        <f t="shared" si="7"/>
        <v>492050</v>
      </c>
    </row>
    <row r="92" spans="1:20" hidden="1" x14ac:dyDescent="0.3">
      <c r="A92" s="54"/>
      <c r="B92" s="54"/>
      <c r="C92" s="54"/>
      <c r="D92" s="54"/>
      <c r="E92" s="55" t="s">
        <v>369</v>
      </c>
      <c r="F92" s="57">
        <v>25700</v>
      </c>
      <c r="G92" s="57">
        <v>13200</v>
      </c>
      <c r="H92" s="54">
        <f t="shared" si="10"/>
        <v>12500</v>
      </c>
      <c r="I92" s="58">
        <v>5</v>
      </c>
      <c r="J92" s="54">
        <f t="shared" si="9"/>
        <v>11875</v>
      </c>
      <c r="K92" s="57">
        <v>3350</v>
      </c>
      <c r="L92" s="54">
        <f t="shared" si="11"/>
        <v>39781250</v>
      </c>
      <c r="P92" s="139">
        <v>39187000</v>
      </c>
      <c r="Q92" s="139">
        <f t="shared" ref="Q92:Q155" si="12">+L92-P92</f>
        <v>594250</v>
      </c>
    </row>
    <row r="93" spans="1:20" hidden="1" x14ac:dyDescent="0.3">
      <c r="A93" s="54"/>
      <c r="B93" s="54"/>
      <c r="C93" s="54"/>
      <c r="D93" s="54">
        <v>0</v>
      </c>
      <c r="E93" s="55"/>
      <c r="F93" s="57"/>
      <c r="G93" s="57"/>
      <c r="H93" s="54">
        <f t="shared" si="10"/>
        <v>0</v>
      </c>
      <c r="I93" s="58"/>
      <c r="J93" s="54">
        <f t="shared" si="9"/>
        <v>0</v>
      </c>
      <c r="K93" s="57"/>
      <c r="L93" s="54">
        <f t="shared" si="11"/>
        <v>0</v>
      </c>
      <c r="Q93" s="139">
        <f t="shared" si="12"/>
        <v>0</v>
      </c>
    </row>
    <row r="94" spans="1:20" hidden="1" x14ac:dyDescent="0.3">
      <c r="A94" s="54"/>
      <c r="B94" s="54"/>
      <c r="C94" s="54"/>
      <c r="D94" s="54">
        <v>0</v>
      </c>
      <c r="E94" s="55"/>
      <c r="F94" s="57"/>
      <c r="G94" s="57"/>
      <c r="H94" s="54">
        <f t="shared" si="10"/>
        <v>0</v>
      </c>
      <c r="I94" s="58"/>
      <c r="J94" s="54">
        <f t="shared" si="9"/>
        <v>0</v>
      </c>
      <c r="K94" s="57"/>
      <c r="L94" s="54">
        <f t="shared" si="11"/>
        <v>0</v>
      </c>
      <c r="Q94" s="139">
        <f t="shared" si="12"/>
        <v>0</v>
      </c>
    </row>
    <row r="95" spans="1:20" hidden="1" x14ac:dyDescent="0.3">
      <c r="A95" s="54"/>
      <c r="B95" s="54"/>
      <c r="C95" s="54"/>
      <c r="D95" s="54">
        <v>0</v>
      </c>
      <c r="E95" s="55"/>
      <c r="F95" s="57"/>
      <c r="G95" s="57"/>
      <c r="H95" s="54">
        <f t="shared" si="10"/>
        <v>0</v>
      </c>
      <c r="I95" s="58"/>
      <c r="J95" s="54">
        <f t="shared" si="9"/>
        <v>0</v>
      </c>
      <c r="K95" s="57"/>
      <c r="L95" s="54">
        <f t="shared" si="11"/>
        <v>0</v>
      </c>
      <c r="Q95" s="139">
        <f t="shared" si="12"/>
        <v>0</v>
      </c>
    </row>
    <row r="96" spans="1:20" hidden="1" x14ac:dyDescent="0.3">
      <c r="A96" s="54" t="s">
        <v>375</v>
      </c>
      <c r="B96" s="54"/>
      <c r="C96" s="54">
        <f>30000*12150</f>
        <v>364500000</v>
      </c>
      <c r="D96" s="54" t="s">
        <v>376</v>
      </c>
      <c r="E96" s="55" t="s">
        <v>377</v>
      </c>
      <c r="F96" s="57">
        <v>27050</v>
      </c>
      <c r="G96" s="57">
        <v>14880</v>
      </c>
      <c r="H96" s="54">
        <f t="shared" si="10"/>
        <v>12170</v>
      </c>
      <c r="I96" s="58">
        <v>2</v>
      </c>
      <c r="J96" s="54">
        <f t="shared" si="9"/>
        <v>11926.6</v>
      </c>
      <c r="K96" s="57">
        <v>3650</v>
      </c>
      <c r="L96" s="54">
        <f t="shared" si="11"/>
        <v>43532090</v>
      </c>
      <c r="P96" s="139">
        <v>42500000</v>
      </c>
      <c r="Q96" s="139">
        <f t="shared" si="12"/>
        <v>1032090</v>
      </c>
    </row>
    <row r="97" spans="1:17" hidden="1" x14ac:dyDescent="0.3">
      <c r="A97" s="54"/>
      <c r="B97" s="54"/>
      <c r="C97" s="54"/>
      <c r="D97" s="54"/>
      <c r="E97" s="55" t="s">
        <v>378</v>
      </c>
      <c r="F97" s="57">
        <v>24180</v>
      </c>
      <c r="G97" s="57">
        <v>13660</v>
      </c>
      <c r="H97" s="54">
        <f t="shared" si="10"/>
        <v>10520</v>
      </c>
      <c r="I97" s="58">
        <v>2</v>
      </c>
      <c r="J97" s="54">
        <f t="shared" si="9"/>
        <v>10309.6</v>
      </c>
      <c r="K97" s="57">
        <v>3350</v>
      </c>
      <c r="L97" s="54">
        <f t="shared" si="11"/>
        <v>34537160</v>
      </c>
      <c r="P97" s="139">
        <v>34016000</v>
      </c>
      <c r="Q97" s="139">
        <f t="shared" si="12"/>
        <v>521160</v>
      </c>
    </row>
    <row r="98" spans="1:17" hidden="1" x14ac:dyDescent="0.3">
      <c r="A98" s="54"/>
      <c r="B98" s="54"/>
      <c r="C98" s="54">
        <v>600000</v>
      </c>
      <c r="D98" s="54" t="s">
        <v>383</v>
      </c>
      <c r="E98" s="55"/>
      <c r="F98" s="57"/>
      <c r="G98" s="57"/>
      <c r="H98" s="54">
        <f t="shared" si="10"/>
        <v>0</v>
      </c>
      <c r="I98" s="58"/>
      <c r="J98" s="54">
        <f t="shared" si="9"/>
        <v>0</v>
      </c>
      <c r="K98" s="57"/>
      <c r="L98" s="54">
        <f t="shared" si="11"/>
        <v>0</v>
      </c>
      <c r="Q98" s="139">
        <f t="shared" si="12"/>
        <v>0</v>
      </c>
    </row>
    <row r="99" spans="1:17" hidden="1" x14ac:dyDescent="0.3">
      <c r="A99" s="54"/>
      <c r="B99" s="54"/>
      <c r="C99" s="54"/>
      <c r="D99" s="54"/>
      <c r="E99" s="55"/>
      <c r="F99" s="57"/>
      <c r="G99" s="57"/>
      <c r="H99" s="54">
        <f t="shared" si="10"/>
        <v>0</v>
      </c>
      <c r="I99" s="58"/>
      <c r="J99" s="54">
        <f t="shared" si="9"/>
        <v>0</v>
      </c>
      <c r="K99" s="57"/>
      <c r="L99" s="54">
        <f t="shared" si="11"/>
        <v>0</v>
      </c>
      <c r="Q99" s="139">
        <f t="shared" si="12"/>
        <v>0</v>
      </c>
    </row>
    <row r="100" spans="1:17" hidden="1" x14ac:dyDescent="0.3">
      <c r="A100" s="54" t="s">
        <v>385</v>
      </c>
      <c r="B100" s="54"/>
      <c r="C100" s="54">
        <v>250000</v>
      </c>
      <c r="D100" s="54" t="s">
        <v>387</v>
      </c>
      <c r="E100" s="55" t="s">
        <v>386</v>
      </c>
      <c r="F100" s="57">
        <v>20820</v>
      </c>
      <c r="G100" s="57">
        <v>9220</v>
      </c>
      <c r="H100" s="54">
        <f t="shared" si="10"/>
        <v>11600</v>
      </c>
      <c r="I100" s="58">
        <v>2</v>
      </c>
      <c r="J100" s="54">
        <f t="shared" ref="J100:J119" si="13">+H100-H100*I100/100</f>
        <v>11368</v>
      </c>
      <c r="K100" s="57">
        <v>3650</v>
      </c>
      <c r="L100" s="54">
        <f t="shared" si="11"/>
        <v>41493200</v>
      </c>
      <c r="P100" s="139">
        <v>39741000</v>
      </c>
      <c r="Q100" s="139">
        <f t="shared" si="12"/>
        <v>1752200</v>
      </c>
    </row>
    <row r="101" spans="1:17" hidden="1" x14ac:dyDescent="0.3">
      <c r="B101" s="54"/>
      <c r="C101" s="54">
        <v>60000000</v>
      </c>
      <c r="D101" s="54" t="s">
        <v>389</v>
      </c>
      <c r="E101" s="54" t="s">
        <v>388</v>
      </c>
      <c r="F101" s="57">
        <v>26420</v>
      </c>
      <c r="G101" s="57">
        <v>13080</v>
      </c>
      <c r="H101" s="54">
        <f t="shared" si="10"/>
        <v>13340</v>
      </c>
      <c r="I101" s="58">
        <v>2.7</v>
      </c>
      <c r="J101" s="54">
        <f t="shared" si="13"/>
        <v>12979.82</v>
      </c>
      <c r="K101" s="57">
        <v>3400</v>
      </c>
      <c r="L101" s="54">
        <f t="shared" si="11"/>
        <v>44131388</v>
      </c>
      <c r="P101" s="139">
        <v>42833000</v>
      </c>
      <c r="Q101" s="139">
        <f t="shared" si="12"/>
        <v>1298388</v>
      </c>
    </row>
    <row r="102" spans="1:17" hidden="1" x14ac:dyDescent="0.3">
      <c r="A102" s="54"/>
      <c r="B102" s="54"/>
      <c r="C102" s="54">
        <v>250000</v>
      </c>
      <c r="D102" s="54"/>
      <c r="E102" s="55" t="s">
        <v>390</v>
      </c>
      <c r="F102" s="57">
        <v>23440</v>
      </c>
      <c r="G102" s="57">
        <v>13780</v>
      </c>
      <c r="H102" s="54">
        <f t="shared" si="10"/>
        <v>9660</v>
      </c>
      <c r="I102" s="58">
        <v>4.3</v>
      </c>
      <c r="J102" s="54">
        <f t="shared" si="13"/>
        <v>9244.6200000000008</v>
      </c>
      <c r="K102" s="57">
        <v>3400</v>
      </c>
      <c r="L102" s="54">
        <f t="shared" si="11"/>
        <v>31431708.000000004</v>
      </c>
      <c r="P102" s="139">
        <v>30510000</v>
      </c>
      <c r="Q102" s="139">
        <f t="shared" si="12"/>
        <v>921708.00000000373</v>
      </c>
    </row>
    <row r="103" spans="1:17" hidden="1" x14ac:dyDescent="0.3">
      <c r="A103" s="54"/>
      <c r="B103" s="54"/>
      <c r="C103" s="54"/>
      <c r="D103" s="54"/>
      <c r="E103" s="55" t="s">
        <v>391</v>
      </c>
      <c r="F103" s="57">
        <v>10580</v>
      </c>
      <c r="G103" s="57">
        <v>4940</v>
      </c>
      <c r="H103" s="54">
        <f t="shared" si="10"/>
        <v>5640</v>
      </c>
      <c r="I103" s="58">
        <v>2.4</v>
      </c>
      <c r="J103" s="54">
        <f t="shared" si="13"/>
        <v>5504.64</v>
      </c>
      <c r="K103" s="57">
        <v>3650</v>
      </c>
      <c r="L103" s="54">
        <f t="shared" si="11"/>
        <v>20091936</v>
      </c>
      <c r="P103" s="139">
        <v>19524000</v>
      </c>
      <c r="Q103" s="139">
        <f t="shared" si="12"/>
        <v>567936</v>
      </c>
    </row>
    <row r="104" spans="1:17" hidden="1" x14ac:dyDescent="0.3">
      <c r="A104" s="54" t="s">
        <v>397</v>
      </c>
      <c r="B104" s="54"/>
      <c r="C104" s="54">
        <f>17000*12180</f>
        <v>207060000</v>
      </c>
      <c r="D104" s="54" t="s">
        <v>398</v>
      </c>
      <c r="E104" s="55" t="s">
        <v>399</v>
      </c>
      <c r="F104" s="57">
        <v>19860</v>
      </c>
      <c r="G104" s="57">
        <v>9760</v>
      </c>
      <c r="H104" s="54">
        <f t="shared" si="10"/>
        <v>10100</v>
      </c>
      <c r="I104" s="58">
        <v>2</v>
      </c>
      <c r="J104" s="54">
        <f t="shared" si="13"/>
        <v>9898</v>
      </c>
      <c r="K104" s="57">
        <v>3650</v>
      </c>
      <c r="L104" s="54">
        <f t="shared" si="11"/>
        <v>36127700</v>
      </c>
      <c r="P104" s="139">
        <v>35271000</v>
      </c>
      <c r="Q104" s="139">
        <f t="shared" si="12"/>
        <v>856700</v>
      </c>
    </row>
    <row r="105" spans="1:17" hidden="1" x14ac:dyDescent="0.3">
      <c r="A105" s="54"/>
      <c r="B105" s="54"/>
      <c r="C105" s="54"/>
      <c r="D105" s="54"/>
      <c r="E105" s="55" t="s">
        <v>400</v>
      </c>
      <c r="F105" s="57">
        <v>25820</v>
      </c>
      <c r="G105" s="57">
        <v>12770</v>
      </c>
      <c r="H105" s="54">
        <f t="shared" si="10"/>
        <v>13050</v>
      </c>
      <c r="I105" s="58">
        <v>2</v>
      </c>
      <c r="J105" s="54">
        <f t="shared" si="13"/>
        <v>12789</v>
      </c>
      <c r="K105" s="57">
        <v>3650</v>
      </c>
      <c r="L105" s="54">
        <f t="shared" si="11"/>
        <v>46679850</v>
      </c>
      <c r="P105" s="139">
        <v>44900000</v>
      </c>
      <c r="Q105" s="139">
        <f t="shared" si="12"/>
        <v>1779850</v>
      </c>
    </row>
    <row r="106" spans="1:17" hidden="1" x14ac:dyDescent="0.3">
      <c r="A106" s="54"/>
      <c r="B106" s="54"/>
      <c r="C106" s="54"/>
      <c r="D106" s="54"/>
      <c r="E106" s="55"/>
      <c r="F106" s="57"/>
      <c r="G106" s="57"/>
      <c r="H106" s="54">
        <f t="shared" si="10"/>
        <v>0</v>
      </c>
      <c r="I106" s="58"/>
      <c r="J106" s="54">
        <f t="shared" si="13"/>
        <v>0</v>
      </c>
      <c r="K106" s="57"/>
      <c r="L106" s="54">
        <f t="shared" si="11"/>
        <v>0</v>
      </c>
      <c r="Q106" s="139">
        <f t="shared" si="12"/>
        <v>0</v>
      </c>
    </row>
    <row r="107" spans="1:17" hidden="1" x14ac:dyDescent="0.3">
      <c r="A107" s="54"/>
      <c r="B107" s="54"/>
      <c r="C107" s="54"/>
      <c r="D107" s="54"/>
      <c r="E107" s="55"/>
      <c r="F107" s="57"/>
      <c r="G107" s="57"/>
      <c r="H107" s="54">
        <f t="shared" si="10"/>
        <v>0</v>
      </c>
      <c r="I107" s="58"/>
      <c r="J107" s="54">
        <f t="shared" si="13"/>
        <v>0</v>
      </c>
      <c r="K107" s="57"/>
      <c r="L107" s="54">
        <f t="shared" si="11"/>
        <v>0</v>
      </c>
      <c r="Q107" s="139">
        <f t="shared" si="12"/>
        <v>0</v>
      </c>
    </row>
    <row r="108" spans="1:17" hidden="1" x14ac:dyDescent="0.3">
      <c r="A108" s="54"/>
      <c r="B108" s="54"/>
      <c r="C108" s="54"/>
      <c r="D108" s="54"/>
      <c r="E108" s="55"/>
      <c r="F108" s="57"/>
      <c r="G108" s="57"/>
      <c r="H108" s="54">
        <f t="shared" si="10"/>
        <v>0</v>
      </c>
      <c r="I108" s="58"/>
      <c r="J108" s="54">
        <f t="shared" si="13"/>
        <v>0</v>
      </c>
      <c r="K108" s="57"/>
      <c r="L108" s="54">
        <f t="shared" si="11"/>
        <v>0</v>
      </c>
      <c r="Q108" s="139">
        <f t="shared" si="12"/>
        <v>0</v>
      </c>
    </row>
    <row r="109" spans="1:17" hidden="1" x14ac:dyDescent="0.3">
      <c r="A109" s="54" t="s">
        <v>406</v>
      </c>
      <c r="B109" s="54"/>
      <c r="C109" s="54"/>
      <c r="D109" s="54"/>
      <c r="E109" s="55" t="s">
        <v>407</v>
      </c>
      <c r="F109" s="57">
        <v>9260</v>
      </c>
      <c r="G109" s="57">
        <v>4620</v>
      </c>
      <c r="H109" s="54">
        <f t="shared" si="10"/>
        <v>4640</v>
      </c>
      <c r="I109" s="58">
        <v>2</v>
      </c>
      <c r="J109" s="54">
        <f t="shared" si="13"/>
        <v>4547.2</v>
      </c>
      <c r="K109" s="57">
        <v>3850</v>
      </c>
      <c r="L109" s="54">
        <f t="shared" si="11"/>
        <v>17506720</v>
      </c>
      <c r="P109" s="139">
        <v>17103000</v>
      </c>
      <c r="Q109" s="139">
        <f t="shared" si="12"/>
        <v>403720</v>
      </c>
    </row>
    <row r="110" spans="1:17" hidden="1" x14ac:dyDescent="0.3">
      <c r="A110" s="54"/>
      <c r="B110" s="54"/>
      <c r="C110" s="54">
        <v>2200000</v>
      </c>
      <c r="D110" s="54" t="s">
        <v>414</v>
      </c>
      <c r="E110" s="55"/>
      <c r="F110" s="57"/>
      <c r="G110" s="57"/>
      <c r="H110" s="54">
        <f t="shared" si="10"/>
        <v>0</v>
      </c>
      <c r="I110" s="58"/>
      <c r="J110" s="54">
        <f t="shared" si="13"/>
        <v>0</v>
      </c>
      <c r="K110" s="57"/>
      <c r="L110" s="54">
        <f t="shared" si="11"/>
        <v>0</v>
      </c>
      <c r="Q110" s="139">
        <f t="shared" si="12"/>
        <v>0</v>
      </c>
    </row>
    <row r="111" spans="1:17" hidden="1" x14ac:dyDescent="0.3">
      <c r="A111" s="54" t="s">
        <v>411</v>
      </c>
      <c r="B111" s="54"/>
      <c r="C111" s="54">
        <f>17000*12200</f>
        <v>207400000</v>
      </c>
      <c r="D111" s="54" t="s">
        <v>413</v>
      </c>
      <c r="E111" s="55" t="s">
        <v>415</v>
      </c>
      <c r="F111" s="57">
        <v>24790</v>
      </c>
      <c r="G111" s="57">
        <v>13100</v>
      </c>
      <c r="H111" s="54">
        <f t="shared" si="10"/>
        <v>11690</v>
      </c>
      <c r="I111" s="58">
        <v>3.7</v>
      </c>
      <c r="J111" s="54">
        <f t="shared" si="13"/>
        <v>11257.47</v>
      </c>
      <c r="K111" s="57">
        <v>3600</v>
      </c>
      <c r="L111" s="54">
        <f t="shared" si="11"/>
        <v>40526892</v>
      </c>
      <c r="P111" s="139">
        <v>38404000</v>
      </c>
      <c r="Q111" s="139">
        <f t="shared" si="12"/>
        <v>2122892</v>
      </c>
    </row>
    <row r="112" spans="1:17" hidden="1" x14ac:dyDescent="0.3">
      <c r="A112" s="54"/>
      <c r="B112" s="54"/>
      <c r="C112" s="54">
        <v>1200000</v>
      </c>
      <c r="D112" s="54" t="s">
        <v>417</v>
      </c>
      <c r="E112" s="55" t="s">
        <v>416</v>
      </c>
      <c r="F112" s="57">
        <v>24230</v>
      </c>
      <c r="G112" s="57">
        <v>12800</v>
      </c>
      <c r="H112" s="54">
        <f t="shared" si="10"/>
        <v>11430</v>
      </c>
      <c r="I112" s="58">
        <v>2</v>
      </c>
      <c r="J112" s="54">
        <f t="shared" si="13"/>
        <v>11201.4</v>
      </c>
      <c r="K112" s="57">
        <v>3600</v>
      </c>
      <c r="L112" s="54">
        <f t="shared" si="11"/>
        <v>40325040</v>
      </c>
      <c r="P112" s="139">
        <v>38800000</v>
      </c>
      <c r="Q112" s="139">
        <f t="shared" si="12"/>
        <v>1525040</v>
      </c>
    </row>
    <row r="113" spans="1:17" hidden="1" x14ac:dyDescent="0.3">
      <c r="A113" s="54"/>
      <c r="B113" s="54"/>
      <c r="C113" s="54">
        <v>750000</v>
      </c>
      <c r="D113" s="54" t="s">
        <v>228</v>
      </c>
      <c r="E113" s="55" t="s">
        <v>418</v>
      </c>
      <c r="F113" s="57">
        <v>17260</v>
      </c>
      <c r="G113" s="57">
        <v>10180</v>
      </c>
      <c r="H113" s="54">
        <f t="shared" si="10"/>
        <v>7080</v>
      </c>
      <c r="I113" s="58">
        <v>4.3</v>
      </c>
      <c r="J113" s="54">
        <f t="shared" si="13"/>
        <v>6775.56</v>
      </c>
      <c r="K113" s="57">
        <v>3400</v>
      </c>
      <c r="L113" s="54">
        <f t="shared" si="11"/>
        <v>23036904</v>
      </c>
      <c r="P113" s="139">
        <v>22320000</v>
      </c>
      <c r="Q113" s="139">
        <f t="shared" si="12"/>
        <v>716904</v>
      </c>
    </row>
    <row r="114" spans="1:17" hidden="1" x14ac:dyDescent="0.3">
      <c r="A114" s="54"/>
      <c r="B114" s="54"/>
      <c r="C114" s="54">
        <v>200000</v>
      </c>
      <c r="D114" s="54" t="s">
        <v>335</v>
      </c>
      <c r="E114" s="55" t="s">
        <v>419</v>
      </c>
      <c r="F114" s="57">
        <v>9540</v>
      </c>
      <c r="G114" s="57">
        <v>5190</v>
      </c>
      <c r="H114" s="54">
        <f t="shared" si="10"/>
        <v>4350</v>
      </c>
      <c r="I114" s="58"/>
      <c r="J114" s="54">
        <f t="shared" si="13"/>
        <v>4350</v>
      </c>
      <c r="K114" s="57">
        <v>3700</v>
      </c>
      <c r="L114" s="54">
        <f t="shared" si="11"/>
        <v>16095000</v>
      </c>
      <c r="P114" s="139">
        <v>15056000</v>
      </c>
      <c r="Q114" s="139">
        <f t="shared" si="12"/>
        <v>1039000</v>
      </c>
    </row>
    <row r="115" spans="1:17" hidden="1" x14ac:dyDescent="0.3">
      <c r="A115" s="54" t="s">
        <v>412</v>
      </c>
      <c r="B115" s="54"/>
      <c r="C115" s="54"/>
      <c r="D115" s="54"/>
      <c r="E115" s="55" t="s">
        <v>420</v>
      </c>
      <c r="F115" s="57">
        <v>10560</v>
      </c>
      <c r="G115" s="57">
        <v>5200</v>
      </c>
      <c r="H115" s="54">
        <f t="shared" si="10"/>
        <v>5360</v>
      </c>
      <c r="I115" s="58"/>
      <c r="J115" s="54">
        <f t="shared" si="13"/>
        <v>5360</v>
      </c>
      <c r="K115" s="57">
        <v>3700</v>
      </c>
      <c r="L115" s="54">
        <f t="shared" si="11"/>
        <v>19832000</v>
      </c>
      <c r="P115" s="139">
        <v>19300000</v>
      </c>
      <c r="Q115" s="139">
        <f t="shared" si="12"/>
        <v>532000</v>
      </c>
    </row>
    <row r="116" spans="1:17" hidden="1" x14ac:dyDescent="0.3">
      <c r="A116" s="54"/>
      <c r="B116" s="54"/>
      <c r="C116" s="54">
        <v>358000</v>
      </c>
      <c r="D116" s="54" t="s">
        <v>423</v>
      </c>
      <c r="E116" s="55" t="s">
        <v>421</v>
      </c>
      <c r="F116" s="57">
        <v>11800</v>
      </c>
      <c r="G116" s="57">
        <v>4900</v>
      </c>
      <c r="H116" s="54">
        <f t="shared" si="10"/>
        <v>6900</v>
      </c>
      <c r="I116" s="58">
        <v>3.8</v>
      </c>
      <c r="J116" s="54">
        <f t="shared" si="13"/>
        <v>6637.8</v>
      </c>
      <c r="K116" s="57">
        <v>3600</v>
      </c>
      <c r="L116" s="54">
        <f t="shared" si="11"/>
        <v>23896080</v>
      </c>
      <c r="P116" s="139">
        <v>23174000</v>
      </c>
      <c r="Q116" s="139">
        <f t="shared" si="12"/>
        <v>722080</v>
      </c>
    </row>
    <row r="117" spans="1:17" hidden="1" x14ac:dyDescent="0.3">
      <c r="A117" s="54"/>
      <c r="B117" s="54"/>
      <c r="C117" s="54"/>
      <c r="D117" s="54" t="s">
        <v>33</v>
      </c>
      <c r="E117" s="55" t="s">
        <v>422</v>
      </c>
      <c r="F117" s="57">
        <v>19780</v>
      </c>
      <c r="G117" s="57">
        <v>8900</v>
      </c>
      <c r="H117" s="54">
        <f t="shared" si="10"/>
        <v>10880</v>
      </c>
      <c r="I117" s="58">
        <v>2</v>
      </c>
      <c r="J117" s="54">
        <f t="shared" si="13"/>
        <v>10662.4</v>
      </c>
      <c r="K117" s="57">
        <v>3600</v>
      </c>
      <c r="L117" s="54">
        <f t="shared" si="11"/>
        <v>38384640</v>
      </c>
      <c r="P117" s="139">
        <v>37889000</v>
      </c>
      <c r="Q117" s="139">
        <f t="shared" si="12"/>
        <v>495640</v>
      </c>
    </row>
    <row r="118" spans="1:17" hidden="1" x14ac:dyDescent="0.3">
      <c r="A118" s="54"/>
      <c r="B118" s="54"/>
      <c r="C118" s="54"/>
      <c r="D118" s="54"/>
      <c r="E118" s="55"/>
      <c r="F118" s="57"/>
      <c r="G118" s="57"/>
      <c r="H118" s="54">
        <f t="shared" si="10"/>
        <v>0</v>
      </c>
      <c r="I118" s="58"/>
      <c r="J118" s="54">
        <f t="shared" si="13"/>
        <v>0</v>
      </c>
      <c r="K118" s="57"/>
      <c r="L118" s="54">
        <f t="shared" si="11"/>
        <v>0</v>
      </c>
      <c r="Q118" s="139">
        <f t="shared" si="12"/>
        <v>0</v>
      </c>
    </row>
    <row r="119" spans="1:17" hidden="1" x14ac:dyDescent="0.3">
      <c r="A119" s="54"/>
      <c r="B119" s="54"/>
      <c r="C119" s="54"/>
      <c r="D119" s="54"/>
      <c r="E119" s="55"/>
      <c r="F119" s="57"/>
      <c r="G119" s="57"/>
      <c r="H119" s="54">
        <f t="shared" si="10"/>
        <v>0</v>
      </c>
      <c r="I119" s="58"/>
      <c r="J119" s="54">
        <f t="shared" si="13"/>
        <v>0</v>
      </c>
      <c r="K119" s="57"/>
      <c r="L119" s="54">
        <f t="shared" si="11"/>
        <v>0</v>
      </c>
      <c r="Q119" s="139">
        <f t="shared" si="12"/>
        <v>0</v>
      </c>
    </row>
    <row r="120" spans="1:17" hidden="1" x14ac:dyDescent="0.3">
      <c r="A120" s="54"/>
      <c r="B120" s="54"/>
      <c r="C120" s="54"/>
      <c r="D120" s="54"/>
      <c r="E120" s="55"/>
      <c r="F120" s="57"/>
      <c r="G120" s="57"/>
      <c r="H120" s="54">
        <f t="shared" si="10"/>
        <v>0</v>
      </c>
      <c r="I120" s="58"/>
      <c r="J120" s="54">
        <f t="shared" ref="J120:J154" si="14">+H120-H120*I120/100</f>
        <v>0</v>
      </c>
      <c r="K120" s="57"/>
      <c r="L120" s="54">
        <f t="shared" si="11"/>
        <v>0</v>
      </c>
      <c r="Q120" s="139">
        <f t="shared" si="12"/>
        <v>0</v>
      </c>
    </row>
    <row r="121" spans="1:17" hidden="1" x14ac:dyDescent="0.3">
      <c r="A121" s="54"/>
      <c r="B121" s="54"/>
      <c r="C121" s="54"/>
      <c r="D121" s="54"/>
      <c r="E121" s="55"/>
      <c r="F121" s="57"/>
      <c r="G121" s="57"/>
      <c r="H121" s="54">
        <f t="shared" si="10"/>
        <v>0</v>
      </c>
      <c r="I121" s="58"/>
      <c r="J121" s="54">
        <f t="shared" si="14"/>
        <v>0</v>
      </c>
      <c r="K121" s="57"/>
      <c r="L121" s="54">
        <f t="shared" si="11"/>
        <v>0</v>
      </c>
      <c r="Q121" s="139">
        <f t="shared" si="12"/>
        <v>0</v>
      </c>
    </row>
    <row r="122" spans="1:17" hidden="1" x14ac:dyDescent="0.3">
      <c r="A122" s="54" t="s">
        <v>430</v>
      </c>
      <c r="B122" s="54"/>
      <c r="C122" s="54">
        <v>121500000</v>
      </c>
      <c r="D122" s="54" t="s">
        <v>439</v>
      </c>
      <c r="E122" s="55" t="s">
        <v>440</v>
      </c>
      <c r="F122" s="57">
        <v>12800</v>
      </c>
      <c r="G122" s="57">
        <v>4960</v>
      </c>
      <c r="H122" s="54">
        <f t="shared" si="10"/>
        <v>7840</v>
      </c>
      <c r="I122" s="58">
        <v>2.6</v>
      </c>
      <c r="J122" s="54">
        <f t="shared" si="14"/>
        <v>7636.16</v>
      </c>
      <c r="K122" s="57">
        <v>3650</v>
      </c>
      <c r="L122" s="54">
        <f t="shared" si="11"/>
        <v>27871984</v>
      </c>
      <c r="P122" s="139">
        <v>27108000</v>
      </c>
      <c r="Q122" s="139">
        <f t="shared" si="12"/>
        <v>763984</v>
      </c>
    </row>
    <row r="123" spans="1:17" hidden="1" x14ac:dyDescent="0.3">
      <c r="A123" s="54"/>
      <c r="B123" s="54"/>
      <c r="C123" s="54">
        <v>800000</v>
      </c>
      <c r="D123" s="54" t="s">
        <v>334</v>
      </c>
      <c r="E123" s="55" t="s">
        <v>374</v>
      </c>
      <c r="F123" s="57">
        <v>21440</v>
      </c>
      <c r="G123" s="57">
        <v>9240</v>
      </c>
      <c r="H123" s="54">
        <f t="shared" si="10"/>
        <v>12200</v>
      </c>
      <c r="I123" s="58">
        <v>2</v>
      </c>
      <c r="J123" s="54">
        <f t="shared" si="14"/>
        <v>11956</v>
      </c>
      <c r="K123" s="57">
        <v>3600</v>
      </c>
      <c r="L123" s="54">
        <f t="shared" si="11"/>
        <v>43041600</v>
      </c>
      <c r="P123" s="139">
        <v>39857000</v>
      </c>
      <c r="Q123" s="139">
        <f t="shared" si="12"/>
        <v>3184600</v>
      </c>
    </row>
    <row r="124" spans="1:17" hidden="1" x14ac:dyDescent="0.3">
      <c r="A124" s="54"/>
      <c r="B124" s="54"/>
      <c r="C124" s="54">
        <v>500000</v>
      </c>
      <c r="D124" s="54" t="s">
        <v>442</v>
      </c>
      <c r="E124" s="55" t="s">
        <v>441</v>
      </c>
      <c r="F124" s="57">
        <v>22620</v>
      </c>
      <c r="G124" s="57">
        <v>12660</v>
      </c>
      <c r="H124" s="54">
        <f t="shared" si="10"/>
        <v>9960</v>
      </c>
      <c r="I124" s="58">
        <v>1.5</v>
      </c>
      <c r="J124" s="54">
        <f t="shared" si="14"/>
        <v>9810.6</v>
      </c>
      <c r="K124" s="57">
        <v>3600</v>
      </c>
      <c r="L124" s="54">
        <f t="shared" si="11"/>
        <v>35318160</v>
      </c>
      <c r="P124" s="139">
        <v>34685000</v>
      </c>
      <c r="Q124" s="139">
        <f t="shared" si="12"/>
        <v>633160</v>
      </c>
    </row>
    <row r="125" spans="1:17" hidden="1" x14ac:dyDescent="0.3">
      <c r="A125" s="54"/>
      <c r="B125" s="54"/>
      <c r="C125" s="54"/>
      <c r="D125" s="54"/>
      <c r="E125" s="55"/>
      <c r="F125" s="57"/>
      <c r="G125" s="57"/>
      <c r="H125" s="54">
        <f t="shared" si="10"/>
        <v>0</v>
      </c>
      <c r="I125" s="58"/>
      <c r="J125" s="54">
        <f t="shared" si="14"/>
        <v>0</v>
      </c>
      <c r="K125" s="57"/>
      <c r="L125" s="54">
        <f t="shared" si="11"/>
        <v>0</v>
      </c>
      <c r="Q125" s="139">
        <f t="shared" si="12"/>
        <v>0</v>
      </c>
    </row>
    <row r="126" spans="1:17" hidden="1" x14ac:dyDescent="0.3">
      <c r="A126" s="54"/>
      <c r="B126" s="54"/>
      <c r="C126" s="54"/>
      <c r="D126" s="54"/>
      <c r="E126" s="55"/>
      <c r="F126" s="57"/>
      <c r="G126" s="57"/>
      <c r="H126" s="54">
        <f t="shared" si="10"/>
        <v>0</v>
      </c>
      <c r="I126" s="58"/>
      <c r="J126" s="54">
        <f t="shared" si="14"/>
        <v>0</v>
      </c>
      <c r="K126" s="57"/>
      <c r="L126" s="54">
        <f t="shared" si="11"/>
        <v>0</v>
      </c>
      <c r="Q126" s="139">
        <f t="shared" si="12"/>
        <v>0</v>
      </c>
    </row>
    <row r="127" spans="1:17" hidden="1" x14ac:dyDescent="0.3">
      <c r="A127" s="54"/>
      <c r="B127" s="54"/>
      <c r="C127" s="54"/>
      <c r="D127" s="54"/>
      <c r="E127" s="55"/>
      <c r="F127" s="57"/>
      <c r="G127" s="57"/>
      <c r="H127" s="54">
        <f t="shared" si="10"/>
        <v>0</v>
      </c>
      <c r="I127" s="58"/>
      <c r="J127" s="54">
        <f t="shared" si="14"/>
        <v>0</v>
      </c>
      <c r="K127" s="57"/>
      <c r="L127" s="54">
        <f t="shared" si="11"/>
        <v>0</v>
      </c>
      <c r="Q127" s="139">
        <f t="shared" si="12"/>
        <v>0</v>
      </c>
    </row>
    <row r="128" spans="1:17" hidden="1" x14ac:dyDescent="0.3">
      <c r="A128" s="54" t="s">
        <v>450</v>
      </c>
      <c r="B128" s="54"/>
      <c r="C128" s="54"/>
      <c r="D128" s="54"/>
      <c r="E128" s="55" t="s">
        <v>451</v>
      </c>
      <c r="F128" s="57">
        <v>25690</v>
      </c>
      <c r="G128" s="57">
        <v>13390</v>
      </c>
      <c r="H128" s="54">
        <f t="shared" si="10"/>
        <v>12300</v>
      </c>
      <c r="I128" s="58">
        <v>2</v>
      </c>
      <c r="J128" s="54">
        <f t="shared" si="14"/>
        <v>12054</v>
      </c>
      <c r="K128" s="57">
        <v>3600</v>
      </c>
      <c r="L128" s="54">
        <f t="shared" si="11"/>
        <v>43394400</v>
      </c>
      <c r="P128" s="139">
        <v>42355000</v>
      </c>
      <c r="Q128" s="139">
        <f t="shared" si="12"/>
        <v>1039400</v>
      </c>
    </row>
    <row r="129" spans="1:17" hidden="1" x14ac:dyDescent="0.3">
      <c r="A129" s="54"/>
      <c r="B129" s="54"/>
      <c r="C129" s="54"/>
      <c r="D129" s="54">
        <v>600000</v>
      </c>
      <c r="E129" s="55" t="s">
        <v>452</v>
      </c>
      <c r="F129" s="57">
        <v>20660</v>
      </c>
      <c r="G129" s="57">
        <v>12040</v>
      </c>
      <c r="H129" s="54">
        <f t="shared" si="10"/>
        <v>8620</v>
      </c>
      <c r="I129" s="58">
        <v>2.5</v>
      </c>
      <c r="J129" s="54">
        <f t="shared" si="14"/>
        <v>8404.5</v>
      </c>
      <c r="K129" s="57">
        <v>3400</v>
      </c>
      <c r="L129" s="54">
        <f t="shared" si="11"/>
        <v>28575300</v>
      </c>
      <c r="P129" s="139">
        <v>27584000</v>
      </c>
      <c r="Q129" s="139">
        <f t="shared" si="12"/>
        <v>991300</v>
      </c>
    </row>
    <row r="130" spans="1:17" hidden="1" x14ac:dyDescent="0.3">
      <c r="A130" s="54"/>
      <c r="B130" s="54"/>
      <c r="C130" s="54"/>
      <c r="D130" s="54">
        <v>100000</v>
      </c>
      <c r="E130" s="55" t="s">
        <v>453</v>
      </c>
      <c r="F130" s="57">
        <v>17960</v>
      </c>
      <c r="G130" s="57">
        <v>9770</v>
      </c>
      <c r="H130" s="54">
        <f t="shared" si="10"/>
        <v>8190</v>
      </c>
      <c r="I130" s="58">
        <v>2</v>
      </c>
      <c r="J130" s="54">
        <f t="shared" si="14"/>
        <v>8026.2</v>
      </c>
      <c r="K130" s="57">
        <v>3600</v>
      </c>
      <c r="L130" s="54">
        <f t="shared" si="11"/>
        <v>28894320</v>
      </c>
      <c r="P130" s="139">
        <v>27805000</v>
      </c>
      <c r="Q130" s="139">
        <f t="shared" si="12"/>
        <v>1089320</v>
      </c>
    </row>
    <row r="131" spans="1:17" hidden="1" x14ac:dyDescent="0.3">
      <c r="A131" s="54"/>
      <c r="B131" s="54"/>
      <c r="C131" s="54"/>
      <c r="D131" s="54"/>
      <c r="E131" s="55" t="s">
        <v>454</v>
      </c>
      <c r="F131" s="57">
        <v>12030</v>
      </c>
      <c r="G131" s="57">
        <v>5020</v>
      </c>
      <c r="H131" s="54">
        <f t="shared" si="10"/>
        <v>7010</v>
      </c>
      <c r="I131" s="58">
        <v>2</v>
      </c>
      <c r="J131" s="54">
        <f t="shared" si="14"/>
        <v>6869.8</v>
      </c>
      <c r="K131" s="57">
        <v>3850</v>
      </c>
      <c r="L131" s="54">
        <f t="shared" si="11"/>
        <v>26448730</v>
      </c>
      <c r="P131" s="139">
        <v>25838000</v>
      </c>
      <c r="Q131" s="139">
        <f t="shared" si="12"/>
        <v>610730</v>
      </c>
    </row>
    <row r="132" spans="1:17" hidden="1" x14ac:dyDescent="0.3">
      <c r="A132" s="54"/>
      <c r="B132" s="54"/>
      <c r="C132" s="54"/>
      <c r="D132" s="54"/>
      <c r="E132" s="55" t="s">
        <v>388</v>
      </c>
      <c r="F132" s="57">
        <v>25100</v>
      </c>
      <c r="G132" s="57">
        <v>12970</v>
      </c>
      <c r="H132" s="54">
        <f t="shared" si="10"/>
        <v>12130</v>
      </c>
      <c r="I132" s="58">
        <v>3</v>
      </c>
      <c r="J132" s="54">
        <f t="shared" si="14"/>
        <v>11766.1</v>
      </c>
      <c r="K132" s="57">
        <v>3400</v>
      </c>
      <c r="L132" s="54">
        <f t="shared" si="11"/>
        <v>40004740</v>
      </c>
      <c r="P132" s="139">
        <v>38828000</v>
      </c>
      <c r="Q132" s="139">
        <f t="shared" si="12"/>
        <v>1176740</v>
      </c>
    </row>
    <row r="133" spans="1:17" hidden="1" x14ac:dyDescent="0.3">
      <c r="A133" s="54"/>
      <c r="B133" s="54"/>
      <c r="C133" s="54"/>
      <c r="D133" s="54"/>
      <c r="E133" s="55"/>
      <c r="F133" s="57"/>
      <c r="G133" s="57"/>
      <c r="H133" s="54">
        <f t="shared" si="10"/>
        <v>0</v>
      </c>
      <c r="I133" s="58"/>
      <c r="J133" s="54">
        <f t="shared" si="14"/>
        <v>0</v>
      </c>
      <c r="K133" s="57"/>
      <c r="L133" s="54">
        <f t="shared" si="11"/>
        <v>0</v>
      </c>
      <c r="Q133" s="139">
        <f t="shared" si="12"/>
        <v>0</v>
      </c>
    </row>
    <row r="134" spans="1:17" hidden="1" x14ac:dyDescent="0.3">
      <c r="A134" s="54" t="s">
        <v>458</v>
      </c>
      <c r="B134" s="54"/>
      <c r="C134" s="54"/>
      <c r="D134" s="54"/>
      <c r="E134" s="55" t="s">
        <v>459</v>
      </c>
      <c r="F134" s="57">
        <v>19780</v>
      </c>
      <c r="G134" s="57">
        <v>9540</v>
      </c>
      <c r="H134" s="54">
        <f t="shared" si="10"/>
        <v>10240</v>
      </c>
      <c r="I134" s="58">
        <v>3</v>
      </c>
      <c r="J134" s="54">
        <f t="shared" si="14"/>
        <v>9932.7999999999993</v>
      </c>
      <c r="K134" s="57">
        <v>3400</v>
      </c>
      <c r="L134" s="54">
        <f t="shared" si="11"/>
        <v>33771520</v>
      </c>
      <c r="P134" s="139">
        <v>32440000</v>
      </c>
      <c r="Q134" s="139">
        <f t="shared" si="12"/>
        <v>1331520</v>
      </c>
    </row>
    <row r="135" spans="1:17" hidden="1" x14ac:dyDescent="0.3">
      <c r="A135" s="54"/>
      <c r="B135" s="54"/>
      <c r="C135" s="54">
        <v>3288000</v>
      </c>
      <c r="D135" s="54" t="s">
        <v>460</v>
      </c>
      <c r="E135" s="55"/>
      <c r="F135" s="57"/>
      <c r="G135" s="57"/>
      <c r="H135" s="54">
        <f t="shared" si="10"/>
        <v>0</v>
      </c>
      <c r="I135" s="58"/>
      <c r="J135" s="54">
        <f t="shared" si="14"/>
        <v>0</v>
      </c>
      <c r="K135" s="57"/>
      <c r="L135" s="54">
        <f t="shared" si="11"/>
        <v>0</v>
      </c>
      <c r="Q135" s="139">
        <f t="shared" si="12"/>
        <v>0</v>
      </c>
    </row>
    <row r="136" spans="1:17" hidden="1" x14ac:dyDescent="0.3">
      <c r="A136" s="54"/>
      <c r="B136" s="54"/>
      <c r="C136" s="54"/>
      <c r="D136" s="54" t="s">
        <v>33</v>
      </c>
      <c r="E136" s="55"/>
      <c r="F136" s="57"/>
      <c r="G136" s="57"/>
      <c r="H136" s="54">
        <f t="shared" si="10"/>
        <v>0</v>
      </c>
      <c r="I136" s="58"/>
      <c r="J136" s="54">
        <f t="shared" si="14"/>
        <v>0</v>
      </c>
      <c r="K136" s="57"/>
      <c r="L136" s="54">
        <f t="shared" si="11"/>
        <v>0</v>
      </c>
      <c r="Q136" s="139">
        <f t="shared" si="12"/>
        <v>0</v>
      </c>
    </row>
    <row r="137" spans="1:17" hidden="1" x14ac:dyDescent="0.3">
      <c r="A137" s="54"/>
      <c r="B137" s="54"/>
      <c r="C137" s="54"/>
      <c r="D137" s="54"/>
      <c r="E137" s="55"/>
      <c r="F137" s="57"/>
      <c r="G137" s="57"/>
      <c r="H137" s="54">
        <f t="shared" si="10"/>
        <v>0</v>
      </c>
      <c r="I137" s="58"/>
      <c r="J137" s="54">
        <f t="shared" si="14"/>
        <v>0</v>
      </c>
      <c r="K137" s="57"/>
      <c r="L137" s="54">
        <f t="shared" si="11"/>
        <v>0</v>
      </c>
      <c r="Q137" s="139">
        <f t="shared" si="12"/>
        <v>0</v>
      </c>
    </row>
    <row r="138" spans="1:17" hidden="1" x14ac:dyDescent="0.3">
      <c r="A138" s="54" t="s">
        <v>466</v>
      </c>
      <c r="B138" s="54"/>
      <c r="C138" s="54">
        <v>47108667</v>
      </c>
      <c r="D138" s="54" t="s">
        <v>472</v>
      </c>
      <c r="E138" s="55" t="s">
        <v>481</v>
      </c>
      <c r="F138" s="57">
        <v>19000</v>
      </c>
      <c r="G138" s="57">
        <v>9890</v>
      </c>
      <c r="H138" s="54">
        <f t="shared" si="10"/>
        <v>9110</v>
      </c>
      <c r="I138" s="58">
        <v>3</v>
      </c>
      <c r="J138" s="54">
        <f t="shared" si="14"/>
        <v>8836.7000000000007</v>
      </c>
      <c r="K138" s="57">
        <v>3650</v>
      </c>
      <c r="L138" s="54">
        <f t="shared" si="11"/>
        <v>32253955.000000004</v>
      </c>
      <c r="P138" s="139">
        <v>31370285</v>
      </c>
      <c r="Q138" s="139">
        <f t="shared" si="12"/>
        <v>883670.00000000373</v>
      </c>
    </row>
    <row r="139" spans="1:17" hidden="1" x14ac:dyDescent="0.3">
      <c r="A139" s="54"/>
      <c r="B139" s="54"/>
      <c r="C139" s="54">
        <f>2000*12150</f>
        <v>24300000</v>
      </c>
      <c r="D139" s="54" t="s">
        <v>467</v>
      </c>
      <c r="E139" s="55" t="s">
        <v>473</v>
      </c>
      <c r="F139" s="57">
        <v>18110</v>
      </c>
      <c r="G139" s="57">
        <v>9910</v>
      </c>
      <c r="H139" s="54">
        <f t="shared" si="10"/>
        <v>8200</v>
      </c>
      <c r="I139" s="58">
        <v>1</v>
      </c>
      <c r="J139" s="54">
        <f t="shared" si="14"/>
        <v>8118</v>
      </c>
      <c r="K139" s="57">
        <v>3700</v>
      </c>
      <c r="L139" s="54">
        <f t="shared" si="11"/>
        <v>30036600</v>
      </c>
      <c r="P139" s="139">
        <v>29224000</v>
      </c>
      <c r="Q139" s="139">
        <f t="shared" si="12"/>
        <v>812600</v>
      </c>
    </row>
    <row r="140" spans="1:17" hidden="1" x14ac:dyDescent="0.3">
      <c r="A140" s="54"/>
      <c r="B140" s="54"/>
      <c r="C140" s="54">
        <f>350*12150</f>
        <v>4252500</v>
      </c>
      <c r="D140" s="54" t="s">
        <v>476</v>
      </c>
      <c r="E140" s="55" t="s">
        <v>474</v>
      </c>
      <c r="F140" s="57">
        <v>23720</v>
      </c>
      <c r="G140" s="57">
        <v>12470</v>
      </c>
      <c r="H140" s="54">
        <f t="shared" si="10"/>
        <v>11250</v>
      </c>
      <c r="I140" s="58">
        <v>2</v>
      </c>
      <c r="J140" s="54">
        <f t="shared" si="14"/>
        <v>11025</v>
      </c>
      <c r="K140" s="57">
        <v>3600</v>
      </c>
      <c r="L140" s="54">
        <f t="shared" si="11"/>
        <v>39690000</v>
      </c>
      <c r="P140" s="139">
        <v>38739375</v>
      </c>
      <c r="Q140" s="139">
        <f t="shared" si="12"/>
        <v>950625</v>
      </c>
    </row>
    <row r="141" spans="1:17" hidden="1" x14ac:dyDescent="0.3">
      <c r="A141" s="54"/>
      <c r="B141" s="54">
        <v>210000</v>
      </c>
      <c r="C141" s="54"/>
      <c r="D141" s="54" t="s">
        <v>477</v>
      </c>
      <c r="E141" s="55" t="s">
        <v>475</v>
      </c>
      <c r="F141" s="57">
        <v>11230</v>
      </c>
      <c r="G141" s="57">
        <v>4880</v>
      </c>
      <c r="H141" s="54">
        <f t="shared" si="10"/>
        <v>6350</v>
      </c>
      <c r="I141" s="58">
        <v>2</v>
      </c>
      <c r="J141" s="54">
        <f t="shared" si="14"/>
        <v>6223</v>
      </c>
      <c r="K141" s="57">
        <v>3900</v>
      </c>
      <c r="L141" s="54">
        <f t="shared" si="11"/>
        <v>24269700</v>
      </c>
      <c r="P141" s="139">
        <v>23406100</v>
      </c>
      <c r="Q141" s="139">
        <f t="shared" si="12"/>
        <v>863600</v>
      </c>
    </row>
    <row r="142" spans="1:17" hidden="1" x14ac:dyDescent="0.3">
      <c r="A142" s="54"/>
      <c r="B142" s="54"/>
      <c r="C142" s="54"/>
      <c r="D142" s="54"/>
      <c r="E142" s="55"/>
      <c r="F142" s="57"/>
      <c r="G142" s="57"/>
      <c r="H142" s="54">
        <f t="shared" si="10"/>
        <v>0</v>
      </c>
      <c r="I142" s="58"/>
      <c r="J142" s="54">
        <f t="shared" si="14"/>
        <v>0</v>
      </c>
      <c r="K142" s="57"/>
      <c r="L142" s="54">
        <f t="shared" si="11"/>
        <v>0</v>
      </c>
      <c r="Q142" s="139">
        <f t="shared" si="12"/>
        <v>0</v>
      </c>
    </row>
    <row r="143" spans="1:17" hidden="1" x14ac:dyDescent="0.3">
      <c r="A143" s="54"/>
      <c r="B143" s="54"/>
      <c r="C143" s="54"/>
      <c r="D143" s="54"/>
      <c r="E143" s="55"/>
      <c r="F143" s="57"/>
      <c r="G143" s="57"/>
      <c r="H143" s="54">
        <f t="shared" si="10"/>
        <v>0</v>
      </c>
      <c r="I143" s="58"/>
      <c r="J143" s="54">
        <f t="shared" si="14"/>
        <v>0</v>
      </c>
      <c r="K143" s="57"/>
      <c r="L143" s="54">
        <f t="shared" si="11"/>
        <v>0</v>
      </c>
      <c r="Q143" s="139">
        <f t="shared" si="12"/>
        <v>0</v>
      </c>
    </row>
    <row r="144" spans="1:17" hidden="1" x14ac:dyDescent="0.3">
      <c r="A144" s="54"/>
      <c r="B144" s="54"/>
      <c r="C144" s="54"/>
      <c r="D144" s="54"/>
      <c r="E144" s="55"/>
      <c r="F144" s="57"/>
      <c r="G144" s="57"/>
      <c r="H144" s="54">
        <f t="shared" si="10"/>
        <v>0</v>
      </c>
      <c r="I144" s="58"/>
      <c r="J144" s="54">
        <f t="shared" si="14"/>
        <v>0</v>
      </c>
      <c r="K144" s="57"/>
      <c r="L144" s="54">
        <f t="shared" si="11"/>
        <v>0</v>
      </c>
      <c r="P144" s="139">
        <v>1111</v>
      </c>
      <c r="Q144" s="139">
        <f t="shared" si="12"/>
        <v>-1111</v>
      </c>
    </row>
    <row r="145" spans="1:17" hidden="1" x14ac:dyDescent="0.3">
      <c r="A145" s="54"/>
      <c r="B145" s="54"/>
      <c r="C145" s="54"/>
      <c r="D145" s="54"/>
      <c r="E145" s="55"/>
      <c r="F145" s="57"/>
      <c r="G145" s="57"/>
      <c r="H145" s="54">
        <f t="shared" si="10"/>
        <v>0</v>
      </c>
      <c r="I145" s="58"/>
      <c r="J145" s="54">
        <f t="shared" si="14"/>
        <v>0</v>
      </c>
      <c r="K145" s="57"/>
      <c r="L145" s="54">
        <f t="shared" si="11"/>
        <v>0</v>
      </c>
      <c r="Q145" s="139">
        <f t="shared" si="12"/>
        <v>0</v>
      </c>
    </row>
    <row r="146" spans="1:17" hidden="1" x14ac:dyDescent="0.3">
      <c r="A146" s="54"/>
      <c r="B146" s="54"/>
      <c r="C146" s="54"/>
      <c r="D146" s="54"/>
      <c r="E146" s="55"/>
      <c r="F146" s="57"/>
      <c r="G146" s="57"/>
      <c r="H146" s="54">
        <f t="shared" si="10"/>
        <v>0</v>
      </c>
      <c r="I146" s="58"/>
      <c r="J146" s="54">
        <f t="shared" si="14"/>
        <v>0</v>
      </c>
      <c r="K146" s="57"/>
      <c r="L146" s="54">
        <f t="shared" si="11"/>
        <v>0</v>
      </c>
      <c r="Q146" s="139">
        <f t="shared" si="12"/>
        <v>0</v>
      </c>
    </row>
    <row r="147" spans="1:17" hidden="1" x14ac:dyDescent="0.3">
      <c r="A147" s="54" t="s">
        <v>470</v>
      </c>
      <c r="B147" s="54"/>
      <c r="C147" s="54">
        <v>26448730</v>
      </c>
      <c r="D147" s="54" t="s">
        <v>485</v>
      </c>
      <c r="E147" s="55" t="s">
        <v>486</v>
      </c>
      <c r="F147" s="57">
        <v>11410</v>
      </c>
      <c r="G147" s="57">
        <v>5130</v>
      </c>
      <c r="H147" s="54">
        <f t="shared" si="10"/>
        <v>6280</v>
      </c>
      <c r="I147" s="58">
        <v>1</v>
      </c>
      <c r="J147" s="54">
        <f t="shared" si="14"/>
        <v>6217.2</v>
      </c>
      <c r="K147" s="57">
        <v>3600</v>
      </c>
      <c r="L147" s="54">
        <f t="shared" si="11"/>
        <v>22381920</v>
      </c>
      <c r="P147" s="139">
        <v>21760000</v>
      </c>
      <c r="Q147" s="139">
        <f t="shared" si="12"/>
        <v>621920</v>
      </c>
    </row>
    <row r="148" spans="1:17" hidden="1" x14ac:dyDescent="0.3">
      <c r="A148" s="54"/>
      <c r="B148" s="54"/>
      <c r="C148" s="54">
        <v>100000</v>
      </c>
      <c r="D148" s="54" t="s">
        <v>489</v>
      </c>
      <c r="E148" s="55" t="s">
        <v>487</v>
      </c>
      <c r="F148" s="57">
        <v>24940</v>
      </c>
      <c r="G148" s="57">
        <v>12670</v>
      </c>
      <c r="H148" s="54">
        <f t="shared" si="10"/>
        <v>12270</v>
      </c>
      <c r="I148" s="58">
        <v>2</v>
      </c>
      <c r="J148" s="54">
        <f t="shared" si="14"/>
        <v>12024.6</v>
      </c>
      <c r="K148" s="57">
        <v>3600</v>
      </c>
      <c r="L148" s="54">
        <f t="shared" si="11"/>
        <v>43288560</v>
      </c>
      <c r="P148" s="139">
        <v>42251000</v>
      </c>
      <c r="Q148" s="139">
        <f t="shared" si="12"/>
        <v>1037560</v>
      </c>
    </row>
    <row r="149" spans="1:17" hidden="1" x14ac:dyDescent="0.3">
      <c r="A149" s="54"/>
      <c r="B149" s="54"/>
      <c r="C149" s="54">
        <v>650000</v>
      </c>
      <c r="D149" s="54" t="s">
        <v>505</v>
      </c>
      <c r="E149" s="55" t="s">
        <v>488</v>
      </c>
      <c r="F149" s="57">
        <v>20260</v>
      </c>
      <c r="G149" s="57">
        <v>13060</v>
      </c>
      <c r="H149" s="54">
        <f t="shared" si="10"/>
        <v>7200</v>
      </c>
      <c r="I149" s="58">
        <v>4.4000000000000004</v>
      </c>
      <c r="J149" s="54">
        <f t="shared" si="14"/>
        <v>6883.2</v>
      </c>
      <c r="K149" s="57">
        <v>3400</v>
      </c>
      <c r="L149" s="54">
        <f t="shared" si="11"/>
        <v>23402880</v>
      </c>
      <c r="P149" s="139">
        <v>22408000</v>
      </c>
      <c r="Q149" s="139">
        <f t="shared" si="12"/>
        <v>994880</v>
      </c>
    </row>
    <row r="150" spans="1:17" hidden="1" x14ac:dyDescent="0.3">
      <c r="A150" s="54"/>
      <c r="B150" s="54"/>
      <c r="C150" s="54"/>
      <c r="D150" s="54"/>
      <c r="E150" s="55"/>
      <c r="F150" s="57"/>
      <c r="G150" s="57"/>
      <c r="H150" s="54">
        <f t="shared" si="10"/>
        <v>0</v>
      </c>
      <c r="I150" s="58"/>
      <c r="J150" s="54">
        <f t="shared" si="14"/>
        <v>0</v>
      </c>
      <c r="K150" s="57"/>
      <c r="L150" s="54">
        <f t="shared" si="11"/>
        <v>0</v>
      </c>
      <c r="Q150" s="139">
        <f t="shared" si="12"/>
        <v>0</v>
      </c>
    </row>
    <row r="151" spans="1:17" hidden="1" x14ac:dyDescent="0.3">
      <c r="A151" s="54"/>
      <c r="B151" s="54"/>
      <c r="C151" s="54"/>
      <c r="D151" s="54"/>
      <c r="E151" s="55"/>
      <c r="F151" s="57"/>
      <c r="G151" s="57"/>
      <c r="H151" s="54">
        <f t="shared" si="10"/>
        <v>0</v>
      </c>
      <c r="I151" s="58"/>
      <c r="J151" s="54">
        <f t="shared" si="14"/>
        <v>0</v>
      </c>
      <c r="K151" s="57"/>
      <c r="L151" s="54">
        <f t="shared" si="11"/>
        <v>0</v>
      </c>
      <c r="Q151" s="139">
        <f t="shared" si="12"/>
        <v>0</v>
      </c>
    </row>
    <row r="152" spans="1:17" hidden="1" x14ac:dyDescent="0.3">
      <c r="A152" s="54"/>
      <c r="B152" s="54"/>
      <c r="C152" s="54"/>
      <c r="D152" s="54"/>
      <c r="E152" s="55"/>
      <c r="F152" s="57"/>
      <c r="G152" s="57"/>
      <c r="H152" s="54">
        <f t="shared" si="10"/>
        <v>0</v>
      </c>
      <c r="I152" s="58"/>
      <c r="J152" s="54">
        <f t="shared" si="14"/>
        <v>0</v>
      </c>
      <c r="K152" s="57"/>
      <c r="L152" s="54">
        <f t="shared" si="11"/>
        <v>0</v>
      </c>
      <c r="Q152" s="139">
        <f t="shared" si="12"/>
        <v>0</v>
      </c>
    </row>
    <row r="153" spans="1:17" hidden="1" x14ac:dyDescent="0.3">
      <c r="A153" s="54"/>
      <c r="B153" s="54"/>
      <c r="C153" s="54"/>
      <c r="D153" s="54"/>
      <c r="E153" s="55"/>
      <c r="F153" s="57"/>
      <c r="G153" s="57"/>
      <c r="H153" s="54">
        <f t="shared" si="10"/>
        <v>0</v>
      </c>
      <c r="I153" s="58"/>
      <c r="J153" s="54">
        <f t="shared" si="14"/>
        <v>0</v>
      </c>
      <c r="K153" s="57"/>
      <c r="L153" s="54">
        <f t="shared" si="11"/>
        <v>0</v>
      </c>
      <c r="Q153" s="139">
        <f t="shared" si="12"/>
        <v>0</v>
      </c>
    </row>
    <row r="154" spans="1:17" hidden="1" x14ac:dyDescent="0.3">
      <c r="A154" s="54" t="s">
        <v>493</v>
      </c>
      <c r="B154" s="54"/>
      <c r="C154" s="54">
        <v>15904000</v>
      </c>
      <c r="D154" s="54" t="s">
        <v>432</v>
      </c>
      <c r="E154" s="55" t="s">
        <v>494</v>
      </c>
      <c r="F154" s="57">
        <v>34120</v>
      </c>
      <c r="G154" s="57">
        <v>15860</v>
      </c>
      <c r="H154" s="54">
        <f t="shared" si="10"/>
        <v>18260</v>
      </c>
      <c r="I154" s="58">
        <v>2.5</v>
      </c>
      <c r="J154" s="54">
        <f t="shared" si="14"/>
        <v>17803.5</v>
      </c>
      <c r="K154" s="57">
        <v>3400</v>
      </c>
      <c r="L154" s="54">
        <f t="shared" si="11"/>
        <v>60531900</v>
      </c>
      <c r="P154" s="139">
        <v>58751000</v>
      </c>
      <c r="Q154" s="139">
        <f t="shared" si="12"/>
        <v>1780900</v>
      </c>
    </row>
    <row r="155" spans="1:17" hidden="1" x14ac:dyDescent="0.3">
      <c r="A155" s="54"/>
      <c r="B155" s="54"/>
      <c r="C155" s="54"/>
      <c r="D155" s="54"/>
      <c r="E155" s="55" t="s">
        <v>495</v>
      </c>
      <c r="F155" s="57">
        <v>25700</v>
      </c>
      <c r="G155" s="57">
        <v>13440</v>
      </c>
      <c r="H155" s="54">
        <f t="shared" ref="H155:H218" si="15">+F155-G155</f>
        <v>12260</v>
      </c>
      <c r="I155" s="58">
        <v>5</v>
      </c>
      <c r="J155" s="54">
        <f t="shared" ref="J155:J218" si="16">+H155-H155*I155/100</f>
        <v>11647</v>
      </c>
      <c r="K155" s="57">
        <v>3650</v>
      </c>
      <c r="L155" s="54">
        <f t="shared" ref="L155:L218" si="17">+J155*K155</f>
        <v>42511550</v>
      </c>
      <c r="P155" s="139">
        <v>41929000</v>
      </c>
      <c r="Q155" s="139">
        <f t="shared" si="12"/>
        <v>582550</v>
      </c>
    </row>
    <row r="156" spans="1:17" hidden="1" x14ac:dyDescent="0.3">
      <c r="A156" s="54"/>
      <c r="B156" s="54"/>
      <c r="C156" s="54"/>
      <c r="D156" s="54"/>
      <c r="E156" s="55"/>
      <c r="F156" s="57"/>
      <c r="G156" s="57"/>
      <c r="H156" s="54">
        <f t="shared" si="15"/>
        <v>0</v>
      </c>
      <c r="I156" s="58"/>
      <c r="J156" s="54">
        <f t="shared" si="16"/>
        <v>0</v>
      </c>
      <c r="K156" s="57"/>
      <c r="L156" s="54">
        <f t="shared" si="17"/>
        <v>0</v>
      </c>
      <c r="Q156" s="139">
        <f t="shared" ref="Q156:Q219" si="18">+L156-P156</f>
        <v>0</v>
      </c>
    </row>
    <row r="157" spans="1:17" hidden="1" x14ac:dyDescent="0.3">
      <c r="A157" s="54" t="s">
        <v>499</v>
      </c>
      <c r="B157" s="54"/>
      <c r="C157" s="54">
        <v>800000</v>
      </c>
      <c r="D157" s="54" t="s">
        <v>334</v>
      </c>
      <c r="E157" s="55" t="s">
        <v>500</v>
      </c>
      <c r="F157" s="57">
        <v>22460</v>
      </c>
      <c r="G157" s="57">
        <v>9240</v>
      </c>
      <c r="H157" s="54">
        <f t="shared" si="15"/>
        <v>13220</v>
      </c>
      <c r="I157" s="58">
        <v>2</v>
      </c>
      <c r="J157" s="54">
        <f t="shared" si="16"/>
        <v>12955.6</v>
      </c>
      <c r="K157" s="57">
        <v>3600</v>
      </c>
      <c r="L157" s="54">
        <f t="shared" si="17"/>
        <v>46640160</v>
      </c>
      <c r="P157" s="139">
        <v>44000000</v>
      </c>
      <c r="Q157" s="139">
        <f t="shared" si="18"/>
        <v>2640160</v>
      </c>
    </row>
    <row r="158" spans="1:17" hidden="1" x14ac:dyDescent="0.3">
      <c r="A158" s="54"/>
      <c r="B158" s="54"/>
      <c r="C158" s="54"/>
      <c r="D158" s="54"/>
      <c r="E158" s="55"/>
      <c r="F158" s="57"/>
      <c r="G158" s="57"/>
      <c r="H158" s="54">
        <f t="shared" si="15"/>
        <v>0</v>
      </c>
      <c r="I158" s="58"/>
      <c r="J158" s="54">
        <f t="shared" si="16"/>
        <v>0</v>
      </c>
      <c r="K158" s="57"/>
      <c r="L158" s="54">
        <f t="shared" si="17"/>
        <v>0</v>
      </c>
      <c r="P158" s="139" t="s">
        <v>109</v>
      </c>
    </row>
    <row r="159" spans="1:17" hidden="1" x14ac:dyDescent="0.3">
      <c r="A159" s="54"/>
      <c r="B159" s="54"/>
      <c r="C159" s="54"/>
      <c r="D159" s="54"/>
      <c r="E159" s="55" t="s">
        <v>501</v>
      </c>
      <c r="F159" s="57">
        <v>27320</v>
      </c>
      <c r="G159" s="57">
        <v>13320</v>
      </c>
      <c r="H159" s="54">
        <f t="shared" si="15"/>
        <v>14000</v>
      </c>
      <c r="I159" s="58">
        <v>2.5</v>
      </c>
      <c r="J159" s="54">
        <f t="shared" si="16"/>
        <v>13650</v>
      </c>
      <c r="K159" s="57">
        <v>3400</v>
      </c>
      <c r="L159" s="54">
        <f t="shared" si="17"/>
        <v>46410000</v>
      </c>
      <c r="P159" s="139">
        <v>45045000</v>
      </c>
      <c r="Q159" s="139">
        <f t="shared" si="18"/>
        <v>1365000</v>
      </c>
    </row>
    <row r="160" spans="1:17" hidden="1" x14ac:dyDescent="0.3">
      <c r="A160" s="54"/>
      <c r="B160" s="54"/>
      <c r="C160" s="54"/>
      <c r="D160" s="54"/>
      <c r="E160" s="55" t="s">
        <v>502</v>
      </c>
      <c r="F160" s="57">
        <v>20360</v>
      </c>
      <c r="G160" s="57">
        <v>10920</v>
      </c>
      <c r="H160" s="54">
        <f t="shared" si="15"/>
        <v>9440</v>
      </c>
      <c r="I160" s="58">
        <v>3</v>
      </c>
      <c r="J160" s="54">
        <f t="shared" si="16"/>
        <v>9156.7999999999993</v>
      </c>
      <c r="K160" s="57">
        <v>3650</v>
      </c>
      <c r="L160" s="54">
        <f t="shared" si="17"/>
        <v>33422319.999999996</v>
      </c>
      <c r="P160" s="139">
        <v>32964000</v>
      </c>
      <c r="Q160" s="139">
        <f t="shared" si="18"/>
        <v>458319.99999999627</v>
      </c>
    </row>
    <row r="161" spans="1:17" hidden="1" x14ac:dyDescent="0.3">
      <c r="A161" s="54"/>
      <c r="B161" s="54"/>
      <c r="C161" s="54">
        <v>200000</v>
      </c>
      <c r="D161" s="54" t="s">
        <v>504</v>
      </c>
      <c r="E161" s="55"/>
      <c r="F161" s="57"/>
      <c r="G161" s="57"/>
      <c r="H161" s="54">
        <f t="shared" si="15"/>
        <v>0</v>
      </c>
      <c r="I161" s="58"/>
      <c r="J161" s="54">
        <f t="shared" si="16"/>
        <v>0</v>
      </c>
      <c r="K161" s="57"/>
      <c r="L161" s="54">
        <f t="shared" si="17"/>
        <v>0</v>
      </c>
      <c r="Q161" s="139">
        <f t="shared" si="18"/>
        <v>0</v>
      </c>
    </row>
    <row r="162" spans="1:17" hidden="1" x14ac:dyDescent="0.3">
      <c r="A162" s="54" t="s">
        <v>506</v>
      </c>
      <c r="B162" s="54"/>
      <c r="C162" s="54"/>
      <c r="D162" s="54"/>
      <c r="E162" s="55" t="s">
        <v>507</v>
      </c>
      <c r="F162" s="57">
        <v>23130</v>
      </c>
      <c r="G162" s="57">
        <v>9380</v>
      </c>
      <c r="H162" s="54">
        <f t="shared" si="15"/>
        <v>13750</v>
      </c>
      <c r="I162" s="58">
        <v>2</v>
      </c>
      <c r="J162" s="54">
        <f t="shared" si="16"/>
        <v>13475</v>
      </c>
      <c r="K162" s="57">
        <v>3600</v>
      </c>
      <c r="L162" s="54">
        <f t="shared" si="17"/>
        <v>48510000</v>
      </c>
      <c r="P162" s="139">
        <v>45178000</v>
      </c>
      <c r="Q162" s="139">
        <f t="shared" si="18"/>
        <v>3332000</v>
      </c>
    </row>
    <row r="163" spans="1:17" hidden="1" x14ac:dyDescent="0.3">
      <c r="A163" s="54"/>
      <c r="B163" s="54"/>
      <c r="C163" s="54"/>
      <c r="D163" s="54"/>
      <c r="E163" s="55" t="s">
        <v>508</v>
      </c>
      <c r="F163" s="57">
        <v>10640</v>
      </c>
      <c r="G163" s="57">
        <v>5200</v>
      </c>
      <c r="H163" s="54">
        <f t="shared" si="15"/>
        <v>5440</v>
      </c>
      <c r="I163" s="58">
        <v>3</v>
      </c>
      <c r="J163" s="54">
        <f t="shared" si="16"/>
        <v>5276.8</v>
      </c>
      <c r="K163" s="57">
        <v>3900</v>
      </c>
      <c r="L163" s="54">
        <f t="shared" si="17"/>
        <v>20579520</v>
      </c>
      <c r="P163" s="139">
        <v>20162000</v>
      </c>
      <c r="Q163" s="139">
        <f t="shared" si="18"/>
        <v>417520</v>
      </c>
    </row>
    <row r="164" spans="1:17" hidden="1" x14ac:dyDescent="0.3">
      <c r="A164" s="54"/>
      <c r="B164" s="54"/>
      <c r="C164" s="54">
        <f>17000*12190</f>
        <v>207230000</v>
      </c>
      <c r="D164" s="54" t="s">
        <v>509</v>
      </c>
      <c r="E164" s="55" t="s">
        <v>510</v>
      </c>
      <c r="F164" s="57">
        <v>20180</v>
      </c>
      <c r="G164" s="57">
        <v>9100</v>
      </c>
      <c r="H164" s="54">
        <f t="shared" si="15"/>
        <v>11080</v>
      </c>
      <c r="I164" s="58">
        <v>1</v>
      </c>
      <c r="J164" s="54">
        <f t="shared" si="16"/>
        <v>10969.2</v>
      </c>
      <c r="K164" s="57">
        <v>3650</v>
      </c>
      <c r="L164" s="54">
        <f t="shared" si="17"/>
        <v>40037580</v>
      </c>
      <c r="P164" s="139">
        <v>38655000</v>
      </c>
      <c r="Q164" s="139">
        <f t="shared" si="18"/>
        <v>1382580</v>
      </c>
    </row>
    <row r="165" spans="1:17" hidden="1" x14ac:dyDescent="0.3">
      <c r="A165" s="54"/>
      <c r="B165" s="54"/>
      <c r="C165" s="54"/>
      <c r="D165" s="54"/>
      <c r="E165" s="55"/>
      <c r="F165" s="57"/>
      <c r="G165" s="57"/>
      <c r="H165" s="54">
        <f t="shared" si="15"/>
        <v>0</v>
      </c>
      <c r="I165" s="58"/>
      <c r="J165" s="54">
        <f t="shared" si="16"/>
        <v>0</v>
      </c>
      <c r="K165" s="57"/>
      <c r="L165" s="54">
        <f t="shared" si="17"/>
        <v>0</v>
      </c>
      <c r="Q165" s="139">
        <f t="shared" si="18"/>
        <v>0</v>
      </c>
    </row>
    <row r="166" spans="1:17" hidden="1" x14ac:dyDescent="0.3">
      <c r="A166" s="54" t="s">
        <v>513</v>
      </c>
      <c r="B166" s="54"/>
      <c r="C166" s="54">
        <f>15000*12180</f>
        <v>182700000</v>
      </c>
      <c r="D166" s="54" t="s">
        <v>514</v>
      </c>
      <c r="E166" s="55" t="s">
        <v>516</v>
      </c>
      <c r="F166" s="57">
        <v>24540</v>
      </c>
      <c r="G166" s="57">
        <v>13820</v>
      </c>
      <c r="H166" s="54">
        <f t="shared" si="15"/>
        <v>10720</v>
      </c>
      <c r="I166" s="58">
        <v>4</v>
      </c>
      <c r="J166" s="54">
        <f t="shared" si="16"/>
        <v>10291.200000000001</v>
      </c>
      <c r="K166" s="57">
        <v>3650</v>
      </c>
      <c r="L166" s="54">
        <f t="shared" si="17"/>
        <v>37562880</v>
      </c>
      <c r="P166" s="139">
        <v>37500000</v>
      </c>
      <c r="Q166" s="139">
        <f t="shared" si="18"/>
        <v>62880</v>
      </c>
    </row>
    <row r="167" spans="1:17" hidden="1" x14ac:dyDescent="0.3">
      <c r="A167" s="54"/>
      <c r="B167" s="54"/>
      <c r="C167" s="54">
        <f>10092*12180</f>
        <v>122920560</v>
      </c>
      <c r="D167" s="54" t="s">
        <v>515</v>
      </c>
      <c r="E167" s="55" t="s">
        <v>517</v>
      </c>
      <c r="F167" s="57">
        <v>22740</v>
      </c>
      <c r="G167" s="57">
        <v>12880</v>
      </c>
      <c r="H167" s="54">
        <f t="shared" si="15"/>
        <v>9860</v>
      </c>
      <c r="I167" s="58">
        <v>1</v>
      </c>
      <c r="J167" s="54">
        <f t="shared" si="16"/>
        <v>9761.4</v>
      </c>
      <c r="K167" s="57">
        <v>3600</v>
      </c>
      <c r="L167" s="54">
        <f t="shared" si="17"/>
        <v>35141040</v>
      </c>
      <c r="P167" s="139">
        <v>33846000</v>
      </c>
      <c r="Q167" s="139">
        <f t="shared" si="18"/>
        <v>1295040</v>
      </c>
    </row>
    <row r="168" spans="1:17" hidden="1" x14ac:dyDescent="0.3">
      <c r="A168" s="54"/>
      <c r="B168" s="54"/>
      <c r="C168" s="54">
        <f>1180*250</f>
        <v>295000</v>
      </c>
      <c r="D168" s="54" t="s">
        <v>518</v>
      </c>
      <c r="E168" s="55" t="s">
        <v>519</v>
      </c>
      <c r="F168" s="57">
        <v>22980</v>
      </c>
      <c r="G168" s="57">
        <v>15360</v>
      </c>
      <c r="H168" s="54">
        <f t="shared" si="15"/>
        <v>7620</v>
      </c>
      <c r="I168" s="58">
        <v>3</v>
      </c>
      <c r="J168" s="54">
        <f t="shared" si="16"/>
        <v>7391.4</v>
      </c>
      <c r="K168" s="57">
        <v>3650</v>
      </c>
      <c r="L168" s="54">
        <f t="shared" si="17"/>
        <v>26978610</v>
      </c>
      <c r="P168" s="139">
        <v>25591000</v>
      </c>
      <c r="Q168" s="139">
        <f t="shared" si="18"/>
        <v>1387610</v>
      </c>
    </row>
    <row r="169" spans="1:17" hidden="1" x14ac:dyDescent="0.3">
      <c r="A169" s="54"/>
      <c r="B169" s="54"/>
      <c r="C169" s="54">
        <f>1680*250</f>
        <v>420000</v>
      </c>
      <c r="D169" s="54" t="s">
        <v>520</v>
      </c>
      <c r="E169" s="55" t="s">
        <v>521</v>
      </c>
      <c r="F169" s="57">
        <v>24360</v>
      </c>
      <c r="G169" s="57">
        <v>16000</v>
      </c>
      <c r="H169" s="54">
        <f t="shared" si="15"/>
        <v>8360</v>
      </c>
      <c r="I169" s="58">
        <v>2</v>
      </c>
      <c r="J169" s="54">
        <f t="shared" si="16"/>
        <v>8192.7999999999993</v>
      </c>
      <c r="K169" s="57">
        <v>3650</v>
      </c>
      <c r="L169" s="54">
        <f t="shared" si="17"/>
        <v>29903719.999999996</v>
      </c>
      <c r="P169" s="139">
        <v>29494000</v>
      </c>
      <c r="Q169" s="139">
        <f t="shared" si="18"/>
        <v>409719.99999999627</v>
      </c>
    </row>
    <row r="170" spans="1:17" hidden="1" x14ac:dyDescent="0.3">
      <c r="A170" s="54"/>
      <c r="B170" s="54"/>
      <c r="C170" s="54"/>
      <c r="D170" s="54"/>
      <c r="E170" s="55"/>
      <c r="F170" s="57"/>
      <c r="G170" s="57"/>
      <c r="H170" s="54">
        <f t="shared" si="15"/>
        <v>0</v>
      </c>
      <c r="I170" s="58"/>
      <c r="J170" s="54">
        <f t="shared" si="16"/>
        <v>0</v>
      </c>
      <c r="K170" s="57"/>
      <c r="L170" s="54">
        <f t="shared" si="17"/>
        <v>0</v>
      </c>
      <c r="Q170" s="139">
        <f t="shared" si="18"/>
        <v>0</v>
      </c>
    </row>
    <row r="171" spans="1:17" hidden="1" x14ac:dyDescent="0.3">
      <c r="A171" s="54"/>
      <c r="B171" s="54"/>
      <c r="C171" s="54"/>
      <c r="D171" s="54"/>
      <c r="E171" s="55"/>
      <c r="F171" s="57"/>
      <c r="G171" s="57"/>
      <c r="H171" s="54">
        <f t="shared" si="15"/>
        <v>0</v>
      </c>
      <c r="I171" s="58"/>
      <c r="J171" s="54">
        <f t="shared" si="16"/>
        <v>0</v>
      </c>
      <c r="K171" s="57"/>
      <c r="L171" s="54">
        <f t="shared" si="17"/>
        <v>0</v>
      </c>
      <c r="Q171" s="139">
        <f t="shared" si="18"/>
        <v>0</v>
      </c>
    </row>
    <row r="172" spans="1:17" hidden="1" x14ac:dyDescent="0.3">
      <c r="A172" s="54"/>
      <c r="B172" s="54"/>
      <c r="C172" s="54"/>
      <c r="D172" s="54"/>
      <c r="E172" s="55"/>
      <c r="F172" s="57"/>
      <c r="G172" s="57"/>
      <c r="H172" s="54">
        <f t="shared" si="15"/>
        <v>0</v>
      </c>
      <c r="I172" s="58"/>
      <c r="J172" s="54">
        <f t="shared" si="16"/>
        <v>0</v>
      </c>
      <c r="K172" s="57"/>
      <c r="L172" s="54">
        <f t="shared" si="17"/>
        <v>0</v>
      </c>
      <c r="Q172" s="139">
        <f t="shared" si="18"/>
        <v>0</v>
      </c>
    </row>
    <row r="173" spans="1:17" hidden="1" x14ac:dyDescent="0.3">
      <c r="A173" s="54" t="s">
        <v>529</v>
      </c>
      <c r="B173" s="54"/>
      <c r="C173" s="54">
        <v>250000</v>
      </c>
      <c r="D173" s="54" t="s">
        <v>531</v>
      </c>
      <c r="E173" s="55" t="s">
        <v>530</v>
      </c>
      <c r="F173" s="57">
        <v>17420</v>
      </c>
      <c r="G173" s="57">
        <v>9860</v>
      </c>
      <c r="H173" s="54">
        <f t="shared" si="15"/>
        <v>7560</v>
      </c>
      <c r="I173" s="58">
        <v>2</v>
      </c>
      <c r="J173" s="54">
        <f t="shared" si="16"/>
        <v>7408.8</v>
      </c>
      <c r="K173" s="57">
        <v>3600</v>
      </c>
      <c r="L173" s="54">
        <f t="shared" si="17"/>
        <v>26671680</v>
      </c>
      <c r="P173" s="139">
        <v>25730000</v>
      </c>
      <c r="Q173" s="139">
        <f t="shared" si="18"/>
        <v>941680</v>
      </c>
    </row>
    <row r="174" spans="1:17" hidden="1" x14ac:dyDescent="0.3">
      <c r="A174" s="54"/>
      <c r="B174" s="54"/>
      <c r="C174" s="54"/>
      <c r="D174" s="54"/>
      <c r="E174" s="55" t="s">
        <v>532</v>
      </c>
      <c r="F174" s="57">
        <v>21420</v>
      </c>
      <c r="G174" s="57">
        <v>9860</v>
      </c>
      <c r="H174" s="54">
        <f t="shared" si="15"/>
        <v>11560</v>
      </c>
      <c r="I174" s="58">
        <v>3</v>
      </c>
      <c r="J174" s="54">
        <f t="shared" si="16"/>
        <v>11213.2</v>
      </c>
      <c r="K174" s="57">
        <v>3650</v>
      </c>
      <c r="L174" s="54">
        <f t="shared" si="17"/>
        <v>40928180</v>
      </c>
      <c r="P174" s="139">
        <v>40162000</v>
      </c>
      <c r="Q174" s="139">
        <f t="shared" si="18"/>
        <v>766180</v>
      </c>
    </row>
    <row r="175" spans="1:17" hidden="1" x14ac:dyDescent="0.3">
      <c r="A175" s="54"/>
      <c r="B175" s="54"/>
      <c r="C175" s="54"/>
      <c r="D175" s="54"/>
      <c r="E175" s="55" t="s">
        <v>533</v>
      </c>
      <c r="F175" s="57">
        <v>21840</v>
      </c>
      <c r="G175" s="57">
        <v>10360</v>
      </c>
      <c r="H175" s="54">
        <f t="shared" si="15"/>
        <v>11480</v>
      </c>
      <c r="I175" s="58">
        <v>2</v>
      </c>
      <c r="J175" s="54">
        <f t="shared" si="16"/>
        <v>11250.4</v>
      </c>
      <c r="K175" s="57">
        <v>3650</v>
      </c>
      <c r="L175" s="54">
        <f t="shared" si="17"/>
        <v>41063960</v>
      </c>
      <c r="P175" s="139">
        <v>40565000</v>
      </c>
      <c r="Q175" s="139">
        <f t="shared" si="18"/>
        <v>498960</v>
      </c>
    </row>
    <row r="176" spans="1:17" hidden="1" x14ac:dyDescent="0.3">
      <c r="A176" s="54"/>
      <c r="B176" s="54"/>
      <c r="C176" s="54">
        <v>100000</v>
      </c>
      <c r="D176" s="54" t="s">
        <v>544</v>
      </c>
      <c r="E176" s="55" t="s">
        <v>534</v>
      </c>
      <c r="F176" s="57">
        <v>22400</v>
      </c>
      <c r="G176" s="57">
        <v>12830</v>
      </c>
      <c r="H176" s="54">
        <f t="shared" si="15"/>
        <v>9570</v>
      </c>
      <c r="I176" s="58">
        <v>1</v>
      </c>
      <c r="J176" s="54">
        <f t="shared" si="16"/>
        <v>9474.2999999999993</v>
      </c>
      <c r="K176" s="57">
        <v>3650</v>
      </c>
      <c r="L176" s="54">
        <f t="shared" si="17"/>
        <v>34581195</v>
      </c>
      <c r="P176" s="139">
        <v>34107000</v>
      </c>
      <c r="Q176" s="139">
        <f t="shared" si="18"/>
        <v>474195</v>
      </c>
    </row>
    <row r="177" spans="1:17" hidden="1" x14ac:dyDescent="0.3">
      <c r="A177" s="54"/>
      <c r="B177" s="54"/>
      <c r="C177" s="54"/>
      <c r="D177" s="54"/>
      <c r="E177" s="55" t="s">
        <v>377</v>
      </c>
      <c r="F177" s="57">
        <v>27800</v>
      </c>
      <c r="G177" s="57">
        <v>12040</v>
      </c>
      <c r="H177" s="54">
        <f t="shared" si="15"/>
        <v>15760</v>
      </c>
      <c r="I177" s="58">
        <v>1</v>
      </c>
      <c r="J177" s="54">
        <f t="shared" si="16"/>
        <v>15602.4</v>
      </c>
      <c r="K177" s="57">
        <v>3650</v>
      </c>
      <c r="L177" s="54">
        <f t="shared" si="17"/>
        <v>56948760</v>
      </c>
      <c r="P177" s="139">
        <f>45091000+7250000</f>
        <v>52341000</v>
      </c>
      <c r="Q177" s="139">
        <f t="shared" si="18"/>
        <v>4607760</v>
      </c>
    </row>
    <row r="178" spans="1:17" hidden="1" x14ac:dyDescent="0.3">
      <c r="A178" s="54"/>
      <c r="B178" s="54"/>
      <c r="C178" s="54"/>
      <c r="D178" s="54"/>
      <c r="E178" s="55"/>
      <c r="F178" s="57"/>
      <c r="G178" s="57"/>
      <c r="H178" s="54">
        <f t="shared" si="15"/>
        <v>0</v>
      </c>
      <c r="I178" s="58"/>
      <c r="J178" s="54">
        <f t="shared" si="16"/>
        <v>0</v>
      </c>
      <c r="K178" s="57"/>
      <c r="L178" s="54">
        <f t="shared" si="17"/>
        <v>0</v>
      </c>
      <c r="Q178" s="139">
        <f t="shared" si="18"/>
        <v>0</v>
      </c>
    </row>
    <row r="179" spans="1:17" hidden="1" x14ac:dyDescent="0.3">
      <c r="A179" s="54"/>
      <c r="B179" s="54"/>
      <c r="C179" s="54"/>
      <c r="D179" s="54"/>
      <c r="E179" s="55"/>
      <c r="F179" s="57"/>
      <c r="G179" s="57"/>
      <c r="H179" s="54">
        <f t="shared" si="15"/>
        <v>0</v>
      </c>
      <c r="I179" s="58"/>
      <c r="J179" s="54">
        <f t="shared" si="16"/>
        <v>0</v>
      </c>
      <c r="K179" s="57"/>
      <c r="L179" s="54">
        <f t="shared" si="17"/>
        <v>0</v>
      </c>
      <c r="Q179" s="139">
        <f t="shared" si="18"/>
        <v>0</v>
      </c>
    </row>
    <row r="180" spans="1:17" hidden="1" x14ac:dyDescent="0.3">
      <c r="A180" s="54" t="s">
        <v>529</v>
      </c>
      <c r="B180" s="54"/>
      <c r="C180" s="54">
        <f>20000*12200</f>
        <v>244000000</v>
      </c>
      <c r="D180" s="54" t="s">
        <v>540</v>
      </c>
      <c r="E180" s="55"/>
      <c r="F180" s="57"/>
      <c r="G180" s="57"/>
      <c r="H180" s="54"/>
      <c r="I180" s="58"/>
      <c r="J180" s="54">
        <f t="shared" si="16"/>
        <v>0</v>
      </c>
      <c r="K180" s="57"/>
      <c r="L180" s="54">
        <f t="shared" si="17"/>
        <v>0</v>
      </c>
      <c r="Q180" s="139">
        <f t="shared" si="18"/>
        <v>0</v>
      </c>
    </row>
    <row r="181" spans="1:17" hidden="1" x14ac:dyDescent="0.3">
      <c r="A181" s="54"/>
      <c r="B181" s="54"/>
      <c r="C181" s="54"/>
      <c r="D181" s="54"/>
      <c r="E181" s="55" t="s">
        <v>542</v>
      </c>
      <c r="F181" s="57">
        <v>25570</v>
      </c>
      <c r="G181" s="57">
        <v>13020</v>
      </c>
      <c r="H181" s="54">
        <f t="shared" si="15"/>
        <v>12550</v>
      </c>
      <c r="I181" s="58">
        <v>2</v>
      </c>
      <c r="J181" s="54">
        <f t="shared" si="16"/>
        <v>12299</v>
      </c>
      <c r="K181" s="57">
        <v>3650</v>
      </c>
      <c r="L181" s="54">
        <f t="shared" si="17"/>
        <v>44891350</v>
      </c>
      <c r="P181" s="139">
        <v>43700000</v>
      </c>
      <c r="Q181" s="139">
        <f t="shared" si="18"/>
        <v>1191350</v>
      </c>
    </row>
    <row r="182" spans="1:17" hidden="1" x14ac:dyDescent="0.3">
      <c r="A182" s="54"/>
      <c r="B182" s="54"/>
      <c r="C182" s="54"/>
      <c r="D182" s="54"/>
      <c r="E182" s="55" t="s">
        <v>543</v>
      </c>
      <c r="F182" s="57">
        <v>21160</v>
      </c>
      <c r="G182" s="57">
        <v>9480</v>
      </c>
      <c r="H182" s="54">
        <f t="shared" si="15"/>
        <v>11680</v>
      </c>
      <c r="I182" s="58">
        <v>2</v>
      </c>
      <c r="J182" s="54">
        <f t="shared" si="16"/>
        <v>11446.4</v>
      </c>
      <c r="K182" s="57">
        <v>3650</v>
      </c>
      <c r="L182" s="54">
        <f t="shared" ref="L182:L183" si="19">+J182*K182</f>
        <v>41779360</v>
      </c>
      <c r="P182" s="139">
        <v>40786000</v>
      </c>
      <c r="Q182" s="139">
        <f t="shared" si="18"/>
        <v>993360</v>
      </c>
    </row>
    <row r="183" spans="1:17" hidden="1" x14ac:dyDescent="0.3">
      <c r="A183" s="54"/>
      <c r="B183" s="54"/>
      <c r="C183" s="54"/>
      <c r="D183" s="54"/>
      <c r="E183" s="55" t="s">
        <v>541</v>
      </c>
      <c r="F183" s="57">
        <v>11500</v>
      </c>
      <c r="G183" s="57">
        <v>4960</v>
      </c>
      <c r="H183" s="54">
        <f t="shared" ref="H183" si="20">+F183-G183</f>
        <v>6540</v>
      </c>
      <c r="I183" s="58">
        <v>2.7</v>
      </c>
      <c r="J183" s="54">
        <f t="shared" ref="J183" si="21">+H183-H183*I183/100</f>
        <v>6363.42</v>
      </c>
      <c r="K183" s="57">
        <v>3650</v>
      </c>
      <c r="L183" s="54">
        <f t="shared" si="19"/>
        <v>23226483</v>
      </c>
      <c r="P183" s="139">
        <v>22554000</v>
      </c>
      <c r="Q183" s="139">
        <f t="shared" si="18"/>
        <v>672483</v>
      </c>
    </row>
    <row r="184" spans="1:17" hidden="1" x14ac:dyDescent="0.3">
      <c r="A184" s="54"/>
      <c r="B184" s="54"/>
      <c r="C184" s="54">
        <v>1550000</v>
      </c>
      <c r="D184" s="54" t="s">
        <v>548</v>
      </c>
      <c r="E184" s="55" t="s">
        <v>547</v>
      </c>
      <c r="F184" s="57">
        <v>28060</v>
      </c>
      <c r="G184" s="57">
        <v>12565</v>
      </c>
      <c r="H184" s="54">
        <f t="shared" si="15"/>
        <v>15495</v>
      </c>
      <c r="I184" s="58">
        <v>1</v>
      </c>
      <c r="J184" s="54">
        <f t="shared" si="16"/>
        <v>15340.05</v>
      </c>
      <c r="K184" s="57">
        <v>3975</v>
      </c>
      <c r="L184" s="54">
        <f t="shared" si="17"/>
        <v>60976698.75</v>
      </c>
      <c r="P184" s="139">
        <v>60600000</v>
      </c>
      <c r="Q184" s="139">
        <f t="shared" si="18"/>
        <v>376698.75</v>
      </c>
    </row>
    <row r="185" spans="1:17" hidden="1" x14ac:dyDescent="0.3">
      <c r="A185" s="54"/>
      <c r="B185" s="54"/>
      <c r="C185" s="54">
        <v>1300000</v>
      </c>
      <c r="D185" s="54" t="s">
        <v>549</v>
      </c>
      <c r="E185" s="55" t="s">
        <v>550</v>
      </c>
      <c r="F185" s="57">
        <v>25195</v>
      </c>
      <c r="G185" s="57">
        <v>14640</v>
      </c>
      <c r="H185" s="54">
        <f t="shared" si="15"/>
        <v>10555</v>
      </c>
      <c r="I185" s="58">
        <v>2</v>
      </c>
      <c r="J185" s="54">
        <f t="shared" si="16"/>
        <v>10343.9</v>
      </c>
      <c r="K185" s="57">
        <v>3875</v>
      </c>
      <c r="L185" s="54">
        <f t="shared" si="17"/>
        <v>40082612.5</v>
      </c>
      <c r="P185" s="139">
        <v>39830000</v>
      </c>
      <c r="Q185" s="139">
        <f t="shared" si="18"/>
        <v>252612.5</v>
      </c>
    </row>
    <row r="186" spans="1:17" hidden="1" x14ac:dyDescent="0.3">
      <c r="A186" s="54"/>
      <c r="B186" s="54"/>
      <c r="C186" s="54"/>
      <c r="D186" s="54"/>
      <c r="E186" s="55" t="s">
        <v>143</v>
      </c>
      <c r="F186" s="57">
        <v>24750</v>
      </c>
      <c r="G186" s="57">
        <v>13175</v>
      </c>
      <c r="H186" s="54">
        <f t="shared" si="15"/>
        <v>11575</v>
      </c>
      <c r="I186" s="58">
        <v>1</v>
      </c>
      <c r="J186" s="54">
        <f t="shared" si="16"/>
        <v>11459.25</v>
      </c>
      <c r="K186" s="57">
        <v>3975</v>
      </c>
      <c r="L186" s="54">
        <f t="shared" si="17"/>
        <v>45550518.75</v>
      </c>
      <c r="P186" s="139">
        <v>45200000</v>
      </c>
      <c r="Q186" s="139">
        <f t="shared" si="18"/>
        <v>350518.75</v>
      </c>
    </row>
    <row r="187" spans="1:17" hidden="1" x14ac:dyDescent="0.3">
      <c r="A187" s="54"/>
      <c r="B187" s="54"/>
      <c r="C187" s="54"/>
      <c r="D187" s="54"/>
      <c r="E187" s="55"/>
      <c r="F187" s="57"/>
      <c r="G187" s="57"/>
      <c r="H187" s="54">
        <f t="shared" si="15"/>
        <v>0</v>
      </c>
      <c r="I187" s="58"/>
      <c r="J187" s="54">
        <f t="shared" si="16"/>
        <v>0</v>
      </c>
      <c r="K187" s="57"/>
      <c r="L187" s="54">
        <f t="shared" si="17"/>
        <v>0</v>
      </c>
      <c r="Q187" s="139">
        <f t="shared" si="18"/>
        <v>0</v>
      </c>
    </row>
    <row r="188" spans="1:17" hidden="1" x14ac:dyDescent="0.3">
      <c r="A188" s="54" t="s">
        <v>546</v>
      </c>
      <c r="B188" s="54"/>
      <c r="C188" s="54"/>
      <c r="D188" s="54"/>
      <c r="E188" s="55" t="s">
        <v>555</v>
      </c>
      <c r="F188" s="57">
        <v>19480</v>
      </c>
      <c r="G188" s="57">
        <v>10000</v>
      </c>
      <c r="H188" s="54">
        <f t="shared" si="15"/>
        <v>9480</v>
      </c>
      <c r="I188" s="58">
        <v>2</v>
      </c>
      <c r="J188" s="54">
        <f t="shared" si="16"/>
        <v>9290.4</v>
      </c>
      <c r="K188" s="57">
        <v>3650</v>
      </c>
      <c r="L188" s="54">
        <f t="shared" si="17"/>
        <v>33909960</v>
      </c>
      <c r="P188" s="139">
        <v>33180000</v>
      </c>
      <c r="Q188" s="139">
        <f t="shared" si="18"/>
        <v>729960</v>
      </c>
    </row>
    <row r="189" spans="1:17" hidden="1" x14ac:dyDescent="0.3">
      <c r="A189" s="54"/>
      <c r="B189" s="54"/>
      <c r="C189" s="54">
        <v>120000000</v>
      </c>
      <c r="D189" s="54" t="s">
        <v>556</v>
      </c>
      <c r="E189" s="55" t="s">
        <v>557</v>
      </c>
      <c r="F189" s="57">
        <v>20320</v>
      </c>
      <c r="G189" s="57">
        <v>9820</v>
      </c>
      <c r="H189" s="54">
        <f t="shared" si="15"/>
        <v>10500</v>
      </c>
      <c r="I189" s="58">
        <v>2</v>
      </c>
      <c r="J189" s="54">
        <f t="shared" si="16"/>
        <v>10290</v>
      </c>
      <c r="K189" s="57">
        <v>3650</v>
      </c>
      <c r="L189" s="54">
        <f t="shared" si="17"/>
        <v>37558500</v>
      </c>
      <c r="P189" s="139">
        <v>36380000</v>
      </c>
      <c r="Q189" s="139">
        <f t="shared" si="18"/>
        <v>1178500</v>
      </c>
    </row>
    <row r="190" spans="1:17" hidden="1" x14ac:dyDescent="0.3">
      <c r="A190" s="54"/>
      <c r="B190" s="54">
        <v>1300000</v>
      </c>
      <c r="C190" s="54"/>
      <c r="D190" s="54" t="s">
        <v>554</v>
      </c>
      <c r="E190" s="55" t="s">
        <v>558</v>
      </c>
      <c r="F190" s="57">
        <v>26480</v>
      </c>
      <c r="G190" s="57">
        <v>13110</v>
      </c>
      <c r="H190" s="54">
        <f t="shared" si="15"/>
        <v>13370</v>
      </c>
      <c r="I190" s="58">
        <v>2.5</v>
      </c>
      <c r="J190" s="54">
        <f t="shared" si="16"/>
        <v>13035.75</v>
      </c>
      <c r="K190" s="57">
        <v>3370</v>
      </c>
      <c r="L190" s="54">
        <f t="shared" si="17"/>
        <v>43930477.5</v>
      </c>
      <c r="P190" s="139">
        <v>42800000</v>
      </c>
      <c r="Q190" s="139">
        <f t="shared" si="18"/>
        <v>1130477.5</v>
      </c>
    </row>
    <row r="191" spans="1:17" hidden="1" x14ac:dyDescent="0.3">
      <c r="A191" s="54"/>
      <c r="B191" s="54"/>
      <c r="C191" s="54">
        <v>500000</v>
      </c>
      <c r="D191" s="54" t="s">
        <v>560</v>
      </c>
      <c r="E191" s="55" t="s">
        <v>559</v>
      </c>
      <c r="F191" s="57">
        <v>19810</v>
      </c>
      <c r="G191" s="57">
        <v>10250</v>
      </c>
      <c r="H191" s="54">
        <f t="shared" si="15"/>
        <v>9560</v>
      </c>
      <c r="I191" s="58">
        <v>1</v>
      </c>
      <c r="J191" s="54">
        <f t="shared" si="16"/>
        <v>9464.4</v>
      </c>
      <c r="K191" s="57">
        <v>3650</v>
      </c>
      <c r="L191" s="54">
        <f t="shared" si="17"/>
        <v>34545060</v>
      </c>
      <c r="P191" s="139">
        <v>33800000</v>
      </c>
      <c r="Q191" s="139">
        <f t="shared" si="18"/>
        <v>745060</v>
      </c>
    </row>
    <row r="192" spans="1:17" hidden="1" x14ac:dyDescent="0.3">
      <c r="A192" s="54"/>
      <c r="B192" s="54"/>
      <c r="C192" s="54"/>
      <c r="D192" s="54"/>
      <c r="E192" s="55" t="s">
        <v>561</v>
      </c>
      <c r="F192" s="57">
        <v>23000</v>
      </c>
      <c r="G192" s="57">
        <v>9960</v>
      </c>
      <c r="H192" s="54">
        <f t="shared" si="15"/>
        <v>13040</v>
      </c>
      <c r="I192" s="58">
        <v>2</v>
      </c>
      <c r="J192" s="54">
        <f t="shared" si="16"/>
        <v>12779.2</v>
      </c>
      <c r="K192" s="57">
        <v>3650</v>
      </c>
      <c r="L192" s="54">
        <f t="shared" si="17"/>
        <v>46644080</v>
      </c>
      <c r="P192" s="139">
        <v>45535000</v>
      </c>
      <c r="Q192" s="139">
        <f t="shared" si="18"/>
        <v>1109080</v>
      </c>
    </row>
    <row r="193" spans="1:17" hidden="1" x14ac:dyDescent="0.3">
      <c r="A193" s="54"/>
      <c r="B193" s="54"/>
      <c r="C193" s="54"/>
      <c r="D193" s="54"/>
      <c r="E193" s="55" t="s">
        <v>562</v>
      </c>
      <c r="F193" s="57">
        <v>24760</v>
      </c>
      <c r="G193" s="57">
        <v>9720</v>
      </c>
      <c r="H193" s="54">
        <f t="shared" si="15"/>
        <v>15040</v>
      </c>
      <c r="I193" s="58">
        <v>2</v>
      </c>
      <c r="J193" s="54">
        <f t="shared" si="16"/>
        <v>14739.2</v>
      </c>
      <c r="K193" s="57">
        <v>3650</v>
      </c>
      <c r="L193" s="54">
        <f t="shared" si="17"/>
        <v>53798080</v>
      </c>
      <c r="P193" s="139">
        <v>52520000</v>
      </c>
      <c r="Q193" s="139">
        <f t="shared" si="18"/>
        <v>1278080</v>
      </c>
    </row>
    <row r="194" spans="1:17" hidden="1" x14ac:dyDescent="0.3">
      <c r="A194" s="54"/>
      <c r="B194" s="54"/>
      <c r="C194" s="54"/>
      <c r="D194" s="54"/>
      <c r="E194" s="55" t="s">
        <v>563</v>
      </c>
      <c r="F194" s="57">
        <v>13200</v>
      </c>
      <c r="G194" s="57">
        <v>9040</v>
      </c>
      <c r="H194" s="54">
        <f t="shared" si="15"/>
        <v>4160</v>
      </c>
      <c r="I194" s="58">
        <v>1</v>
      </c>
      <c r="J194" s="54">
        <f t="shared" si="16"/>
        <v>4118.3999999999996</v>
      </c>
      <c r="K194" s="57">
        <v>3900</v>
      </c>
      <c r="L194" s="54">
        <f t="shared" si="17"/>
        <v>16061759.999999998</v>
      </c>
      <c r="P194" s="139">
        <v>15661000</v>
      </c>
      <c r="Q194" s="139">
        <f t="shared" si="18"/>
        <v>400759.99999999814</v>
      </c>
    </row>
    <row r="195" spans="1:17" hidden="1" x14ac:dyDescent="0.3">
      <c r="A195" s="54"/>
      <c r="B195" s="54"/>
      <c r="C195" s="54"/>
      <c r="D195" s="54"/>
      <c r="E195" s="55" t="s">
        <v>571</v>
      </c>
      <c r="F195" s="57">
        <v>20750</v>
      </c>
      <c r="G195" s="57">
        <v>9550</v>
      </c>
      <c r="H195" s="54">
        <f t="shared" si="15"/>
        <v>11200</v>
      </c>
      <c r="I195" s="58">
        <v>2</v>
      </c>
      <c r="J195" s="54">
        <f t="shared" si="16"/>
        <v>10976</v>
      </c>
      <c r="K195" s="57">
        <v>3650</v>
      </c>
      <c r="L195" s="54">
        <f t="shared" si="17"/>
        <v>40062400</v>
      </c>
      <c r="P195" s="139">
        <v>38100000</v>
      </c>
      <c r="Q195" s="139">
        <f t="shared" si="18"/>
        <v>1962400</v>
      </c>
    </row>
    <row r="196" spans="1:17" hidden="1" x14ac:dyDescent="0.3">
      <c r="A196" s="54"/>
      <c r="B196" s="54"/>
      <c r="C196" s="54"/>
      <c r="D196" s="54"/>
      <c r="E196" s="55"/>
      <c r="F196" s="57"/>
      <c r="G196" s="57"/>
      <c r="H196" s="54">
        <f t="shared" si="15"/>
        <v>0</v>
      </c>
      <c r="I196" s="58"/>
      <c r="J196" s="54">
        <f t="shared" si="16"/>
        <v>0</v>
      </c>
      <c r="K196" s="57"/>
      <c r="L196" s="54">
        <f t="shared" si="17"/>
        <v>0</v>
      </c>
      <c r="Q196" s="139">
        <f t="shared" si="18"/>
        <v>0</v>
      </c>
    </row>
    <row r="197" spans="1:17" hidden="1" x14ac:dyDescent="0.3">
      <c r="A197" s="54" t="s">
        <v>573</v>
      </c>
      <c r="B197" s="54"/>
      <c r="C197" s="54"/>
      <c r="D197" s="54"/>
      <c r="E197" s="55" t="s">
        <v>574</v>
      </c>
      <c r="F197" s="57">
        <v>12280</v>
      </c>
      <c r="G197" s="57">
        <v>5220</v>
      </c>
      <c r="H197" s="54">
        <f t="shared" si="15"/>
        <v>7060</v>
      </c>
      <c r="I197" s="58">
        <v>2</v>
      </c>
      <c r="J197" s="54">
        <f t="shared" si="16"/>
        <v>6918.8</v>
      </c>
      <c r="K197" s="57">
        <v>3650</v>
      </c>
      <c r="L197" s="54">
        <f t="shared" si="17"/>
        <v>25253620</v>
      </c>
      <c r="P197" s="139">
        <v>24235000</v>
      </c>
      <c r="Q197" s="139">
        <f t="shared" si="18"/>
        <v>1018620</v>
      </c>
    </row>
    <row r="198" spans="1:17" hidden="1" x14ac:dyDescent="0.3">
      <c r="A198" s="54"/>
      <c r="B198" s="54"/>
      <c r="C198" s="54"/>
      <c r="D198" s="54"/>
      <c r="E198" s="55"/>
      <c r="F198" s="57"/>
      <c r="G198" s="57"/>
      <c r="H198" s="54">
        <f t="shared" si="15"/>
        <v>0</v>
      </c>
      <c r="I198" s="58"/>
      <c r="J198" s="54">
        <f t="shared" si="16"/>
        <v>0</v>
      </c>
      <c r="K198" s="57"/>
      <c r="L198" s="54">
        <f t="shared" si="17"/>
        <v>0</v>
      </c>
      <c r="Q198" s="139">
        <f t="shared" si="18"/>
        <v>0</v>
      </c>
    </row>
    <row r="199" spans="1:17" hidden="1" x14ac:dyDescent="0.3">
      <c r="A199" s="54" t="s">
        <v>576</v>
      </c>
      <c r="B199" s="54"/>
      <c r="C199" s="54">
        <f>16800*12180</f>
        <v>204624000</v>
      </c>
      <c r="D199" s="54" t="s">
        <v>577</v>
      </c>
      <c r="E199" s="55" t="s">
        <v>578</v>
      </c>
      <c r="F199" s="57">
        <v>16750</v>
      </c>
      <c r="G199" s="57">
        <v>9060</v>
      </c>
      <c r="H199" s="54">
        <f t="shared" si="15"/>
        <v>7690</v>
      </c>
      <c r="I199" s="58">
        <v>3.6</v>
      </c>
      <c r="J199" s="54">
        <f t="shared" si="16"/>
        <v>7413.16</v>
      </c>
      <c r="K199" s="57">
        <v>3600</v>
      </c>
      <c r="L199" s="54">
        <f t="shared" si="17"/>
        <v>26687376</v>
      </c>
      <c r="P199" s="139">
        <v>27230000</v>
      </c>
      <c r="Q199" s="139">
        <f t="shared" si="18"/>
        <v>-542624</v>
      </c>
    </row>
    <row r="200" spans="1:17" hidden="1" x14ac:dyDescent="0.3">
      <c r="A200" s="54"/>
      <c r="B200" s="54"/>
      <c r="C200" s="54"/>
      <c r="D200" s="54"/>
      <c r="E200" s="55" t="s">
        <v>592</v>
      </c>
      <c r="F200" s="57">
        <v>22950</v>
      </c>
      <c r="G200" s="57">
        <v>13230</v>
      </c>
      <c r="H200" s="54">
        <f t="shared" si="15"/>
        <v>9720</v>
      </c>
      <c r="I200" s="58">
        <v>2.5</v>
      </c>
      <c r="J200" s="54">
        <f t="shared" si="16"/>
        <v>9477</v>
      </c>
      <c r="K200" s="57">
        <v>3350</v>
      </c>
      <c r="L200" s="54">
        <f t="shared" si="17"/>
        <v>31747950</v>
      </c>
      <c r="P200" s="139">
        <v>31113000</v>
      </c>
      <c r="Q200" s="139">
        <f t="shared" si="18"/>
        <v>634950</v>
      </c>
    </row>
    <row r="201" spans="1:17" hidden="1" x14ac:dyDescent="0.3">
      <c r="A201" s="54"/>
      <c r="B201" s="54"/>
      <c r="C201" s="54"/>
      <c r="D201" s="54" t="s">
        <v>591</v>
      </c>
      <c r="E201" s="55" t="s">
        <v>579</v>
      </c>
      <c r="F201" s="57">
        <v>16480</v>
      </c>
      <c r="G201" s="57">
        <v>8760</v>
      </c>
      <c r="H201" s="54">
        <f t="shared" si="15"/>
        <v>7720</v>
      </c>
      <c r="I201" s="58">
        <v>2</v>
      </c>
      <c r="J201" s="54">
        <f t="shared" si="16"/>
        <v>7565.6</v>
      </c>
      <c r="K201" s="57">
        <v>3900</v>
      </c>
      <c r="L201" s="54">
        <f t="shared" si="17"/>
        <v>29505840</v>
      </c>
      <c r="P201" s="139">
        <f>26479000+1930000</f>
        <v>28409000</v>
      </c>
      <c r="Q201" s="139">
        <f t="shared" si="18"/>
        <v>1096840</v>
      </c>
    </row>
    <row r="202" spans="1:17" hidden="1" x14ac:dyDescent="0.3">
      <c r="A202" s="54"/>
      <c r="B202" s="54"/>
      <c r="C202" s="54"/>
      <c r="D202" s="54"/>
      <c r="E202" s="55"/>
      <c r="F202" s="57"/>
      <c r="G202" s="57"/>
      <c r="H202" s="54">
        <f t="shared" si="15"/>
        <v>0</v>
      </c>
      <c r="I202" s="58"/>
      <c r="J202" s="54">
        <f t="shared" si="16"/>
        <v>0</v>
      </c>
      <c r="K202" s="57"/>
      <c r="L202" s="54">
        <f t="shared" si="17"/>
        <v>0</v>
      </c>
      <c r="Q202" s="139">
        <f t="shared" si="18"/>
        <v>0</v>
      </c>
    </row>
    <row r="203" spans="1:17" hidden="1" x14ac:dyDescent="0.3">
      <c r="A203" s="54" t="s">
        <v>584</v>
      </c>
      <c r="B203" s="54"/>
      <c r="C203" s="54"/>
      <c r="D203" s="54"/>
      <c r="E203" s="179" t="s">
        <v>585</v>
      </c>
      <c r="F203" s="57">
        <v>26480</v>
      </c>
      <c r="G203" s="57">
        <v>9890</v>
      </c>
      <c r="H203" s="54">
        <f t="shared" si="15"/>
        <v>16590</v>
      </c>
      <c r="I203" s="58">
        <v>1</v>
      </c>
      <c r="J203" s="54">
        <f t="shared" si="16"/>
        <v>16424.099999999999</v>
      </c>
      <c r="K203" s="57">
        <v>4000</v>
      </c>
      <c r="L203" s="54">
        <f t="shared" si="17"/>
        <v>65696399.999999993</v>
      </c>
      <c r="P203" s="139">
        <v>64875000</v>
      </c>
      <c r="Q203" s="139">
        <f t="shared" si="18"/>
        <v>821399.99999999255</v>
      </c>
    </row>
    <row r="204" spans="1:17" hidden="1" x14ac:dyDescent="0.3">
      <c r="A204" s="54"/>
      <c r="B204" s="54"/>
      <c r="C204" s="54">
        <v>782000</v>
      </c>
      <c r="D204" s="54" t="s">
        <v>586</v>
      </c>
      <c r="E204" s="55" t="s">
        <v>587</v>
      </c>
      <c r="F204" s="57">
        <v>22990</v>
      </c>
      <c r="G204" s="57">
        <v>13620</v>
      </c>
      <c r="H204" s="54">
        <f t="shared" si="15"/>
        <v>9370</v>
      </c>
      <c r="I204" s="58">
        <v>2</v>
      </c>
      <c r="J204" s="54">
        <f t="shared" si="16"/>
        <v>9182.6</v>
      </c>
      <c r="K204" s="57">
        <v>3350</v>
      </c>
      <c r="L204" s="54">
        <f t="shared" si="17"/>
        <v>30761710</v>
      </c>
      <c r="P204" s="139">
        <v>30200000</v>
      </c>
      <c r="Q204" s="139">
        <f t="shared" si="18"/>
        <v>561710</v>
      </c>
    </row>
    <row r="205" spans="1:17" hidden="1" x14ac:dyDescent="0.3">
      <c r="A205" s="54"/>
      <c r="B205" s="54"/>
      <c r="C205" s="54"/>
      <c r="D205" s="54"/>
      <c r="E205" s="55" t="s">
        <v>588</v>
      </c>
      <c r="F205" s="57">
        <v>17770</v>
      </c>
      <c r="G205" s="57">
        <v>8590</v>
      </c>
      <c r="H205" s="54">
        <f t="shared" si="15"/>
        <v>9180</v>
      </c>
      <c r="I205" s="58">
        <v>3</v>
      </c>
      <c r="J205" s="54">
        <f t="shared" si="16"/>
        <v>8904.6</v>
      </c>
      <c r="K205" s="57">
        <v>3650</v>
      </c>
      <c r="L205" s="54">
        <f t="shared" si="17"/>
        <v>32501790</v>
      </c>
      <c r="P205" s="139">
        <v>31783000</v>
      </c>
      <c r="Q205" s="139">
        <f t="shared" si="18"/>
        <v>718790</v>
      </c>
    </row>
    <row r="206" spans="1:17" hidden="1" x14ac:dyDescent="0.3">
      <c r="A206" s="54"/>
      <c r="B206" s="54"/>
      <c r="C206" s="54"/>
      <c r="D206" s="180"/>
      <c r="E206" s="179" t="s">
        <v>585</v>
      </c>
      <c r="F206" s="57">
        <v>26580</v>
      </c>
      <c r="G206" s="57">
        <v>9850</v>
      </c>
      <c r="H206" s="54">
        <f t="shared" si="15"/>
        <v>16730</v>
      </c>
      <c r="I206" s="58">
        <v>1</v>
      </c>
      <c r="J206" s="54">
        <f t="shared" si="16"/>
        <v>16562.7</v>
      </c>
      <c r="K206" s="57">
        <v>4000</v>
      </c>
      <c r="L206" s="54">
        <f t="shared" si="17"/>
        <v>66250800</v>
      </c>
      <c r="P206" s="139">
        <v>65460000</v>
      </c>
      <c r="Q206" s="139">
        <f t="shared" si="18"/>
        <v>790800</v>
      </c>
    </row>
    <row r="207" spans="1:17" hidden="1" x14ac:dyDescent="0.3">
      <c r="A207" s="54"/>
      <c r="B207" s="54"/>
      <c r="C207" s="54">
        <v>18720000</v>
      </c>
      <c r="D207" s="54" t="s">
        <v>590</v>
      </c>
      <c r="E207" s="55"/>
      <c r="F207" s="57"/>
      <c r="G207" s="57"/>
      <c r="H207" s="54">
        <f t="shared" si="15"/>
        <v>0</v>
      </c>
      <c r="I207" s="58"/>
      <c r="J207" s="54">
        <f t="shared" si="16"/>
        <v>0</v>
      </c>
      <c r="K207" s="57"/>
      <c r="L207" s="54">
        <f t="shared" si="17"/>
        <v>0</v>
      </c>
      <c r="Q207" s="139">
        <f t="shared" si="18"/>
        <v>0</v>
      </c>
    </row>
    <row r="208" spans="1:17" hidden="1" x14ac:dyDescent="0.3">
      <c r="A208" s="54"/>
      <c r="B208" s="54"/>
      <c r="C208" s="54"/>
      <c r="D208" s="54"/>
      <c r="E208" s="55"/>
      <c r="F208" s="57"/>
      <c r="G208" s="57"/>
      <c r="H208" s="54">
        <f t="shared" si="15"/>
        <v>0</v>
      </c>
      <c r="I208" s="58"/>
      <c r="J208" s="54">
        <f t="shared" si="16"/>
        <v>0</v>
      </c>
      <c r="K208" s="57"/>
      <c r="L208" s="54">
        <f t="shared" si="17"/>
        <v>0</v>
      </c>
      <c r="Q208" s="139">
        <f t="shared" si="18"/>
        <v>0</v>
      </c>
    </row>
    <row r="209" spans="1:17" hidden="1" x14ac:dyDescent="0.3">
      <c r="A209" s="54"/>
      <c r="B209" s="54"/>
      <c r="C209" s="54"/>
      <c r="D209" s="54"/>
      <c r="E209" s="55"/>
      <c r="F209" s="57"/>
      <c r="G209" s="57"/>
      <c r="H209" s="54">
        <f t="shared" si="15"/>
        <v>0</v>
      </c>
      <c r="I209" s="58"/>
      <c r="J209" s="54">
        <f t="shared" si="16"/>
        <v>0</v>
      </c>
      <c r="K209" s="57"/>
      <c r="L209" s="54">
        <f t="shared" si="17"/>
        <v>0</v>
      </c>
      <c r="Q209" s="139">
        <f t="shared" si="18"/>
        <v>0</v>
      </c>
    </row>
    <row r="210" spans="1:17" hidden="1" x14ac:dyDescent="0.3">
      <c r="A210" s="54"/>
      <c r="B210" s="54"/>
      <c r="C210" s="54"/>
      <c r="D210" s="54"/>
      <c r="E210" s="55"/>
      <c r="F210" s="57"/>
      <c r="G210" s="57"/>
      <c r="H210" s="54">
        <f t="shared" si="15"/>
        <v>0</v>
      </c>
      <c r="I210" s="58"/>
      <c r="J210" s="54">
        <f t="shared" si="16"/>
        <v>0</v>
      </c>
      <c r="K210" s="57"/>
      <c r="L210" s="54">
        <f t="shared" si="17"/>
        <v>0</v>
      </c>
      <c r="Q210" s="139">
        <f t="shared" si="18"/>
        <v>0</v>
      </c>
    </row>
    <row r="211" spans="1:17" hidden="1" x14ac:dyDescent="0.3">
      <c r="A211" s="54"/>
      <c r="B211" s="54"/>
      <c r="C211" s="54"/>
      <c r="D211" s="54"/>
      <c r="E211" s="55"/>
      <c r="F211" s="57"/>
      <c r="G211" s="57"/>
      <c r="H211" s="54">
        <f t="shared" si="15"/>
        <v>0</v>
      </c>
      <c r="I211" s="58"/>
      <c r="J211" s="54">
        <f t="shared" si="16"/>
        <v>0</v>
      </c>
      <c r="K211" s="57"/>
      <c r="L211" s="54">
        <f t="shared" si="17"/>
        <v>0</v>
      </c>
      <c r="Q211" s="139">
        <f t="shared" si="18"/>
        <v>0</v>
      </c>
    </row>
    <row r="212" spans="1:17" hidden="1" x14ac:dyDescent="0.3">
      <c r="A212" s="54" t="s">
        <v>601</v>
      </c>
      <c r="B212" s="54"/>
      <c r="C212" s="54">
        <f>34300*12130</f>
        <v>416059000</v>
      </c>
      <c r="D212" s="54" t="s">
        <v>602</v>
      </c>
      <c r="E212" s="55" t="s">
        <v>604</v>
      </c>
      <c r="F212" s="57">
        <v>25500</v>
      </c>
      <c r="G212" s="57">
        <v>13180</v>
      </c>
      <c r="H212" s="54">
        <f t="shared" si="15"/>
        <v>12320</v>
      </c>
      <c r="I212" s="58">
        <v>2.4</v>
      </c>
      <c r="J212" s="54">
        <f t="shared" si="16"/>
        <v>12024.32</v>
      </c>
      <c r="K212" s="57">
        <v>3350</v>
      </c>
      <c r="L212" s="54">
        <f t="shared" si="17"/>
        <v>40281472</v>
      </c>
      <c r="P212" s="139">
        <v>39680000</v>
      </c>
      <c r="Q212" s="139">
        <f t="shared" si="18"/>
        <v>601472</v>
      </c>
    </row>
    <row r="213" spans="1:17" hidden="1" x14ac:dyDescent="0.3">
      <c r="A213" s="54"/>
      <c r="B213" s="54"/>
      <c r="C213" s="54">
        <v>195000000</v>
      </c>
      <c r="D213" s="54" t="s">
        <v>603</v>
      </c>
      <c r="E213" s="55" t="s">
        <v>532</v>
      </c>
      <c r="F213" s="57">
        <v>23210</v>
      </c>
      <c r="G213" s="57">
        <v>9570</v>
      </c>
      <c r="H213" s="54">
        <f t="shared" si="15"/>
        <v>13640</v>
      </c>
      <c r="I213" s="58">
        <v>3.9</v>
      </c>
      <c r="J213" s="54">
        <f t="shared" si="16"/>
        <v>13108.04</v>
      </c>
      <c r="K213" s="57">
        <v>3600</v>
      </c>
      <c r="L213" s="54">
        <f t="shared" si="17"/>
        <v>47188944</v>
      </c>
      <c r="P213" s="139">
        <v>45290000</v>
      </c>
      <c r="Q213" s="139">
        <f t="shared" si="18"/>
        <v>1898944</v>
      </c>
    </row>
    <row r="214" spans="1:17" hidden="1" x14ac:dyDescent="0.3">
      <c r="A214" s="54"/>
      <c r="B214" s="54"/>
      <c r="C214" s="54">
        <v>1360000</v>
      </c>
      <c r="D214" s="54" t="s">
        <v>334</v>
      </c>
      <c r="E214" s="55" t="s">
        <v>605</v>
      </c>
      <c r="F214" s="57">
        <v>20010</v>
      </c>
      <c r="G214" s="57">
        <v>9240</v>
      </c>
      <c r="H214" s="54">
        <f t="shared" si="15"/>
        <v>10770</v>
      </c>
      <c r="I214" s="58">
        <v>2.5</v>
      </c>
      <c r="J214" s="54">
        <f t="shared" si="16"/>
        <v>10500.75</v>
      </c>
      <c r="K214" s="57">
        <v>3350</v>
      </c>
      <c r="L214" s="54">
        <f t="shared" si="17"/>
        <v>35177512.5</v>
      </c>
      <c r="P214" s="139">
        <v>33500000</v>
      </c>
      <c r="Q214" s="139">
        <f t="shared" si="18"/>
        <v>1677512.5</v>
      </c>
    </row>
    <row r="215" spans="1:17" hidden="1" x14ac:dyDescent="0.3">
      <c r="A215" s="54"/>
      <c r="B215" s="54"/>
      <c r="C215" s="54">
        <v>460000</v>
      </c>
      <c r="D215" s="54" t="s">
        <v>181</v>
      </c>
      <c r="E215" s="55" t="s">
        <v>606</v>
      </c>
      <c r="F215" s="57">
        <v>26020</v>
      </c>
      <c r="G215" s="57">
        <v>14870</v>
      </c>
      <c r="H215" s="54">
        <f t="shared" si="15"/>
        <v>11150</v>
      </c>
      <c r="I215" s="58">
        <v>2.5</v>
      </c>
      <c r="J215" s="54">
        <f t="shared" si="16"/>
        <v>10871.25</v>
      </c>
      <c r="K215" s="57">
        <v>3350</v>
      </c>
      <c r="L215" s="54">
        <f t="shared" si="17"/>
        <v>36418687.5</v>
      </c>
      <c r="P215" s="139">
        <v>35690000</v>
      </c>
      <c r="Q215" s="139">
        <f t="shared" si="18"/>
        <v>728687.5</v>
      </c>
    </row>
    <row r="216" spans="1:17" hidden="1" x14ac:dyDescent="0.3">
      <c r="A216" s="54"/>
      <c r="B216" s="54"/>
      <c r="C216" s="54"/>
      <c r="D216" s="54" t="s">
        <v>608</v>
      </c>
      <c r="E216" s="55" t="s">
        <v>607</v>
      </c>
      <c r="F216" s="57">
        <v>9740</v>
      </c>
      <c r="G216" s="57">
        <v>5040</v>
      </c>
      <c r="H216" s="54">
        <f t="shared" si="15"/>
        <v>4700</v>
      </c>
      <c r="I216" s="58">
        <v>2</v>
      </c>
      <c r="J216" s="54">
        <f t="shared" si="16"/>
        <v>4606</v>
      </c>
      <c r="K216" s="57">
        <v>3900</v>
      </c>
      <c r="L216" s="54">
        <f t="shared" si="17"/>
        <v>17963400</v>
      </c>
      <c r="P216" s="139">
        <v>16285000</v>
      </c>
      <c r="Q216" s="139">
        <f t="shared" si="18"/>
        <v>1678400</v>
      </c>
    </row>
    <row r="217" spans="1:17" hidden="1" x14ac:dyDescent="0.3">
      <c r="A217" s="54"/>
      <c r="B217" s="54"/>
      <c r="C217" s="54">
        <v>573000</v>
      </c>
      <c r="D217" s="54" t="s">
        <v>609</v>
      </c>
      <c r="E217" s="55" t="s">
        <v>475</v>
      </c>
      <c r="F217" s="57">
        <v>11580</v>
      </c>
      <c r="G217" s="57">
        <v>4920</v>
      </c>
      <c r="H217" s="54">
        <f t="shared" si="15"/>
        <v>6660</v>
      </c>
      <c r="I217" s="58">
        <v>2</v>
      </c>
      <c r="J217" s="54">
        <f t="shared" si="16"/>
        <v>6526.8</v>
      </c>
      <c r="K217" s="57">
        <v>3650</v>
      </c>
      <c r="L217" s="54">
        <f t="shared" si="17"/>
        <v>23822820</v>
      </c>
      <c r="P217" s="139">
        <v>22597000</v>
      </c>
      <c r="Q217" s="139">
        <f t="shared" si="18"/>
        <v>1225820</v>
      </c>
    </row>
    <row r="218" spans="1:17" hidden="1" x14ac:dyDescent="0.3">
      <c r="A218" s="54" t="s">
        <v>615</v>
      </c>
      <c r="B218" s="54">
        <v>2700000</v>
      </c>
      <c r="C218" s="54"/>
      <c r="D218" s="54" t="s">
        <v>616</v>
      </c>
      <c r="E218" s="55" t="s">
        <v>487</v>
      </c>
      <c r="F218" s="57">
        <v>24240</v>
      </c>
      <c r="G218" s="57">
        <v>12510</v>
      </c>
      <c r="H218" s="54">
        <f t="shared" si="15"/>
        <v>11730</v>
      </c>
      <c r="I218" s="58">
        <v>2</v>
      </c>
      <c r="J218" s="54">
        <f t="shared" si="16"/>
        <v>11495.4</v>
      </c>
      <c r="K218" s="57">
        <v>3650</v>
      </c>
      <c r="L218" s="54">
        <f t="shared" si="17"/>
        <v>41958210</v>
      </c>
      <c r="P218" s="139">
        <v>40392000</v>
      </c>
      <c r="Q218" s="139">
        <f t="shared" si="18"/>
        <v>1566210</v>
      </c>
    </row>
    <row r="219" spans="1:17" hidden="1" x14ac:dyDescent="0.3">
      <c r="A219" s="54"/>
      <c r="B219" s="54"/>
      <c r="C219" s="54">
        <v>130210000</v>
      </c>
      <c r="D219" s="54" t="s">
        <v>617</v>
      </c>
      <c r="E219" s="55" t="s">
        <v>618</v>
      </c>
      <c r="F219" s="57">
        <v>24920</v>
      </c>
      <c r="G219" s="57">
        <v>13120</v>
      </c>
      <c r="H219" s="54">
        <f t="shared" ref="H219:H282" si="22">+F219-G219</f>
        <v>11800</v>
      </c>
      <c r="I219" s="58">
        <v>2.6</v>
      </c>
      <c r="J219" s="54">
        <f t="shared" ref="J219:J282" si="23">+H219-H219*I219/100</f>
        <v>11493.2</v>
      </c>
      <c r="K219" s="57">
        <v>3350</v>
      </c>
      <c r="L219" s="54">
        <f t="shared" ref="L219:L282" si="24">+J219*K219</f>
        <v>38502220</v>
      </c>
      <c r="P219" s="139">
        <v>37730000</v>
      </c>
      <c r="Q219" s="139">
        <f t="shared" si="18"/>
        <v>772220</v>
      </c>
    </row>
    <row r="220" spans="1:17" hidden="1" x14ac:dyDescent="0.3">
      <c r="A220" s="54"/>
      <c r="B220" s="54"/>
      <c r="C220" s="54"/>
      <c r="D220" s="180"/>
      <c r="E220" s="55" t="s">
        <v>620</v>
      </c>
      <c r="F220" s="57">
        <v>24110</v>
      </c>
      <c r="G220" s="57">
        <v>9920</v>
      </c>
      <c r="H220" s="54">
        <f t="shared" si="22"/>
        <v>14190</v>
      </c>
      <c r="I220" s="58">
        <v>2</v>
      </c>
      <c r="J220" s="54">
        <f t="shared" si="23"/>
        <v>13906.2</v>
      </c>
      <c r="K220" s="57">
        <v>4000</v>
      </c>
      <c r="L220" s="54">
        <f t="shared" si="24"/>
        <v>55624800</v>
      </c>
      <c r="P220" s="139">
        <v>54930000</v>
      </c>
      <c r="Q220" s="139">
        <f t="shared" ref="Q220:Q283" si="25">+L220-P220</f>
        <v>694800</v>
      </c>
    </row>
    <row r="221" spans="1:17" hidden="1" x14ac:dyDescent="0.3">
      <c r="A221" s="54"/>
      <c r="B221" s="54"/>
      <c r="C221" s="54">
        <v>57000</v>
      </c>
      <c r="D221" s="54" t="s">
        <v>619</v>
      </c>
      <c r="E221" s="55"/>
      <c r="F221" s="57"/>
      <c r="G221" s="57"/>
      <c r="H221" s="54">
        <f t="shared" si="22"/>
        <v>0</v>
      </c>
      <c r="I221" s="58"/>
      <c r="J221" s="54">
        <f t="shared" si="23"/>
        <v>0</v>
      </c>
      <c r="K221" s="57"/>
      <c r="L221" s="54">
        <f t="shared" si="24"/>
        <v>0</v>
      </c>
      <c r="Q221" s="139">
        <f t="shared" si="25"/>
        <v>0</v>
      </c>
    </row>
    <row r="222" spans="1:17" hidden="1" x14ac:dyDescent="0.3">
      <c r="A222" s="54"/>
      <c r="B222" s="54"/>
      <c r="C222" s="54"/>
      <c r="D222" s="54"/>
      <c r="E222" s="55"/>
      <c r="F222" s="57"/>
      <c r="G222" s="57"/>
      <c r="H222" s="54">
        <f t="shared" si="22"/>
        <v>0</v>
      </c>
      <c r="I222" s="58"/>
      <c r="J222" s="54">
        <f t="shared" si="23"/>
        <v>0</v>
      </c>
      <c r="K222" s="57"/>
      <c r="L222" s="54">
        <f t="shared" si="24"/>
        <v>0</v>
      </c>
      <c r="Q222" s="139">
        <f t="shared" si="25"/>
        <v>0</v>
      </c>
    </row>
    <row r="223" spans="1:17" hidden="1" x14ac:dyDescent="0.3">
      <c r="A223" s="54"/>
      <c r="B223" s="54"/>
      <c r="C223" s="54"/>
      <c r="D223" s="54"/>
      <c r="E223" s="55"/>
      <c r="F223" s="57"/>
      <c r="G223" s="57"/>
      <c r="H223" s="54">
        <f t="shared" si="22"/>
        <v>0</v>
      </c>
      <c r="I223" s="58"/>
      <c r="J223" s="54">
        <f t="shared" si="23"/>
        <v>0</v>
      </c>
      <c r="K223" s="57"/>
      <c r="L223" s="54">
        <f t="shared" si="24"/>
        <v>0</v>
      </c>
      <c r="Q223" s="139">
        <f t="shared" si="25"/>
        <v>0</v>
      </c>
    </row>
    <row r="224" spans="1:17" hidden="1" x14ac:dyDescent="0.3">
      <c r="A224" s="54" t="s">
        <v>629</v>
      </c>
      <c r="B224" s="54"/>
      <c r="C224" s="54">
        <v>302900000</v>
      </c>
      <c r="D224" s="54" t="s">
        <v>617</v>
      </c>
      <c r="E224" s="55" t="s">
        <v>631</v>
      </c>
      <c r="F224" s="57">
        <v>21760</v>
      </c>
      <c r="G224" s="57">
        <v>12140</v>
      </c>
      <c r="H224" s="54">
        <f t="shared" si="22"/>
        <v>9620</v>
      </c>
      <c r="I224" s="58">
        <v>3</v>
      </c>
      <c r="J224" s="54">
        <f t="shared" si="23"/>
        <v>9331.4</v>
      </c>
      <c r="K224" s="57">
        <v>3600</v>
      </c>
      <c r="L224" s="54">
        <f t="shared" si="24"/>
        <v>33593040</v>
      </c>
      <c r="P224" s="139">
        <v>33126000</v>
      </c>
      <c r="Q224" s="139">
        <f t="shared" si="25"/>
        <v>467040</v>
      </c>
    </row>
    <row r="225" spans="1:17" hidden="1" x14ac:dyDescent="0.3">
      <c r="A225" s="54"/>
      <c r="B225" s="54"/>
      <c r="C225" s="54">
        <v>700000</v>
      </c>
      <c r="D225" s="54" t="s">
        <v>531</v>
      </c>
      <c r="E225" s="55" t="s">
        <v>632</v>
      </c>
      <c r="F225" s="57">
        <v>20600</v>
      </c>
      <c r="G225" s="57">
        <v>9740</v>
      </c>
      <c r="H225" s="54">
        <f t="shared" si="22"/>
        <v>10860</v>
      </c>
      <c r="I225" s="58">
        <v>2</v>
      </c>
      <c r="J225" s="54">
        <f t="shared" si="23"/>
        <v>10642.8</v>
      </c>
      <c r="K225" s="57">
        <v>3650</v>
      </c>
      <c r="L225" s="54">
        <f t="shared" si="24"/>
        <v>38846220</v>
      </c>
      <c r="P225" s="139">
        <v>36870000</v>
      </c>
      <c r="Q225" s="139">
        <f t="shared" si="25"/>
        <v>1976220</v>
      </c>
    </row>
    <row r="226" spans="1:17" hidden="1" x14ac:dyDescent="0.3">
      <c r="A226" s="54"/>
      <c r="B226" s="54"/>
      <c r="C226" s="54"/>
      <c r="D226" s="54"/>
      <c r="E226" s="55" t="s">
        <v>633</v>
      </c>
      <c r="F226" s="57">
        <v>28360</v>
      </c>
      <c r="G226" s="57">
        <v>13560</v>
      </c>
      <c r="H226" s="54">
        <f t="shared" si="22"/>
        <v>14800</v>
      </c>
      <c r="I226" s="58">
        <v>2</v>
      </c>
      <c r="J226" s="54">
        <f t="shared" si="23"/>
        <v>14504</v>
      </c>
      <c r="K226" s="57">
        <v>3650</v>
      </c>
      <c r="L226" s="54">
        <f t="shared" si="24"/>
        <v>52939600</v>
      </c>
      <c r="P226" s="139">
        <v>51541000</v>
      </c>
      <c r="Q226" s="139">
        <f t="shared" si="25"/>
        <v>1398600</v>
      </c>
    </row>
    <row r="227" spans="1:17" hidden="1" x14ac:dyDescent="0.3">
      <c r="A227" s="54"/>
      <c r="B227" s="54"/>
      <c r="C227" s="54">
        <v>750000</v>
      </c>
      <c r="D227" s="54" t="s">
        <v>635</v>
      </c>
      <c r="E227" s="55" t="s">
        <v>634</v>
      </c>
      <c r="F227" s="57">
        <v>22460</v>
      </c>
      <c r="G227" s="57">
        <v>13040</v>
      </c>
      <c r="H227" s="54">
        <f t="shared" si="22"/>
        <v>9420</v>
      </c>
      <c r="I227" s="58">
        <v>2</v>
      </c>
      <c r="J227" s="54">
        <f t="shared" si="23"/>
        <v>9231.6</v>
      </c>
      <c r="K227" s="57">
        <v>3350</v>
      </c>
      <c r="L227" s="54">
        <f t="shared" si="24"/>
        <v>30925860</v>
      </c>
      <c r="P227" s="139">
        <v>29300000</v>
      </c>
      <c r="Q227" s="139">
        <f t="shared" si="25"/>
        <v>1625860</v>
      </c>
    </row>
    <row r="228" spans="1:17" hidden="1" x14ac:dyDescent="0.3">
      <c r="A228" s="54"/>
      <c r="B228" s="54"/>
      <c r="C228" s="54"/>
      <c r="D228" s="54"/>
      <c r="E228" s="55" t="s">
        <v>636</v>
      </c>
      <c r="F228" s="57">
        <v>24840</v>
      </c>
      <c r="G228" s="57">
        <v>13920</v>
      </c>
      <c r="H228" s="54">
        <f t="shared" si="22"/>
        <v>10920</v>
      </c>
      <c r="I228" s="58">
        <v>2.2000000000000002</v>
      </c>
      <c r="J228" s="54">
        <f t="shared" si="23"/>
        <v>10679.76</v>
      </c>
      <c r="K228" s="57">
        <v>3350</v>
      </c>
      <c r="L228" s="54">
        <f t="shared" si="24"/>
        <v>35777196</v>
      </c>
      <c r="P228" s="139">
        <v>34850000</v>
      </c>
      <c r="Q228" s="139">
        <f t="shared" si="25"/>
        <v>927196</v>
      </c>
    </row>
    <row r="229" spans="1:17" hidden="1" x14ac:dyDescent="0.3">
      <c r="A229" s="54"/>
      <c r="B229" s="54"/>
      <c r="C229" s="54"/>
      <c r="D229" s="54"/>
      <c r="E229" s="55"/>
      <c r="F229" s="57"/>
      <c r="G229" s="57"/>
      <c r="H229" s="54">
        <f t="shared" si="22"/>
        <v>0</v>
      </c>
      <c r="I229" s="58"/>
      <c r="J229" s="54">
        <f t="shared" si="23"/>
        <v>0</v>
      </c>
      <c r="K229" s="57"/>
      <c r="L229" s="54">
        <f t="shared" si="24"/>
        <v>0</v>
      </c>
      <c r="Q229" s="139">
        <f t="shared" si="25"/>
        <v>0</v>
      </c>
    </row>
    <row r="230" spans="1:17" hidden="1" x14ac:dyDescent="0.3">
      <c r="A230" s="54" t="s">
        <v>639</v>
      </c>
      <c r="B230" s="54"/>
      <c r="C230" s="54">
        <v>300000</v>
      </c>
      <c r="D230" s="54" t="s">
        <v>642</v>
      </c>
      <c r="E230" s="55" t="s">
        <v>641</v>
      </c>
      <c r="F230" s="57">
        <v>21520</v>
      </c>
      <c r="G230" s="57">
        <v>13000</v>
      </c>
      <c r="H230" s="54">
        <f t="shared" si="22"/>
        <v>8520</v>
      </c>
      <c r="I230" s="58">
        <v>3</v>
      </c>
      <c r="J230" s="54">
        <f t="shared" si="23"/>
        <v>8264.4</v>
      </c>
      <c r="K230" s="57">
        <v>3350</v>
      </c>
      <c r="L230" s="54">
        <f t="shared" si="24"/>
        <v>27685740</v>
      </c>
      <c r="P230" s="139">
        <v>28000000</v>
      </c>
      <c r="Q230" s="139">
        <f t="shared" si="25"/>
        <v>-314260</v>
      </c>
    </row>
    <row r="231" spans="1:17" hidden="1" x14ac:dyDescent="0.3">
      <c r="A231" s="54"/>
      <c r="B231" s="54"/>
      <c r="C231" s="54">
        <v>800000</v>
      </c>
      <c r="D231" s="54" t="s">
        <v>644</v>
      </c>
      <c r="E231" s="55" t="s">
        <v>643</v>
      </c>
      <c r="F231" s="57">
        <v>26400</v>
      </c>
      <c r="G231" s="57">
        <v>13100</v>
      </c>
      <c r="H231" s="54">
        <f t="shared" si="22"/>
        <v>13300</v>
      </c>
      <c r="I231" s="58">
        <v>2</v>
      </c>
      <c r="J231" s="54">
        <f t="shared" si="23"/>
        <v>13034</v>
      </c>
      <c r="K231" s="57">
        <v>3650</v>
      </c>
      <c r="L231" s="54">
        <f t="shared" si="24"/>
        <v>47574100</v>
      </c>
      <c r="P231" s="139">
        <f>13170*3300+800000</f>
        <v>44261000</v>
      </c>
      <c r="Q231" s="139">
        <f t="shared" si="25"/>
        <v>3313100</v>
      </c>
    </row>
    <row r="232" spans="1:17" hidden="1" x14ac:dyDescent="0.3">
      <c r="A232" s="54"/>
      <c r="B232" s="54"/>
      <c r="C232" s="54">
        <v>200000</v>
      </c>
      <c r="D232" s="54" t="s">
        <v>586</v>
      </c>
      <c r="E232" s="55" t="s">
        <v>645</v>
      </c>
      <c r="F232" s="57">
        <v>24040</v>
      </c>
      <c r="G232" s="57">
        <v>13350</v>
      </c>
      <c r="H232" s="54">
        <f t="shared" si="22"/>
        <v>10690</v>
      </c>
      <c r="I232" s="58">
        <v>2</v>
      </c>
      <c r="J232" s="54">
        <f t="shared" si="23"/>
        <v>10476.200000000001</v>
      </c>
      <c r="K232" s="57">
        <v>3650</v>
      </c>
      <c r="L232" s="54">
        <f t="shared" si="24"/>
        <v>38238130</v>
      </c>
      <c r="P232" s="139">
        <v>36860000</v>
      </c>
      <c r="Q232" s="139">
        <f t="shared" si="25"/>
        <v>1378130</v>
      </c>
    </row>
    <row r="233" spans="1:17" hidden="1" x14ac:dyDescent="0.3">
      <c r="A233" s="54"/>
      <c r="B233" s="54"/>
      <c r="C233" s="54">
        <v>1800000</v>
      </c>
      <c r="D233" s="54" t="s">
        <v>646</v>
      </c>
      <c r="E233" s="55" t="s">
        <v>647</v>
      </c>
      <c r="F233" s="57">
        <v>24990</v>
      </c>
      <c r="G233" s="57">
        <v>12980</v>
      </c>
      <c r="H233" s="54">
        <f t="shared" si="22"/>
        <v>12010</v>
      </c>
      <c r="I233" s="58">
        <v>2</v>
      </c>
      <c r="J233" s="54">
        <f t="shared" si="23"/>
        <v>11769.8</v>
      </c>
      <c r="K233" s="57">
        <v>3650</v>
      </c>
      <c r="L233" s="54">
        <f t="shared" si="24"/>
        <v>42959770</v>
      </c>
      <c r="P233" s="139">
        <v>41356000</v>
      </c>
      <c r="Q233" s="139">
        <f t="shared" si="25"/>
        <v>1603770</v>
      </c>
    </row>
    <row r="234" spans="1:17" hidden="1" x14ac:dyDescent="0.3">
      <c r="A234" s="54"/>
      <c r="B234" s="54"/>
      <c r="C234" s="54"/>
      <c r="D234" s="54"/>
      <c r="E234" s="55" t="s">
        <v>648</v>
      </c>
      <c r="F234" s="57">
        <v>26280</v>
      </c>
      <c r="G234" s="57">
        <v>13280</v>
      </c>
      <c r="H234" s="54">
        <f t="shared" si="22"/>
        <v>13000</v>
      </c>
      <c r="I234" s="58">
        <v>2</v>
      </c>
      <c r="J234" s="54">
        <f t="shared" si="23"/>
        <v>12740</v>
      </c>
      <c r="K234" s="57">
        <v>3650</v>
      </c>
      <c r="L234" s="54">
        <f t="shared" si="24"/>
        <v>46501000</v>
      </c>
      <c r="P234" s="139">
        <v>45045000</v>
      </c>
      <c r="Q234" s="139">
        <f t="shared" si="25"/>
        <v>1456000</v>
      </c>
    </row>
    <row r="235" spans="1:17" hidden="1" x14ac:dyDescent="0.3">
      <c r="A235" s="54"/>
      <c r="B235" s="54"/>
      <c r="C235" s="54"/>
      <c r="D235" s="54"/>
      <c r="E235" s="55"/>
      <c r="F235" s="57"/>
      <c r="G235" s="57"/>
      <c r="H235" s="54">
        <f t="shared" si="22"/>
        <v>0</v>
      </c>
      <c r="I235" s="58"/>
      <c r="J235" s="54">
        <f t="shared" si="23"/>
        <v>0</v>
      </c>
      <c r="K235" s="57"/>
      <c r="L235" s="54">
        <f t="shared" si="24"/>
        <v>0</v>
      </c>
      <c r="Q235" s="139">
        <f t="shared" si="25"/>
        <v>0</v>
      </c>
    </row>
    <row r="236" spans="1:17" hidden="1" x14ac:dyDescent="0.3">
      <c r="B236" s="54"/>
      <c r="C236" s="54"/>
      <c r="D236" s="54"/>
      <c r="E236" s="55" t="s">
        <v>33</v>
      </c>
      <c r="F236" s="57"/>
      <c r="G236" s="57"/>
      <c r="H236" s="54">
        <f t="shared" si="22"/>
        <v>0</v>
      </c>
      <c r="I236" s="58"/>
      <c r="J236" s="54">
        <f t="shared" si="23"/>
        <v>0</v>
      </c>
      <c r="K236" s="57"/>
      <c r="L236" s="54">
        <f t="shared" si="24"/>
        <v>0</v>
      </c>
      <c r="Q236" s="139">
        <f t="shared" si="25"/>
        <v>0</v>
      </c>
    </row>
    <row r="237" spans="1:17" hidden="1" x14ac:dyDescent="0.3">
      <c r="A237" s="9" t="s">
        <v>651</v>
      </c>
      <c r="B237" s="54"/>
      <c r="C237" s="54"/>
      <c r="D237" s="54"/>
      <c r="E237" s="55" t="s">
        <v>652</v>
      </c>
      <c r="F237" s="57">
        <v>22120</v>
      </c>
      <c r="G237" s="57">
        <v>10060</v>
      </c>
      <c r="H237" s="54">
        <f t="shared" si="22"/>
        <v>12060</v>
      </c>
      <c r="I237" s="58">
        <v>2</v>
      </c>
      <c r="J237" s="54">
        <f t="shared" si="23"/>
        <v>11818.8</v>
      </c>
      <c r="K237" s="57">
        <v>3650</v>
      </c>
      <c r="L237" s="54">
        <f t="shared" si="24"/>
        <v>43138620</v>
      </c>
      <c r="P237" s="139">
        <v>41998000</v>
      </c>
      <c r="Q237" s="139">
        <f t="shared" si="25"/>
        <v>1140620</v>
      </c>
    </row>
    <row r="238" spans="1:17" hidden="1" x14ac:dyDescent="0.3">
      <c r="A238" s="54"/>
      <c r="B238" s="54"/>
      <c r="C238" s="180">
        <v>3600000</v>
      </c>
      <c r="D238" s="180" t="s">
        <v>662</v>
      </c>
      <c r="E238" s="55" t="s">
        <v>653</v>
      </c>
      <c r="F238" s="57">
        <v>28040</v>
      </c>
      <c r="G238" s="57">
        <v>13500</v>
      </c>
      <c r="H238" s="54">
        <f t="shared" si="22"/>
        <v>14540</v>
      </c>
      <c r="I238" s="58">
        <v>2</v>
      </c>
      <c r="J238" s="54">
        <f t="shared" si="23"/>
        <v>14249.2</v>
      </c>
      <c r="K238" s="57">
        <v>3600</v>
      </c>
      <c r="L238" s="54">
        <f t="shared" si="24"/>
        <v>51297120</v>
      </c>
      <c r="P238" s="139">
        <v>50381000</v>
      </c>
      <c r="Q238" s="139">
        <f t="shared" si="25"/>
        <v>916120</v>
      </c>
    </row>
    <row r="239" spans="1:17" hidden="1" x14ac:dyDescent="0.3">
      <c r="A239" s="54"/>
      <c r="B239" s="54">
        <v>500000</v>
      </c>
      <c r="C239" s="54"/>
      <c r="D239" s="54" t="s">
        <v>657</v>
      </c>
      <c r="E239" s="55" t="s">
        <v>654</v>
      </c>
      <c r="F239" s="57">
        <v>11040</v>
      </c>
      <c r="G239" s="57">
        <v>5540</v>
      </c>
      <c r="H239" s="54">
        <f t="shared" si="22"/>
        <v>5500</v>
      </c>
      <c r="I239" s="58">
        <v>4</v>
      </c>
      <c r="J239" s="54">
        <f t="shared" si="23"/>
        <v>5280</v>
      </c>
      <c r="K239" s="57">
        <v>3650</v>
      </c>
      <c r="L239" s="54">
        <f t="shared" si="24"/>
        <v>19272000</v>
      </c>
      <c r="P239" s="139">
        <v>18900000</v>
      </c>
      <c r="Q239" s="139">
        <f t="shared" si="25"/>
        <v>372000</v>
      </c>
    </row>
    <row r="240" spans="1:17" hidden="1" x14ac:dyDescent="0.3">
      <c r="A240" s="54"/>
      <c r="B240" s="54"/>
      <c r="C240" s="180">
        <v>2200000</v>
      </c>
      <c r="D240" s="177" t="s">
        <v>685</v>
      </c>
      <c r="E240" s="55" t="s">
        <v>661</v>
      </c>
      <c r="F240" s="57">
        <v>37790</v>
      </c>
      <c r="G240" s="57">
        <v>18700</v>
      </c>
      <c r="H240" s="54">
        <f t="shared" si="22"/>
        <v>19090</v>
      </c>
      <c r="I240" s="58">
        <v>2</v>
      </c>
      <c r="J240" s="54">
        <f t="shared" si="23"/>
        <v>18708.2</v>
      </c>
      <c r="K240" s="57">
        <v>3950</v>
      </c>
      <c r="L240" s="54">
        <f t="shared" si="24"/>
        <v>73897390</v>
      </c>
      <c r="P240" s="139">
        <v>72961000</v>
      </c>
      <c r="Q240" s="139">
        <f t="shared" si="25"/>
        <v>936390</v>
      </c>
    </row>
    <row r="241" spans="1:17" hidden="1" x14ac:dyDescent="0.3">
      <c r="A241" s="54"/>
      <c r="B241" s="54"/>
      <c r="C241" s="54"/>
      <c r="D241" s="54"/>
      <c r="E241" s="55"/>
      <c r="F241" s="57"/>
      <c r="G241" s="57"/>
      <c r="H241" s="54">
        <f t="shared" si="22"/>
        <v>0</v>
      </c>
      <c r="I241" s="58"/>
      <c r="J241" s="54">
        <f t="shared" si="23"/>
        <v>0</v>
      </c>
      <c r="K241" s="57"/>
      <c r="L241" s="54">
        <f t="shared" si="24"/>
        <v>0</v>
      </c>
      <c r="Q241" s="139">
        <f t="shared" si="25"/>
        <v>0</v>
      </c>
    </row>
    <row r="242" spans="1:17" hidden="1" x14ac:dyDescent="0.3">
      <c r="A242" s="54" t="s">
        <v>660</v>
      </c>
      <c r="B242" s="54"/>
      <c r="C242" s="180">
        <v>1010000</v>
      </c>
      <c r="D242" s="180" t="s">
        <v>667</v>
      </c>
      <c r="E242" s="55" t="s">
        <v>663</v>
      </c>
      <c r="F242" s="57">
        <v>19140</v>
      </c>
      <c r="G242" s="57">
        <v>8950</v>
      </c>
      <c r="H242" s="54">
        <f t="shared" si="22"/>
        <v>10190</v>
      </c>
      <c r="I242" s="58">
        <v>1</v>
      </c>
      <c r="J242" s="54">
        <f t="shared" si="23"/>
        <v>10088.1</v>
      </c>
      <c r="K242" s="57">
        <v>3950</v>
      </c>
      <c r="L242" s="54">
        <f t="shared" si="24"/>
        <v>39847995</v>
      </c>
      <c r="P242" s="139">
        <v>39343000</v>
      </c>
      <c r="Q242" s="139">
        <f t="shared" si="25"/>
        <v>504995</v>
      </c>
    </row>
    <row r="243" spans="1:17" hidden="1" x14ac:dyDescent="0.3">
      <c r="A243" s="54"/>
      <c r="B243" s="54"/>
      <c r="C243" s="180">
        <v>5000000</v>
      </c>
      <c r="D243" s="180" t="s">
        <v>664</v>
      </c>
      <c r="E243" s="55"/>
      <c r="F243" s="57"/>
      <c r="G243" s="57"/>
      <c r="H243" s="54">
        <f t="shared" si="22"/>
        <v>0</v>
      </c>
      <c r="I243" s="58"/>
      <c r="J243" s="54">
        <f t="shared" si="23"/>
        <v>0</v>
      </c>
      <c r="K243" s="57"/>
      <c r="L243" s="54">
        <f t="shared" si="24"/>
        <v>0</v>
      </c>
      <c r="Q243" s="139">
        <f t="shared" si="25"/>
        <v>0</v>
      </c>
    </row>
    <row r="244" spans="1:17" hidden="1" x14ac:dyDescent="0.3">
      <c r="A244" s="54"/>
      <c r="B244" s="54"/>
      <c r="C244" s="54">
        <f>24000*12120</f>
        <v>290880000</v>
      </c>
      <c r="D244" s="54" t="s">
        <v>665</v>
      </c>
      <c r="E244" s="55"/>
      <c r="F244" s="57"/>
      <c r="G244" s="57"/>
      <c r="H244" s="54">
        <f t="shared" si="22"/>
        <v>0</v>
      </c>
      <c r="I244" s="58"/>
      <c r="J244" s="54">
        <f t="shared" si="23"/>
        <v>0</v>
      </c>
      <c r="K244" s="57"/>
      <c r="L244" s="54">
        <f t="shared" si="24"/>
        <v>0</v>
      </c>
      <c r="Q244" s="139">
        <f t="shared" si="25"/>
        <v>0</v>
      </c>
    </row>
    <row r="245" spans="1:17" hidden="1" x14ac:dyDescent="0.3">
      <c r="A245" s="54"/>
      <c r="B245" s="54"/>
      <c r="C245" s="54">
        <v>19029000</v>
      </c>
      <c r="D245" s="54" t="s">
        <v>669</v>
      </c>
      <c r="E245" s="55"/>
      <c r="F245" s="57"/>
      <c r="G245" s="57"/>
      <c r="H245" s="54">
        <f t="shared" si="22"/>
        <v>0</v>
      </c>
      <c r="I245" s="58"/>
      <c r="J245" s="54">
        <f t="shared" si="23"/>
        <v>0</v>
      </c>
      <c r="K245" s="57"/>
      <c r="L245" s="54">
        <f t="shared" si="24"/>
        <v>0</v>
      </c>
      <c r="Q245" s="139">
        <f t="shared" si="25"/>
        <v>0</v>
      </c>
    </row>
    <row r="246" spans="1:17" hidden="1" x14ac:dyDescent="0.3">
      <c r="A246" s="54"/>
      <c r="B246" s="54">
        <v>1200000</v>
      </c>
      <c r="C246" s="54"/>
      <c r="D246" s="54" t="s">
        <v>670</v>
      </c>
      <c r="E246" s="55"/>
      <c r="F246" s="57"/>
      <c r="G246" s="57"/>
      <c r="H246" s="54">
        <f t="shared" si="22"/>
        <v>0</v>
      </c>
      <c r="I246" s="58"/>
      <c r="J246" s="54">
        <f t="shared" si="23"/>
        <v>0</v>
      </c>
      <c r="K246" s="57"/>
      <c r="L246" s="54">
        <f t="shared" si="24"/>
        <v>0</v>
      </c>
      <c r="Q246" s="139">
        <f t="shared" si="25"/>
        <v>0</v>
      </c>
    </row>
    <row r="247" spans="1:17" hidden="1" x14ac:dyDescent="0.3">
      <c r="A247" s="54"/>
      <c r="B247" s="54"/>
      <c r="C247" s="54">
        <v>120000000</v>
      </c>
      <c r="D247" s="54" t="s">
        <v>671</v>
      </c>
      <c r="E247" s="55"/>
      <c r="F247" s="57"/>
      <c r="G247" s="57"/>
      <c r="H247" s="54">
        <f t="shared" si="22"/>
        <v>0</v>
      </c>
      <c r="I247" s="58"/>
      <c r="J247" s="54">
        <f t="shared" si="23"/>
        <v>0</v>
      </c>
      <c r="K247" s="57"/>
      <c r="L247" s="54">
        <f t="shared" si="24"/>
        <v>0</v>
      </c>
      <c r="Q247" s="139">
        <f t="shared" si="25"/>
        <v>0</v>
      </c>
    </row>
    <row r="248" spans="1:17" hidden="1" x14ac:dyDescent="0.3">
      <c r="A248" s="54" t="s">
        <v>674</v>
      </c>
      <c r="B248" s="54">
        <v>300000</v>
      </c>
      <c r="C248" s="54"/>
      <c r="D248" s="54" t="s">
        <v>676</v>
      </c>
      <c r="E248" s="55" t="s">
        <v>677</v>
      </c>
      <c r="F248" s="57">
        <v>25300</v>
      </c>
      <c r="G248" s="57">
        <v>12960</v>
      </c>
      <c r="H248" s="54">
        <f t="shared" si="22"/>
        <v>12340</v>
      </c>
      <c r="I248" s="58">
        <v>2.2999999999999998</v>
      </c>
      <c r="J248" s="54">
        <f t="shared" si="23"/>
        <v>12056.18</v>
      </c>
      <c r="K248" s="57">
        <v>3650</v>
      </c>
      <c r="L248" s="54">
        <f t="shared" si="24"/>
        <v>44005057</v>
      </c>
      <c r="P248" s="139">
        <v>41900000</v>
      </c>
      <c r="Q248" s="139">
        <f t="shared" si="25"/>
        <v>2105057</v>
      </c>
    </row>
    <row r="249" spans="1:17" hidden="1" x14ac:dyDescent="0.3">
      <c r="A249" s="54"/>
      <c r="B249" s="54"/>
      <c r="C249" s="54">
        <v>258625000</v>
      </c>
      <c r="D249" s="54" t="s">
        <v>617</v>
      </c>
      <c r="E249" s="55" t="s">
        <v>678</v>
      </c>
      <c r="F249" s="57">
        <v>27980</v>
      </c>
      <c r="G249" s="57">
        <v>12620</v>
      </c>
      <c r="H249" s="54">
        <f t="shared" si="22"/>
        <v>15360</v>
      </c>
      <c r="I249" s="58">
        <v>2</v>
      </c>
      <c r="J249" s="54">
        <f t="shared" si="23"/>
        <v>15052.8</v>
      </c>
      <c r="K249" s="57">
        <v>3350</v>
      </c>
      <c r="L249" s="54">
        <f t="shared" si="24"/>
        <v>50426880</v>
      </c>
      <c r="P249" s="139">
        <v>48175000</v>
      </c>
      <c r="Q249" s="139">
        <f t="shared" si="25"/>
        <v>2251880</v>
      </c>
    </row>
    <row r="250" spans="1:17" hidden="1" x14ac:dyDescent="0.3">
      <c r="A250" s="54"/>
      <c r="B250" s="54"/>
      <c r="C250" s="54"/>
      <c r="D250" s="54"/>
      <c r="E250" s="55" t="s">
        <v>679</v>
      </c>
      <c r="F250" s="57">
        <v>27650</v>
      </c>
      <c r="G250" s="57">
        <v>14550</v>
      </c>
      <c r="H250" s="54">
        <f t="shared" si="22"/>
        <v>13100</v>
      </c>
      <c r="I250" s="58">
        <v>3.7</v>
      </c>
      <c r="J250" s="54">
        <f t="shared" si="23"/>
        <v>12615.3</v>
      </c>
      <c r="K250" s="57">
        <v>3450</v>
      </c>
      <c r="L250" s="54">
        <f t="shared" si="24"/>
        <v>43522785</v>
      </c>
      <c r="P250" s="139">
        <v>42714000</v>
      </c>
      <c r="Q250" s="139">
        <f t="shared" si="25"/>
        <v>808785</v>
      </c>
    </row>
    <row r="251" spans="1:17" hidden="1" x14ac:dyDescent="0.3">
      <c r="A251" s="54"/>
      <c r="B251" s="54"/>
      <c r="C251" s="54"/>
      <c r="D251" s="54"/>
      <c r="E251" s="55" t="s">
        <v>680</v>
      </c>
      <c r="F251" s="57">
        <v>14380</v>
      </c>
      <c r="G251" s="57">
        <v>5040</v>
      </c>
      <c r="H251" s="54">
        <f t="shared" si="22"/>
        <v>9340</v>
      </c>
      <c r="I251" s="58">
        <v>2</v>
      </c>
      <c r="J251" s="54">
        <f t="shared" si="23"/>
        <v>9153.2000000000007</v>
      </c>
      <c r="K251" s="57">
        <v>3650</v>
      </c>
      <c r="L251" s="54">
        <f t="shared" si="24"/>
        <v>33409180.000000004</v>
      </c>
      <c r="P251" s="139">
        <v>32363000</v>
      </c>
      <c r="Q251" s="139">
        <f t="shared" si="25"/>
        <v>1046180.0000000037</v>
      </c>
    </row>
    <row r="252" spans="1:17" hidden="1" x14ac:dyDescent="0.3">
      <c r="A252" s="54"/>
      <c r="B252" s="54"/>
      <c r="C252" s="54"/>
      <c r="D252" s="54"/>
      <c r="E252" s="55" t="s">
        <v>532</v>
      </c>
      <c r="F252" s="57">
        <v>23030</v>
      </c>
      <c r="G252" s="57">
        <v>9570</v>
      </c>
      <c r="H252" s="54">
        <f t="shared" si="22"/>
        <v>13460</v>
      </c>
      <c r="I252" s="58">
        <v>2</v>
      </c>
      <c r="J252" s="54">
        <f t="shared" si="23"/>
        <v>13190.8</v>
      </c>
      <c r="K252" s="57">
        <v>3600</v>
      </c>
      <c r="L252" s="54">
        <f t="shared" si="24"/>
        <v>47486880</v>
      </c>
      <c r="P252" s="139">
        <v>45700000</v>
      </c>
      <c r="Q252" s="139">
        <f t="shared" si="25"/>
        <v>1786880</v>
      </c>
    </row>
    <row r="253" spans="1:17" hidden="1" x14ac:dyDescent="0.3">
      <c r="A253" s="54"/>
      <c r="B253" s="54"/>
      <c r="C253" s="54"/>
      <c r="D253" s="54"/>
      <c r="E253" s="55" t="s">
        <v>681</v>
      </c>
      <c r="F253" s="57">
        <v>23100</v>
      </c>
      <c r="G253" s="57">
        <v>12240</v>
      </c>
      <c r="H253" s="54">
        <f t="shared" si="22"/>
        <v>10860</v>
      </c>
      <c r="I253" s="58">
        <v>2</v>
      </c>
      <c r="J253" s="54">
        <f t="shared" si="23"/>
        <v>10642.8</v>
      </c>
      <c r="K253" s="57">
        <v>3650</v>
      </c>
      <c r="L253" s="54">
        <f t="shared" si="24"/>
        <v>38846220</v>
      </c>
      <c r="P253" s="139">
        <v>37923000</v>
      </c>
      <c r="Q253" s="139">
        <f t="shared" si="25"/>
        <v>923220</v>
      </c>
    </row>
    <row r="254" spans="1:17" hidden="1" x14ac:dyDescent="0.3">
      <c r="A254" s="54"/>
      <c r="B254" s="54"/>
      <c r="C254" s="54"/>
      <c r="D254" s="54"/>
      <c r="E254" s="55"/>
      <c r="F254" s="57"/>
      <c r="G254" s="57"/>
      <c r="H254" s="54">
        <f t="shared" si="22"/>
        <v>0</v>
      </c>
      <c r="I254" s="58"/>
      <c r="J254" s="54">
        <f t="shared" si="23"/>
        <v>0</v>
      </c>
      <c r="K254" s="57"/>
      <c r="L254" s="54">
        <f t="shared" si="24"/>
        <v>0</v>
      </c>
      <c r="Q254" s="139">
        <f t="shared" si="25"/>
        <v>0</v>
      </c>
    </row>
    <row r="255" spans="1:17" hidden="1" x14ac:dyDescent="0.3">
      <c r="A255" s="54" t="s">
        <v>682</v>
      </c>
      <c r="B255" s="54"/>
      <c r="C255" s="54"/>
      <c r="D255" s="54" t="s">
        <v>703</v>
      </c>
      <c r="E255" s="55" t="s">
        <v>686</v>
      </c>
      <c r="F255" s="57">
        <v>28440</v>
      </c>
      <c r="G255" s="57">
        <v>15230</v>
      </c>
      <c r="H255" s="54">
        <f t="shared" si="22"/>
        <v>13210</v>
      </c>
      <c r="I255" s="58">
        <v>4</v>
      </c>
      <c r="J255" s="54">
        <f t="shared" si="23"/>
        <v>12681.6</v>
      </c>
      <c r="K255" s="57">
        <v>3600</v>
      </c>
      <c r="L255" s="54">
        <f t="shared" si="24"/>
        <v>45653760</v>
      </c>
      <c r="P255" s="139">
        <v>45019000</v>
      </c>
      <c r="Q255" s="139">
        <f t="shared" si="25"/>
        <v>634760</v>
      </c>
    </row>
    <row r="256" spans="1:17" hidden="1" x14ac:dyDescent="0.3">
      <c r="A256" s="54"/>
      <c r="B256" s="54"/>
      <c r="C256" s="54"/>
      <c r="D256" s="54"/>
      <c r="E256" s="55" t="s">
        <v>687</v>
      </c>
      <c r="F256" s="57">
        <v>24160</v>
      </c>
      <c r="G256" s="57">
        <v>13170</v>
      </c>
      <c r="H256" s="54">
        <f t="shared" si="22"/>
        <v>10990</v>
      </c>
      <c r="I256" s="58">
        <v>3.4</v>
      </c>
      <c r="J256" s="54">
        <f t="shared" si="23"/>
        <v>10616.34</v>
      </c>
      <c r="K256" s="57">
        <v>3650</v>
      </c>
      <c r="L256" s="54">
        <f t="shared" si="24"/>
        <v>38749641</v>
      </c>
      <c r="P256" s="139">
        <v>38864000</v>
      </c>
      <c r="Q256" s="139">
        <f t="shared" si="25"/>
        <v>-114359</v>
      </c>
    </row>
    <row r="257" spans="1:17" hidden="1" x14ac:dyDescent="0.3">
      <c r="A257" s="54"/>
      <c r="B257" s="54"/>
      <c r="C257" s="54"/>
      <c r="D257" s="54"/>
      <c r="E257" s="55"/>
      <c r="F257" s="57"/>
      <c r="G257" s="57"/>
      <c r="H257" s="54">
        <f t="shared" si="22"/>
        <v>0</v>
      </c>
      <c r="I257" s="58"/>
      <c r="J257" s="54">
        <f t="shared" si="23"/>
        <v>0</v>
      </c>
      <c r="K257" s="57"/>
      <c r="L257" s="54">
        <f t="shared" si="24"/>
        <v>0</v>
      </c>
      <c r="Q257" s="139">
        <f t="shared" si="25"/>
        <v>0</v>
      </c>
    </row>
    <row r="258" spans="1:17" hidden="1" x14ac:dyDescent="0.3">
      <c r="A258" s="54"/>
      <c r="B258" s="54"/>
      <c r="C258" s="54"/>
      <c r="D258" s="54"/>
      <c r="E258" s="55"/>
      <c r="F258" s="57"/>
      <c r="G258" s="57"/>
      <c r="H258" s="54">
        <f t="shared" si="22"/>
        <v>0</v>
      </c>
      <c r="I258" s="58"/>
      <c r="J258" s="54">
        <f t="shared" si="23"/>
        <v>0</v>
      </c>
      <c r="K258" s="57"/>
      <c r="L258" s="54">
        <f t="shared" si="24"/>
        <v>0</v>
      </c>
      <c r="Q258" s="139">
        <f t="shared" si="25"/>
        <v>0</v>
      </c>
    </row>
    <row r="259" spans="1:17" hidden="1" x14ac:dyDescent="0.3">
      <c r="A259" s="54"/>
      <c r="B259" s="54"/>
      <c r="C259" s="54"/>
      <c r="D259" s="54"/>
      <c r="E259" s="55"/>
      <c r="F259" s="57"/>
      <c r="G259" s="57"/>
      <c r="H259" s="54">
        <f t="shared" si="22"/>
        <v>0</v>
      </c>
      <c r="I259" s="58"/>
      <c r="J259" s="54">
        <f t="shared" si="23"/>
        <v>0</v>
      </c>
      <c r="K259" s="57"/>
      <c r="L259" s="54">
        <f t="shared" si="24"/>
        <v>0</v>
      </c>
      <c r="Q259" s="139">
        <f t="shared" si="25"/>
        <v>0</v>
      </c>
    </row>
    <row r="260" spans="1:17" hidden="1" x14ac:dyDescent="0.3">
      <c r="A260" s="54"/>
      <c r="B260" s="54"/>
      <c r="C260" s="54"/>
      <c r="D260" s="54"/>
      <c r="E260" s="55"/>
      <c r="F260" s="57"/>
      <c r="G260" s="57"/>
      <c r="H260" s="54">
        <f t="shared" si="22"/>
        <v>0</v>
      </c>
      <c r="I260" s="58"/>
      <c r="J260" s="54">
        <f t="shared" si="23"/>
        <v>0</v>
      </c>
      <c r="K260" s="57"/>
      <c r="L260" s="54">
        <f t="shared" si="24"/>
        <v>0</v>
      </c>
      <c r="Q260" s="139">
        <f t="shared" si="25"/>
        <v>0</v>
      </c>
    </row>
    <row r="261" spans="1:17" hidden="1" x14ac:dyDescent="0.3">
      <c r="A261" s="54" t="s">
        <v>696</v>
      </c>
      <c r="B261" s="54"/>
      <c r="C261" s="54">
        <v>121800000</v>
      </c>
      <c r="D261" s="54" t="s">
        <v>698</v>
      </c>
      <c r="E261" s="55" t="s">
        <v>699</v>
      </c>
      <c r="F261" s="57">
        <v>21210</v>
      </c>
      <c r="G261" s="57">
        <v>9410</v>
      </c>
      <c r="H261" s="54">
        <f t="shared" si="22"/>
        <v>11800</v>
      </c>
      <c r="I261" s="58">
        <v>2</v>
      </c>
      <c r="J261" s="54">
        <f t="shared" si="23"/>
        <v>11564</v>
      </c>
      <c r="K261" s="57">
        <v>3600</v>
      </c>
      <c r="L261" s="54">
        <f t="shared" si="24"/>
        <v>41630400</v>
      </c>
      <c r="P261" s="139">
        <v>40633000</v>
      </c>
      <c r="Q261" s="139">
        <f t="shared" si="25"/>
        <v>997400</v>
      </c>
    </row>
    <row r="262" spans="1:17" hidden="1" x14ac:dyDescent="0.3">
      <c r="A262" s="54" t="s">
        <v>697</v>
      </c>
      <c r="B262" s="54"/>
      <c r="C262" s="54">
        <v>200000</v>
      </c>
      <c r="D262" s="54" t="s">
        <v>701</v>
      </c>
      <c r="E262" s="55" t="s">
        <v>700</v>
      </c>
      <c r="F262" s="57">
        <v>18620</v>
      </c>
      <c r="G262" s="57">
        <v>9410</v>
      </c>
      <c r="H262" s="54">
        <f t="shared" si="22"/>
        <v>9210</v>
      </c>
      <c r="I262" s="58">
        <v>2</v>
      </c>
      <c r="J262" s="54">
        <f t="shared" si="23"/>
        <v>9025.7999999999993</v>
      </c>
      <c r="K262" s="57">
        <v>3650</v>
      </c>
      <c r="L262" s="54">
        <f t="shared" si="24"/>
        <v>32944169.999999996</v>
      </c>
      <c r="P262" s="139">
        <v>32161000</v>
      </c>
      <c r="Q262" s="139">
        <f t="shared" si="25"/>
        <v>783169.99999999627</v>
      </c>
    </row>
    <row r="263" spans="1:17" hidden="1" x14ac:dyDescent="0.3">
      <c r="A263" s="54"/>
      <c r="B263" s="54"/>
      <c r="C263" s="54"/>
      <c r="D263" s="54"/>
      <c r="E263" s="55" t="s">
        <v>702</v>
      </c>
      <c r="F263" s="57">
        <v>24330</v>
      </c>
      <c r="G263" s="57">
        <v>13040</v>
      </c>
      <c r="H263" s="54">
        <f t="shared" si="22"/>
        <v>11290</v>
      </c>
      <c r="I263" s="58">
        <v>1.6</v>
      </c>
      <c r="J263" s="54">
        <f t="shared" si="23"/>
        <v>11109.36</v>
      </c>
      <c r="K263" s="57">
        <v>3600</v>
      </c>
      <c r="L263" s="54">
        <f t="shared" si="24"/>
        <v>39993696</v>
      </c>
      <c r="P263" s="139">
        <v>39753000</v>
      </c>
      <c r="Q263" s="139">
        <f t="shared" si="25"/>
        <v>240696</v>
      </c>
    </row>
    <row r="264" spans="1:17" hidden="1" x14ac:dyDescent="0.3">
      <c r="A264" s="54"/>
      <c r="B264" s="54"/>
      <c r="C264" s="54"/>
      <c r="D264" s="54"/>
      <c r="E264" s="55" t="s">
        <v>588</v>
      </c>
      <c r="F264" s="57">
        <v>16600</v>
      </c>
      <c r="G264" s="57">
        <v>8580</v>
      </c>
      <c r="H264" s="54">
        <f t="shared" si="22"/>
        <v>8020</v>
      </c>
      <c r="I264" s="58">
        <v>3</v>
      </c>
      <c r="J264" s="54">
        <f t="shared" si="23"/>
        <v>7779.4</v>
      </c>
      <c r="K264" s="57">
        <v>3600</v>
      </c>
      <c r="L264" s="54">
        <f t="shared" si="24"/>
        <v>28005840</v>
      </c>
      <c r="P264" s="139">
        <v>27616000</v>
      </c>
      <c r="Q264" s="139">
        <f t="shared" si="25"/>
        <v>389840</v>
      </c>
    </row>
    <row r="265" spans="1:17" hidden="1" x14ac:dyDescent="0.3">
      <c r="A265" s="54"/>
      <c r="B265" s="54"/>
      <c r="C265" s="54"/>
      <c r="D265" s="54"/>
      <c r="E265" s="55"/>
      <c r="F265" s="57"/>
      <c r="G265" s="57"/>
      <c r="H265" s="54">
        <f t="shared" si="22"/>
        <v>0</v>
      </c>
      <c r="I265" s="58"/>
      <c r="J265" s="54">
        <f t="shared" si="23"/>
        <v>0</v>
      </c>
      <c r="K265" s="57"/>
      <c r="L265" s="54">
        <f t="shared" si="24"/>
        <v>0</v>
      </c>
      <c r="Q265" s="139">
        <f t="shared" si="25"/>
        <v>0</v>
      </c>
    </row>
    <row r="266" spans="1:17" hidden="1" x14ac:dyDescent="0.3">
      <c r="A266" s="54" t="s">
        <v>710</v>
      </c>
      <c r="B266" s="54"/>
      <c r="C266" s="54"/>
      <c r="D266" s="54"/>
      <c r="E266" s="55" t="s">
        <v>399</v>
      </c>
      <c r="F266" s="57">
        <v>20260</v>
      </c>
      <c r="G266" s="57">
        <v>9790</v>
      </c>
      <c r="H266" s="54">
        <f t="shared" si="22"/>
        <v>10470</v>
      </c>
      <c r="I266" s="58">
        <v>2</v>
      </c>
      <c r="J266" s="54">
        <f t="shared" si="23"/>
        <v>10260.6</v>
      </c>
      <c r="K266" s="57">
        <v>3600</v>
      </c>
      <c r="L266" s="54">
        <f t="shared" si="24"/>
        <v>36938160</v>
      </c>
      <c r="P266" s="139">
        <v>36053000</v>
      </c>
      <c r="Q266" s="139">
        <f t="shared" si="25"/>
        <v>885160</v>
      </c>
    </row>
    <row r="267" spans="1:17" hidden="1" x14ac:dyDescent="0.3">
      <c r="A267" s="54"/>
      <c r="B267" s="54"/>
      <c r="C267" s="54"/>
      <c r="D267" s="54"/>
      <c r="E267" s="55"/>
      <c r="F267" s="57"/>
      <c r="G267" s="57"/>
      <c r="H267" s="54">
        <f t="shared" si="22"/>
        <v>0</v>
      </c>
      <c r="I267" s="58"/>
      <c r="J267" s="54">
        <f t="shared" si="23"/>
        <v>0</v>
      </c>
      <c r="K267" s="57"/>
      <c r="L267" s="54">
        <f t="shared" si="24"/>
        <v>0</v>
      </c>
      <c r="Q267" s="139">
        <f t="shared" si="25"/>
        <v>0</v>
      </c>
    </row>
    <row r="268" spans="1:17" hidden="1" x14ac:dyDescent="0.3">
      <c r="A268" s="54" t="s">
        <v>712</v>
      </c>
      <c r="B268" s="54"/>
      <c r="C268" s="54">
        <f>10000*12170</f>
        <v>121700000</v>
      </c>
      <c r="D268" s="54" t="s">
        <v>610</v>
      </c>
      <c r="E268" s="55" t="s">
        <v>713</v>
      </c>
      <c r="F268" s="57">
        <v>20440</v>
      </c>
      <c r="G268" s="57">
        <v>10050</v>
      </c>
      <c r="H268" s="54">
        <f t="shared" si="22"/>
        <v>10390</v>
      </c>
      <c r="I268" s="58">
        <v>2.2999999999999998</v>
      </c>
      <c r="J268" s="54">
        <f t="shared" si="23"/>
        <v>10151.030000000001</v>
      </c>
      <c r="K268" s="57">
        <v>3850</v>
      </c>
      <c r="L268" s="54">
        <f t="shared" si="24"/>
        <v>39081465.5</v>
      </c>
      <c r="P268" s="139">
        <v>38187000</v>
      </c>
      <c r="Q268" s="139">
        <f t="shared" si="25"/>
        <v>894465.5</v>
      </c>
    </row>
    <row r="269" spans="1:17" hidden="1" x14ac:dyDescent="0.3">
      <c r="A269" s="54"/>
      <c r="B269" s="54"/>
      <c r="C269" s="54"/>
      <c r="D269" s="54"/>
      <c r="E269" s="55" t="s">
        <v>714</v>
      </c>
      <c r="F269" s="57">
        <v>19560</v>
      </c>
      <c r="G269" s="57">
        <v>9560</v>
      </c>
      <c r="H269" s="54">
        <f t="shared" si="22"/>
        <v>10000</v>
      </c>
      <c r="I269" s="58">
        <v>2</v>
      </c>
      <c r="J269" s="54">
        <f t="shared" si="23"/>
        <v>9800</v>
      </c>
      <c r="K269" s="57">
        <v>3650</v>
      </c>
      <c r="L269" s="54">
        <f t="shared" si="24"/>
        <v>35770000</v>
      </c>
      <c r="P269" s="139">
        <v>34650000</v>
      </c>
      <c r="Q269" s="139">
        <f t="shared" si="25"/>
        <v>1120000</v>
      </c>
    </row>
    <row r="270" spans="1:17" hidden="1" x14ac:dyDescent="0.3">
      <c r="A270" s="54"/>
      <c r="B270" s="54"/>
      <c r="C270" s="54"/>
      <c r="D270" s="54"/>
      <c r="E270" s="55" t="s">
        <v>715</v>
      </c>
      <c r="F270" s="57">
        <v>24640</v>
      </c>
      <c r="G270" s="57">
        <v>14320</v>
      </c>
      <c r="H270" s="54">
        <f t="shared" si="22"/>
        <v>10320</v>
      </c>
      <c r="I270" s="58">
        <v>2</v>
      </c>
      <c r="J270" s="54">
        <f t="shared" si="23"/>
        <v>10113.6</v>
      </c>
      <c r="K270" s="57">
        <v>3350</v>
      </c>
      <c r="L270" s="54">
        <f t="shared" si="24"/>
        <v>33880560</v>
      </c>
      <c r="P270" s="139">
        <v>32693000</v>
      </c>
      <c r="Q270" s="139">
        <f t="shared" si="25"/>
        <v>1187560</v>
      </c>
    </row>
    <row r="271" spans="1:17" hidden="1" x14ac:dyDescent="0.3">
      <c r="A271" s="54"/>
      <c r="B271" s="54">
        <f>675*12180</f>
        <v>8221500</v>
      </c>
      <c r="C271" s="54"/>
      <c r="D271" s="55" t="s">
        <v>719</v>
      </c>
      <c r="E271" s="55"/>
      <c r="F271" s="57"/>
      <c r="G271" s="57"/>
      <c r="H271" s="54">
        <f t="shared" si="22"/>
        <v>0</v>
      </c>
      <c r="I271" s="58"/>
      <c r="J271" s="54">
        <f t="shared" si="23"/>
        <v>0</v>
      </c>
      <c r="K271" s="57"/>
      <c r="L271" s="54">
        <f t="shared" si="24"/>
        <v>0</v>
      </c>
      <c r="Q271" s="139">
        <f t="shared" si="25"/>
        <v>0</v>
      </c>
    </row>
    <row r="272" spans="1:17" hidden="1" x14ac:dyDescent="0.3">
      <c r="A272" s="54" t="s">
        <v>718</v>
      </c>
      <c r="B272" s="54"/>
      <c r="C272" s="54">
        <f>9500*12180</f>
        <v>115710000</v>
      </c>
      <c r="D272" s="54" t="s">
        <v>721</v>
      </c>
      <c r="E272" s="55"/>
      <c r="F272" s="57"/>
      <c r="G272" s="57"/>
      <c r="H272" s="54">
        <f t="shared" si="22"/>
        <v>0</v>
      </c>
      <c r="I272" s="58"/>
      <c r="J272" s="54">
        <f t="shared" si="23"/>
        <v>0</v>
      </c>
      <c r="K272" s="57"/>
      <c r="L272" s="54">
        <f t="shared" si="24"/>
        <v>0</v>
      </c>
      <c r="Q272" s="139">
        <f t="shared" si="25"/>
        <v>0</v>
      </c>
    </row>
    <row r="273" spans="1:17" hidden="1" x14ac:dyDescent="0.3">
      <c r="A273" s="54"/>
      <c r="B273" s="54"/>
      <c r="C273" s="54"/>
      <c r="D273" s="54"/>
      <c r="E273" s="55"/>
      <c r="F273" s="57"/>
      <c r="G273" s="57"/>
      <c r="H273" s="54">
        <f t="shared" si="22"/>
        <v>0</v>
      </c>
      <c r="I273" s="58"/>
      <c r="J273" s="54">
        <f t="shared" si="23"/>
        <v>0</v>
      </c>
      <c r="K273" s="57"/>
      <c r="L273" s="54">
        <f t="shared" si="24"/>
        <v>0</v>
      </c>
      <c r="Q273" s="139">
        <f t="shared" si="25"/>
        <v>0</v>
      </c>
    </row>
    <row r="274" spans="1:17" hidden="1" x14ac:dyDescent="0.3">
      <c r="A274" s="54"/>
      <c r="B274" s="54"/>
      <c r="C274" s="54"/>
      <c r="D274" s="54"/>
      <c r="E274" s="55"/>
      <c r="F274" s="57"/>
      <c r="G274" s="57"/>
      <c r="H274" s="54">
        <f t="shared" si="22"/>
        <v>0</v>
      </c>
      <c r="I274" s="58"/>
      <c r="J274" s="54">
        <f t="shared" si="23"/>
        <v>0</v>
      </c>
      <c r="K274" s="57"/>
      <c r="L274" s="54">
        <f t="shared" si="24"/>
        <v>0</v>
      </c>
      <c r="Q274" s="139">
        <f t="shared" si="25"/>
        <v>0</v>
      </c>
    </row>
    <row r="275" spans="1:17" hidden="1" x14ac:dyDescent="0.3">
      <c r="A275" s="54" t="s">
        <v>724</v>
      </c>
      <c r="B275" s="54"/>
      <c r="C275" s="54">
        <v>750000</v>
      </c>
      <c r="D275" s="180" t="s">
        <v>736</v>
      </c>
      <c r="E275" s="55" t="s">
        <v>726</v>
      </c>
      <c r="F275" s="57">
        <v>26200</v>
      </c>
      <c r="G275" s="57">
        <v>11170</v>
      </c>
      <c r="H275" s="54">
        <f t="shared" si="22"/>
        <v>15030</v>
      </c>
      <c r="I275" s="58">
        <v>2</v>
      </c>
      <c r="J275" s="54">
        <f t="shared" si="23"/>
        <v>14729.4</v>
      </c>
      <c r="K275" s="57">
        <v>3650</v>
      </c>
      <c r="L275" s="54">
        <f t="shared" si="24"/>
        <v>53762310</v>
      </c>
      <c r="P275" s="139">
        <v>52078000</v>
      </c>
      <c r="Q275" s="139">
        <f t="shared" si="25"/>
        <v>1684310</v>
      </c>
    </row>
    <row r="276" spans="1:17" hidden="1" x14ac:dyDescent="0.3">
      <c r="A276" s="54"/>
      <c r="B276" s="54"/>
      <c r="C276" s="54"/>
      <c r="D276" s="54"/>
      <c r="E276" s="55" t="s">
        <v>727</v>
      </c>
      <c r="F276" s="57">
        <v>18480</v>
      </c>
      <c r="G276" s="57">
        <v>9340</v>
      </c>
      <c r="H276" s="54">
        <f t="shared" si="22"/>
        <v>9140</v>
      </c>
      <c r="I276" s="58">
        <v>2</v>
      </c>
      <c r="J276" s="54">
        <f t="shared" si="23"/>
        <v>8957.2000000000007</v>
      </c>
      <c r="K276" s="57">
        <v>3600</v>
      </c>
      <c r="L276" s="54">
        <f t="shared" si="24"/>
        <v>32245920.000000004</v>
      </c>
      <c r="P276" s="139">
        <v>30710000</v>
      </c>
      <c r="Q276" s="139">
        <f t="shared" si="25"/>
        <v>1535920.0000000037</v>
      </c>
    </row>
    <row r="277" spans="1:17" hidden="1" x14ac:dyDescent="0.3">
      <c r="A277" s="54"/>
      <c r="B277" s="54"/>
      <c r="C277" s="54"/>
      <c r="D277" s="177"/>
      <c r="E277" s="55" t="s">
        <v>728</v>
      </c>
      <c r="F277" s="57">
        <v>24390</v>
      </c>
      <c r="G277" s="57">
        <v>11340</v>
      </c>
      <c r="H277" s="54">
        <f t="shared" si="22"/>
        <v>13050</v>
      </c>
      <c r="I277" s="58">
        <v>1</v>
      </c>
      <c r="J277" s="54">
        <f t="shared" si="23"/>
        <v>12919.5</v>
      </c>
      <c r="K277" s="57">
        <v>3950</v>
      </c>
      <c r="L277" s="54">
        <f t="shared" si="24"/>
        <v>51032025</v>
      </c>
      <c r="P277" s="139">
        <v>49877000</v>
      </c>
      <c r="Q277" s="139">
        <f t="shared" si="25"/>
        <v>1155025</v>
      </c>
    </row>
    <row r="278" spans="1:17" hidden="1" x14ac:dyDescent="0.3">
      <c r="A278" s="54"/>
      <c r="B278" s="54"/>
      <c r="C278" s="54"/>
      <c r="D278" s="54"/>
      <c r="E278" s="55" t="s">
        <v>729</v>
      </c>
      <c r="F278" s="57">
        <v>26840</v>
      </c>
      <c r="G278" s="57">
        <v>14740</v>
      </c>
      <c r="H278" s="54">
        <f t="shared" si="22"/>
        <v>12100</v>
      </c>
      <c r="I278" s="58">
        <v>2</v>
      </c>
      <c r="J278" s="54">
        <f t="shared" si="23"/>
        <v>11858</v>
      </c>
      <c r="K278" s="57">
        <v>3350</v>
      </c>
      <c r="L278" s="54">
        <f t="shared" si="24"/>
        <v>39724300</v>
      </c>
      <c r="P278" s="139">
        <v>38732000</v>
      </c>
      <c r="Q278" s="139">
        <f t="shared" si="25"/>
        <v>992300</v>
      </c>
    </row>
    <row r="279" spans="1:17" hidden="1" x14ac:dyDescent="0.3">
      <c r="A279" s="54"/>
      <c r="B279" s="54"/>
      <c r="C279" s="54"/>
      <c r="D279" s="54"/>
      <c r="E279" s="55"/>
      <c r="F279" s="57"/>
      <c r="G279" s="57"/>
      <c r="H279" s="54">
        <f t="shared" si="22"/>
        <v>0</v>
      </c>
      <c r="I279" s="58"/>
      <c r="J279" s="54">
        <f t="shared" si="23"/>
        <v>0</v>
      </c>
      <c r="K279" s="57"/>
      <c r="L279" s="54">
        <f t="shared" si="24"/>
        <v>0</v>
      </c>
      <c r="Q279" s="139">
        <f t="shared" si="25"/>
        <v>0</v>
      </c>
    </row>
    <row r="280" spans="1:17" hidden="1" x14ac:dyDescent="0.3">
      <c r="A280" s="54"/>
      <c r="B280" s="54"/>
      <c r="C280" s="54"/>
      <c r="D280" s="54"/>
      <c r="E280" s="55"/>
      <c r="F280" s="57"/>
      <c r="G280" s="57"/>
      <c r="H280" s="54">
        <f t="shared" si="22"/>
        <v>0</v>
      </c>
      <c r="I280" s="58"/>
      <c r="J280" s="54">
        <f t="shared" si="23"/>
        <v>0</v>
      </c>
      <c r="K280" s="57"/>
      <c r="L280" s="54">
        <f t="shared" si="24"/>
        <v>0</v>
      </c>
      <c r="Q280" s="139">
        <f t="shared" si="25"/>
        <v>0</v>
      </c>
    </row>
    <row r="281" spans="1:17" hidden="1" x14ac:dyDescent="0.3">
      <c r="A281" s="54"/>
      <c r="B281" s="54"/>
      <c r="C281" s="54"/>
      <c r="D281" s="54"/>
      <c r="E281" s="55"/>
      <c r="F281" s="57"/>
      <c r="G281" s="57"/>
      <c r="H281" s="54">
        <f t="shared" si="22"/>
        <v>0</v>
      </c>
      <c r="I281" s="58"/>
      <c r="J281" s="54">
        <f t="shared" si="23"/>
        <v>0</v>
      </c>
      <c r="K281" s="57"/>
      <c r="L281" s="54">
        <f t="shared" si="24"/>
        <v>0</v>
      </c>
      <c r="Q281" s="139">
        <f t="shared" si="25"/>
        <v>0</v>
      </c>
    </row>
    <row r="282" spans="1:17" hidden="1" x14ac:dyDescent="0.3">
      <c r="A282" s="54"/>
      <c r="B282" s="54"/>
      <c r="C282" s="54"/>
      <c r="D282" s="54"/>
      <c r="E282" s="55"/>
      <c r="F282" s="57"/>
      <c r="G282" s="57"/>
      <c r="H282" s="54">
        <f t="shared" si="22"/>
        <v>0</v>
      </c>
      <c r="I282" s="58"/>
      <c r="J282" s="54">
        <f t="shared" si="23"/>
        <v>0</v>
      </c>
      <c r="K282" s="57"/>
      <c r="L282" s="54">
        <f t="shared" si="24"/>
        <v>0</v>
      </c>
      <c r="Q282" s="139">
        <f t="shared" si="25"/>
        <v>0</v>
      </c>
    </row>
    <row r="283" spans="1:17" hidden="1" x14ac:dyDescent="0.3">
      <c r="A283" s="54"/>
      <c r="B283" s="54"/>
      <c r="C283" s="54"/>
      <c r="D283" s="54"/>
      <c r="E283" s="55"/>
      <c r="F283" s="57"/>
      <c r="G283" s="57"/>
      <c r="H283" s="54">
        <f t="shared" ref="H283:H346" si="26">+F283-G283</f>
        <v>0</v>
      </c>
      <c r="I283" s="58"/>
      <c r="J283" s="54">
        <f t="shared" ref="J283:J346" si="27">+H283-H283*I283/100</f>
        <v>0</v>
      </c>
      <c r="K283" s="57"/>
      <c r="L283" s="54">
        <f t="shared" ref="L283:L346" si="28">+J283*K283</f>
        <v>0</v>
      </c>
      <c r="Q283" s="139">
        <f t="shared" si="25"/>
        <v>0</v>
      </c>
    </row>
    <row r="284" spans="1:17" hidden="1" x14ac:dyDescent="0.3">
      <c r="A284" s="54" t="s">
        <v>733</v>
      </c>
      <c r="B284" s="54"/>
      <c r="C284" s="54"/>
      <c r="D284" s="54"/>
      <c r="E284" s="55" t="s">
        <v>734</v>
      </c>
      <c r="F284" s="57">
        <v>26120</v>
      </c>
      <c r="G284" s="57">
        <v>12960</v>
      </c>
      <c r="H284" s="54">
        <f t="shared" si="26"/>
        <v>13160</v>
      </c>
      <c r="I284" s="58">
        <v>2.5</v>
      </c>
      <c r="J284" s="54">
        <f t="shared" si="27"/>
        <v>12831</v>
      </c>
      <c r="K284" s="57">
        <v>3350</v>
      </c>
      <c r="L284" s="54">
        <f t="shared" si="28"/>
        <v>42983850</v>
      </c>
      <c r="P284" s="139">
        <v>42125000</v>
      </c>
      <c r="Q284" s="139">
        <f t="shared" ref="Q284:Q347" si="29">+L284-P284</f>
        <v>858850</v>
      </c>
    </row>
    <row r="285" spans="1:17" hidden="1" x14ac:dyDescent="0.3">
      <c r="A285" s="54"/>
      <c r="B285" s="54"/>
      <c r="C285" s="54"/>
      <c r="D285" s="177"/>
      <c r="E285" s="55" t="s">
        <v>735</v>
      </c>
      <c r="F285" s="57">
        <v>19760</v>
      </c>
      <c r="G285" s="57">
        <v>9780</v>
      </c>
      <c r="H285" s="54">
        <f t="shared" si="26"/>
        <v>9980</v>
      </c>
      <c r="I285" s="58">
        <v>2.5</v>
      </c>
      <c r="J285" s="54">
        <f t="shared" si="27"/>
        <v>9730.5</v>
      </c>
      <c r="K285" s="57">
        <v>3350</v>
      </c>
      <c r="L285" s="54">
        <f t="shared" si="28"/>
        <v>32597175</v>
      </c>
      <c r="P285" s="139">
        <v>31630000</v>
      </c>
      <c r="Q285" s="139">
        <f t="shared" si="29"/>
        <v>967175</v>
      </c>
    </row>
    <row r="286" spans="1:17" hidden="1" x14ac:dyDescent="0.3">
      <c r="A286" s="54"/>
      <c r="B286" s="54"/>
      <c r="C286" s="54"/>
      <c r="D286" s="177"/>
      <c r="E286" s="55" t="s">
        <v>737</v>
      </c>
      <c r="F286" s="57">
        <v>26640</v>
      </c>
      <c r="G286" s="57">
        <v>12990</v>
      </c>
      <c r="H286" s="54">
        <f t="shared" si="26"/>
        <v>13650</v>
      </c>
      <c r="I286" s="58">
        <v>1</v>
      </c>
      <c r="J286" s="54">
        <f t="shared" si="27"/>
        <v>13513.5</v>
      </c>
      <c r="K286" s="57">
        <v>3950</v>
      </c>
      <c r="L286" s="54">
        <f t="shared" si="28"/>
        <v>53378325</v>
      </c>
      <c r="P286" s="139">
        <v>52741000</v>
      </c>
      <c r="Q286" s="139">
        <f t="shared" si="29"/>
        <v>637325</v>
      </c>
    </row>
    <row r="287" spans="1:17" hidden="1" x14ac:dyDescent="0.3">
      <c r="A287" s="54" t="s">
        <v>739</v>
      </c>
      <c r="B287" s="54"/>
      <c r="C287" s="54">
        <f>15000*12180</f>
        <v>182700000</v>
      </c>
      <c r="D287" s="54" t="s">
        <v>741</v>
      </c>
      <c r="E287" s="55" t="s">
        <v>740</v>
      </c>
      <c r="F287" s="57">
        <v>17980</v>
      </c>
      <c r="G287" s="57">
        <v>10150</v>
      </c>
      <c r="H287" s="54">
        <f t="shared" si="26"/>
        <v>7830</v>
      </c>
      <c r="I287" s="58">
        <v>2</v>
      </c>
      <c r="J287" s="54">
        <f t="shared" si="27"/>
        <v>7673.4</v>
      </c>
      <c r="K287" s="57">
        <v>3600</v>
      </c>
      <c r="L287" s="54">
        <f t="shared" si="28"/>
        <v>27624240</v>
      </c>
      <c r="P287" s="139">
        <v>27000000</v>
      </c>
      <c r="Q287" s="139">
        <f t="shared" si="29"/>
        <v>624240</v>
      </c>
    </row>
    <row r="288" spans="1:17" hidden="1" x14ac:dyDescent="0.3">
      <c r="B288" s="54"/>
      <c r="C288" s="54"/>
      <c r="D288" s="54"/>
      <c r="E288" s="55"/>
      <c r="F288" s="57"/>
      <c r="G288" s="57"/>
      <c r="H288" s="54">
        <f t="shared" si="26"/>
        <v>0</v>
      </c>
      <c r="I288" s="58"/>
      <c r="J288" s="54">
        <f t="shared" si="27"/>
        <v>0</v>
      </c>
      <c r="K288" s="57"/>
      <c r="L288" s="54">
        <f t="shared" si="28"/>
        <v>0</v>
      </c>
      <c r="Q288" s="139">
        <f t="shared" si="29"/>
        <v>0</v>
      </c>
    </row>
    <row r="289" spans="1:17" hidden="1" x14ac:dyDescent="0.3">
      <c r="A289" s="54" t="s">
        <v>743</v>
      </c>
      <c r="B289" s="54"/>
      <c r="C289" s="54">
        <f>19000*12190</f>
        <v>231610000</v>
      </c>
      <c r="D289" s="54" t="s">
        <v>744</v>
      </c>
      <c r="E289" s="55" t="s">
        <v>745</v>
      </c>
      <c r="F289" s="57">
        <v>29880</v>
      </c>
      <c r="G289" s="57">
        <v>13960</v>
      </c>
      <c r="H289" s="54">
        <f t="shared" si="26"/>
        <v>15920</v>
      </c>
      <c r="I289" s="58">
        <v>15</v>
      </c>
      <c r="J289" s="54">
        <f t="shared" si="27"/>
        <v>13532</v>
      </c>
      <c r="K289" s="57">
        <v>3400</v>
      </c>
      <c r="L289" s="54">
        <f t="shared" si="28"/>
        <v>46008800</v>
      </c>
      <c r="P289" s="139">
        <v>46008800</v>
      </c>
      <c r="Q289" s="139">
        <f t="shared" si="29"/>
        <v>0</v>
      </c>
    </row>
    <row r="290" spans="1:17" hidden="1" x14ac:dyDescent="0.3">
      <c r="A290" s="54"/>
      <c r="B290" s="54"/>
      <c r="C290" s="54"/>
      <c r="D290" s="54"/>
      <c r="E290" s="55"/>
      <c r="F290" s="57"/>
      <c r="G290" s="57"/>
      <c r="H290" s="54">
        <f t="shared" si="26"/>
        <v>0</v>
      </c>
      <c r="I290" s="58"/>
      <c r="J290" s="54">
        <f t="shared" si="27"/>
        <v>0</v>
      </c>
      <c r="K290" s="57"/>
      <c r="L290" s="54">
        <f t="shared" si="28"/>
        <v>0</v>
      </c>
      <c r="Q290" s="139">
        <f t="shared" si="29"/>
        <v>0</v>
      </c>
    </row>
    <row r="291" spans="1:17" hidden="1" x14ac:dyDescent="0.3">
      <c r="A291" s="54" t="s">
        <v>749</v>
      </c>
      <c r="B291" s="54"/>
      <c r="C291" s="54"/>
      <c r="D291" s="54"/>
      <c r="E291" s="55" t="s">
        <v>751</v>
      </c>
      <c r="F291" s="57">
        <v>22560</v>
      </c>
      <c r="G291" s="57">
        <v>10640</v>
      </c>
      <c r="H291" s="54">
        <f t="shared" si="26"/>
        <v>11920</v>
      </c>
      <c r="I291" s="58">
        <v>2</v>
      </c>
      <c r="J291" s="54">
        <f t="shared" si="27"/>
        <v>11681.6</v>
      </c>
      <c r="K291" s="57">
        <v>3600</v>
      </c>
      <c r="L291" s="54">
        <f t="shared" si="28"/>
        <v>42053760</v>
      </c>
      <c r="P291" s="139">
        <v>41302000</v>
      </c>
      <c r="Q291" s="139">
        <f t="shared" si="29"/>
        <v>751760</v>
      </c>
    </row>
    <row r="292" spans="1:17" hidden="1" x14ac:dyDescent="0.3">
      <c r="A292" s="54"/>
      <c r="B292" s="54"/>
      <c r="C292" s="54"/>
      <c r="D292" s="54"/>
      <c r="E292" s="55" t="s">
        <v>752</v>
      </c>
      <c r="F292" s="57">
        <v>26100</v>
      </c>
      <c r="G292" s="57">
        <v>13100</v>
      </c>
      <c r="H292" s="54">
        <f t="shared" si="26"/>
        <v>13000</v>
      </c>
      <c r="I292" s="58">
        <v>2</v>
      </c>
      <c r="J292" s="54">
        <f t="shared" si="27"/>
        <v>12740</v>
      </c>
      <c r="K292" s="57">
        <v>3600</v>
      </c>
      <c r="L292" s="54">
        <f t="shared" si="28"/>
        <v>45864000</v>
      </c>
      <c r="P292" s="139">
        <v>43680000</v>
      </c>
      <c r="Q292" s="139">
        <f t="shared" si="29"/>
        <v>2184000</v>
      </c>
    </row>
    <row r="293" spans="1:17" hidden="1" x14ac:dyDescent="0.3">
      <c r="A293" s="54"/>
      <c r="B293" s="54"/>
      <c r="C293" s="54">
        <v>262000</v>
      </c>
      <c r="D293" s="54" t="s">
        <v>753</v>
      </c>
      <c r="E293" s="55" t="s">
        <v>541</v>
      </c>
      <c r="F293" s="57">
        <v>12460</v>
      </c>
      <c r="G293" s="57">
        <v>4900</v>
      </c>
      <c r="H293" s="54">
        <f t="shared" si="26"/>
        <v>7560</v>
      </c>
      <c r="I293" s="58">
        <v>2</v>
      </c>
      <c r="J293" s="54">
        <f t="shared" si="27"/>
        <v>7408.8</v>
      </c>
      <c r="K293" s="57">
        <v>3350</v>
      </c>
      <c r="L293" s="54">
        <f t="shared" si="28"/>
        <v>24819480</v>
      </c>
      <c r="P293" s="139">
        <v>23937000</v>
      </c>
      <c r="Q293" s="139">
        <f t="shared" si="29"/>
        <v>882480</v>
      </c>
    </row>
    <row r="294" spans="1:17" hidden="1" x14ac:dyDescent="0.3">
      <c r="A294" s="54"/>
      <c r="B294" s="54"/>
      <c r="C294" s="54"/>
      <c r="D294" s="54"/>
      <c r="E294" s="55"/>
      <c r="F294" s="57"/>
      <c r="G294" s="57"/>
      <c r="H294" s="54">
        <f t="shared" si="26"/>
        <v>0</v>
      </c>
      <c r="I294" s="58"/>
      <c r="J294" s="54">
        <f t="shared" si="27"/>
        <v>0</v>
      </c>
      <c r="K294" s="57"/>
      <c r="L294" s="54">
        <f t="shared" si="28"/>
        <v>0</v>
      </c>
      <c r="Q294" s="139">
        <f t="shared" si="29"/>
        <v>0</v>
      </c>
    </row>
    <row r="295" spans="1:17" hidden="1" x14ac:dyDescent="0.3">
      <c r="A295" s="54" t="s">
        <v>756</v>
      </c>
      <c r="B295" s="54"/>
      <c r="C295" s="54">
        <v>1000000</v>
      </c>
      <c r="D295" s="54" t="s">
        <v>758</v>
      </c>
      <c r="E295" s="55" t="s">
        <v>757</v>
      </c>
      <c r="F295" s="57">
        <v>19660</v>
      </c>
      <c r="G295" s="57">
        <v>10080</v>
      </c>
      <c r="H295" s="54">
        <f t="shared" si="26"/>
        <v>9580</v>
      </c>
      <c r="I295" s="58">
        <v>2</v>
      </c>
      <c r="J295" s="54">
        <f t="shared" si="27"/>
        <v>9388.4</v>
      </c>
      <c r="K295" s="57">
        <v>3350</v>
      </c>
      <c r="L295" s="54">
        <f t="shared" si="28"/>
        <v>31451140</v>
      </c>
      <c r="P295" s="139">
        <v>29950000</v>
      </c>
      <c r="Q295" s="139">
        <f t="shared" si="29"/>
        <v>1501140</v>
      </c>
    </row>
    <row r="296" spans="1:17" hidden="1" x14ac:dyDescent="0.3">
      <c r="A296" s="54"/>
      <c r="B296" s="54"/>
      <c r="C296" s="54">
        <v>99000000</v>
      </c>
      <c r="D296" s="54" t="s">
        <v>671</v>
      </c>
      <c r="E296" s="55"/>
      <c r="F296" s="57"/>
      <c r="G296" s="57"/>
      <c r="H296" s="54">
        <f t="shared" si="26"/>
        <v>0</v>
      </c>
      <c r="I296" s="58"/>
      <c r="J296" s="54">
        <f t="shared" si="27"/>
        <v>0</v>
      </c>
      <c r="K296" s="57"/>
      <c r="L296" s="54">
        <f t="shared" si="28"/>
        <v>0</v>
      </c>
      <c r="Q296" s="139">
        <f t="shared" si="29"/>
        <v>0</v>
      </c>
    </row>
    <row r="297" spans="1:17" hidden="1" x14ac:dyDescent="0.3">
      <c r="A297" s="54"/>
      <c r="B297" s="54"/>
      <c r="C297" s="54"/>
      <c r="D297" s="54"/>
      <c r="E297" s="55"/>
      <c r="F297" s="57"/>
      <c r="G297" s="57"/>
      <c r="H297" s="54">
        <f t="shared" si="26"/>
        <v>0</v>
      </c>
      <c r="I297" s="58"/>
      <c r="J297" s="54">
        <f t="shared" si="27"/>
        <v>0</v>
      </c>
      <c r="K297" s="57"/>
      <c r="L297" s="54">
        <f t="shared" si="28"/>
        <v>0</v>
      </c>
      <c r="Q297" s="139">
        <f t="shared" si="29"/>
        <v>0</v>
      </c>
    </row>
    <row r="298" spans="1:17" hidden="1" x14ac:dyDescent="0.3">
      <c r="A298" s="54"/>
      <c r="B298" s="54"/>
      <c r="C298" s="54"/>
      <c r="D298" s="54"/>
      <c r="E298" s="55"/>
      <c r="F298" s="57"/>
      <c r="G298" s="57"/>
      <c r="H298" s="54">
        <f t="shared" si="26"/>
        <v>0</v>
      </c>
      <c r="I298" s="58"/>
      <c r="J298" s="54">
        <f t="shared" si="27"/>
        <v>0</v>
      </c>
      <c r="K298" s="57"/>
      <c r="L298" s="54">
        <f t="shared" si="28"/>
        <v>0</v>
      </c>
      <c r="Q298" s="139">
        <f t="shared" si="29"/>
        <v>0</v>
      </c>
    </row>
    <row r="299" spans="1:17" hidden="1" x14ac:dyDescent="0.3">
      <c r="A299" s="54" t="s">
        <v>764</v>
      </c>
      <c r="B299" s="54">
        <v>4500000</v>
      </c>
      <c r="C299" s="54"/>
      <c r="D299" s="54" t="s">
        <v>776</v>
      </c>
      <c r="E299" s="55"/>
      <c r="F299" s="57"/>
      <c r="G299" s="57"/>
      <c r="H299" s="54">
        <f t="shared" si="26"/>
        <v>0</v>
      </c>
      <c r="I299" s="58"/>
      <c r="J299" s="54">
        <f t="shared" si="27"/>
        <v>0</v>
      </c>
      <c r="K299" s="57"/>
      <c r="L299" s="54">
        <f t="shared" si="28"/>
        <v>0</v>
      </c>
      <c r="Q299" s="139">
        <f t="shared" si="29"/>
        <v>0</v>
      </c>
    </row>
    <row r="300" spans="1:17" hidden="1" x14ac:dyDescent="0.3">
      <c r="A300" s="54"/>
      <c r="B300" s="54"/>
      <c r="C300" s="54">
        <v>4065000</v>
      </c>
      <c r="D300" s="54" t="s">
        <v>777</v>
      </c>
      <c r="E300" s="55"/>
      <c r="F300" s="57"/>
      <c r="G300" s="57"/>
      <c r="H300" s="54">
        <f t="shared" si="26"/>
        <v>0</v>
      </c>
      <c r="I300" s="58"/>
      <c r="J300" s="54">
        <f t="shared" si="27"/>
        <v>0</v>
      </c>
      <c r="K300" s="57"/>
      <c r="L300" s="54">
        <f t="shared" si="28"/>
        <v>0</v>
      </c>
      <c r="Q300" s="139">
        <f t="shared" si="29"/>
        <v>0</v>
      </c>
    </row>
    <row r="301" spans="1:17" hidden="1" x14ac:dyDescent="0.3">
      <c r="A301" s="54"/>
      <c r="B301" s="54"/>
      <c r="C301" s="54">
        <v>2610000</v>
      </c>
      <c r="D301" s="54" t="s">
        <v>780</v>
      </c>
      <c r="E301" s="55"/>
      <c r="F301" s="57"/>
      <c r="G301" s="57"/>
      <c r="H301" s="54">
        <f t="shared" si="26"/>
        <v>0</v>
      </c>
      <c r="I301" s="58"/>
      <c r="J301" s="54">
        <f t="shared" si="27"/>
        <v>0</v>
      </c>
      <c r="K301" s="57"/>
      <c r="L301" s="54">
        <f t="shared" si="28"/>
        <v>0</v>
      </c>
      <c r="Q301" s="139">
        <f t="shared" si="29"/>
        <v>0</v>
      </c>
    </row>
    <row r="302" spans="1:17" hidden="1" x14ac:dyDescent="0.3">
      <c r="A302" s="54"/>
      <c r="B302" s="54"/>
      <c r="C302" s="54">
        <v>6100000</v>
      </c>
      <c r="D302" s="54" t="s">
        <v>782</v>
      </c>
      <c r="E302" s="55"/>
      <c r="F302" s="57"/>
      <c r="G302" s="57"/>
      <c r="H302" s="54">
        <f t="shared" si="26"/>
        <v>0</v>
      </c>
      <c r="I302" s="58"/>
      <c r="J302" s="54">
        <f t="shared" si="27"/>
        <v>0</v>
      </c>
      <c r="K302" s="57"/>
      <c r="L302" s="54">
        <f t="shared" si="28"/>
        <v>0</v>
      </c>
      <c r="Q302" s="139">
        <f t="shared" si="29"/>
        <v>0</v>
      </c>
    </row>
    <row r="303" spans="1:17" hidden="1" x14ac:dyDescent="0.3">
      <c r="A303" s="54"/>
      <c r="B303" s="54"/>
      <c r="C303" s="54">
        <v>35161000</v>
      </c>
      <c r="D303" s="54" t="s">
        <v>783</v>
      </c>
      <c r="E303" s="55"/>
      <c r="F303" s="57"/>
      <c r="G303" s="57"/>
      <c r="H303" s="54">
        <f t="shared" si="26"/>
        <v>0</v>
      </c>
      <c r="I303" s="58"/>
      <c r="J303" s="54">
        <f t="shared" si="27"/>
        <v>0</v>
      </c>
      <c r="K303" s="57"/>
      <c r="L303" s="54">
        <f t="shared" si="28"/>
        <v>0</v>
      </c>
      <c r="Q303" s="139">
        <f t="shared" si="29"/>
        <v>0</v>
      </c>
    </row>
    <row r="304" spans="1:17" hidden="1" x14ac:dyDescent="0.3">
      <c r="A304" s="54"/>
      <c r="B304" s="54"/>
      <c r="C304" s="54"/>
      <c r="D304" s="54"/>
      <c r="E304" s="55"/>
      <c r="F304" s="57"/>
      <c r="G304" s="57"/>
      <c r="H304" s="54"/>
      <c r="I304" s="58"/>
      <c r="J304" s="54"/>
      <c r="K304" s="57"/>
      <c r="L304" s="54"/>
      <c r="Q304" s="139">
        <f t="shared" si="29"/>
        <v>0</v>
      </c>
    </row>
    <row r="305" spans="1:17" hidden="1" x14ac:dyDescent="0.3">
      <c r="A305" s="54"/>
      <c r="B305" s="54"/>
      <c r="C305" s="54"/>
      <c r="D305" s="54"/>
      <c r="E305" s="55"/>
      <c r="F305" s="57"/>
      <c r="G305" s="57"/>
      <c r="H305" s="54"/>
      <c r="I305" s="58"/>
      <c r="J305" s="54"/>
      <c r="K305" s="57"/>
      <c r="L305" s="54"/>
      <c r="Q305" s="139">
        <f t="shared" si="29"/>
        <v>0</v>
      </c>
    </row>
    <row r="306" spans="1:17" hidden="1" x14ac:dyDescent="0.3">
      <c r="A306" s="54"/>
      <c r="B306" s="54"/>
      <c r="C306" s="54"/>
      <c r="D306" s="54"/>
      <c r="E306" s="55"/>
      <c r="F306" s="57"/>
      <c r="G306" s="57"/>
      <c r="H306" s="54">
        <f t="shared" si="26"/>
        <v>0</v>
      </c>
      <c r="I306" s="58"/>
      <c r="J306" s="54">
        <f t="shared" si="27"/>
        <v>0</v>
      </c>
      <c r="K306" s="57"/>
      <c r="L306" s="54">
        <f t="shared" si="28"/>
        <v>0</v>
      </c>
      <c r="Q306" s="139">
        <f t="shared" si="29"/>
        <v>0</v>
      </c>
    </row>
    <row r="307" spans="1:17" hidden="1" x14ac:dyDescent="0.3">
      <c r="A307" s="54"/>
      <c r="B307" s="54"/>
      <c r="C307" s="54"/>
      <c r="D307" s="54"/>
      <c r="E307" s="55"/>
      <c r="F307" s="57"/>
      <c r="G307" s="57"/>
      <c r="H307" s="54">
        <f t="shared" si="26"/>
        <v>0</v>
      </c>
      <c r="I307" s="58"/>
      <c r="J307" s="54">
        <f t="shared" si="27"/>
        <v>0</v>
      </c>
      <c r="K307" s="57"/>
      <c r="L307" s="54">
        <f t="shared" si="28"/>
        <v>0</v>
      </c>
      <c r="Q307" s="139">
        <f t="shared" si="29"/>
        <v>0</v>
      </c>
    </row>
    <row r="308" spans="1:17" hidden="1" x14ac:dyDescent="0.3">
      <c r="A308" s="54"/>
      <c r="B308" s="54"/>
      <c r="C308" s="54"/>
      <c r="D308" s="54"/>
      <c r="E308" s="55"/>
      <c r="F308" s="57"/>
      <c r="G308" s="57"/>
      <c r="H308" s="54">
        <f t="shared" si="26"/>
        <v>0</v>
      </c>
      <c r="I308" s="58"/>
      <c r="J308" s="54">
        <f t="shared" si="27"/>
        <v>0</v>
      </c>
      <c r="K308" s="57"/>
      <c r="L308" s="54">
        <f t="shared" si="28"/>
        <v>0</v>
      </c>
      <c r="Q308" s="139">
        <f t="shared" si="29"/>
        <v>0</v>
      </c>
    </row>
    <row r="309" spans="1:17" hidden="1" x14ac:dyDescent="0.3">
      <c r="A309" s="54"/>
      <c r="B309" s="54"/>
      <c r="C309" s="54"/>
      <c r="D309" s="54"/>
      <c r="E309" s="55"/>
      <c r="F309" s="57"/>
      <c r="G309" s="57"/>
      <c r="H309" s="54">
        <f t="shared" si="26"/>
        <v>0</v>
      </c>
      <c r="I309" s="58"/>
      <c r="J309" s="54">
        <f t="shared" si="27"/>
        <v>0</v>
      </c>
      <c r="K309" s="57"/>
      <c r="L309" s="54">
        <f t="shared" si="28"/>
        <v>0</v>
      </c>
      <c r="Q309" s="139">
        <f t="shared" si="29"/>
        <v>0</v>
      </c>
    </row>
    <row r="310" spans="1:17" hidden="1" x14ac:dyDescent="0.3">
      <c r="A310" s="54"/>
      <c r="B310" s="54"/>
      <c r="C310" s="54"/>
      <c r="D310" s="54"/>
      <c r="E310" s="55"/>
      <c r="F310" s="57"/>
      <c r="G310" s="57"/>
      <c r="H310" s="54">
        <f t="shared" si="26"/>
        <v>0</v>
      </c>
      <c r="I310" s="58"/>
      <c r="J310" s="54">
        <f t="shared" si="27"/>
        <v>0</v>
      </c>
      <c r="K310" s="57"/>
      <c r="L310" s="54">
        <f t="shared" si="28"/>
        <v>0</v>
      </c>
      <c r="Q310" s="139">
        <f t="shared" si="29"/>
        <v>0</v>
      </c>
    </row>
    <row r="311" spans="1:17" hidden="1" x14ac:dyDescent="0.3">
      <c r="A311" s="54"/>
      <c r="B311" s="54"/>
      <c r="C311" s="54"/>
      <c r="D311" s="54"/>
      <c r="E311" s="55"/>
      <c r="F311" s="57"/>
      <c r="G311" s="57"/>
      <c r="H311" s="54">
        <f t="shared" si="26"/>
        <v>0</v>
      </c>
      <c r="I311" s="58"/>
      <c r="J311" s="54">
        <f t="shared" si="27"/>
        <v>0</v>
      </c>
      <c r="K311" s="57"/>
      <c r="L311" s="54">
        <f t="shared" si="28"/>
        <v>0</v>
      </c>
      <c r="Q311" s="139">
        <f t="shared" si="29"/>
        <v>0</v>
      </c>
    </row>
    <row r="312" spans="1:17" hidden="1" x14ac:dyDescent="0.3">
      <c r="A312" s="54"/>
      <c r="B312" s="54"/>
      <c r="C312" s="54"/>
      <c r="D312" s="54"/>
      <c r="E312" s="55"/>
      <c r="F312" s="57"/>
      <c r="G312" s="57"/>
      <c r="H312" s="54">
        <f t="shared" si="26"/>
        <v>0</v>
      </c>
      <c r="I312" s="58"/>
      <c r="J312" s="54">
        <f t="shared" si="27"/>
        <v>0</v>
      </c>
      <c r="K312" s="57"/>
      <c r="L312" s="54">
        <f t="shared" si="28"/>
        <v>0</v>
      </c>
      <c r="Q312" s="139">
        <f t="shared" si="29"/>
        <v>0</v>
      </c>
    </row>
    <row r="313" spans="1:17" hidden="1" x14ac:dyDescent="0.3">
      <c r="A313" s="54" t="s">
        <v>789</v>
      </c>
      <c r="B313" s="54"/>
      <c r="C313" s="54">
        <v>1500000</v>
      </c>
      <c r="D313" s="54" t="s">
        <v>791</v>
      </c>
      <c r="E313" s="55" t="s">
        <v>790</v>
      </c>
      <c r="F313" s="57">
        <v>20100</v>
      </c>
      <c r="G313" s="57">
        <v>11300</v>
      </c>
      <c r="H313" s="54">
        <f t="shared" ref="H313:H314" si="30">+F313-G313</f>
        <v>8800</v>
      </c>
      <c r="I313" s="58">
        <v>1</v>
      </c>
      <c r="J313" s="54">
        <f t="shared" ref="J313:J314" si="31">+H313-H313*I313/100</f>
        <v>8712</v>
      </c>
      <c r="K313" s="57">
        <v>3850</v>
      </c>
      <c r="L313" s="54">
        <f t="shared" ref="L313:L314" si="32">+J313*K313</f>
        <v>33541200</v>
      </c>
      <c r="P313" s="139">
        <v>33105000</v>
      </c>
      <c r="Q313" s="139">
        <f t="shared" si="29"/>
        <v>436200</v>
      </c>
    </row>
    <row r="314" spans="1:17" hidden="1" x14ac:dyDescent="0.3">
      <c r="A314" s="54"/>
      <c r="B314" s="54"/>
      <c r="C314" s="54">
        <v>418000</v>
      </c>
      <c r="D314" s="54" t="s">
        <v>793</v>
      </c>
      <c r="E314" s="55" t="s">
        <v>792</v>
      </c>
      <c r="F314" s="57">
        <v>23600</v>
      </c>
      <c r="G314" s="57">
        <v>13080</v>
      </c>
      <c r="H314" s="54">
        <f t="shared" si="30"/>
        <v>10520</v>
      </c>
      <c r="I314" s="58">
        <v>2.9</v>
      </c>
      <c r="J314" s="54">
        <f t="shared" si="31"/>
        <v>10214.92</v>
      </c>
      <c r="K314" s="57">
        <v>3350</v>
      </c>
      <c r="L314" s="54">
        <f t="shared" si="32"/>
        <v>34219982</v>
      </c>
      <c r="P314" s="139">
        <v>33709000</v>
      </c>
      <c r="Q314" s="139">
        <f>+L314-P314</f>
        <v>510982</v>
      </c>
    </row>
    <row r="315" spans="1:17" hidden="1" x14ac:dyDescent="0.3">
      <c r="A315" s="54" t="s">
        <v>493</v>
      </c>
      <c r="B315" s="54"/>
      <c r="C315" s="54">
        <v>121600000</v>
      </c>
      <c r="D315" s="54" t="s">
        <v>610</v>
      </c>
      <c r="E315" s="55" t="s">
        <v>797</v>
      </c>
      <c r="F315" s="57">
        <v>25120</v>
      </c>
      <c r="G315" s="57">
        <v>9440</v>
      </c>
      <c r="H315" s="54">
        <f t="shared" si="26"/>
        <v>15680</v>
      </c>
      <c r="I315" s="58">
        <v>1</v>
      </c>
      <c r="J315" s="54">
        <f t="shared" si="27"/>
        <v>15523.2</v>
      </c>
      <c r="K315" s="57">
        <v>3800</v>
      </c>
      <c r="L315" s="54">
        <f t="shared" si="28"/>
        <v>58988160</v>
      </c>
      <c r="P315" s="139">
        <v>58988160</v>
      </c>
      <c r="Q315" s="139">
        <f t="shared" si="29"/>
        <v>0</v>
      </c>
    </row>
    <row r="316" spans="1:17" hidden="1" x14ac:dyDescent="0.3">
      <c r="A316" s="54"/>
      <c r="B316" s="54"/>
      <c r="C316" s="180">
        <v>936000</v>
      </c>
      <c r="D316" s="180" t="s">
        <v>799</v>
      </c>
      <c r="E316" s="187"/>
      <c r="F316" s="57"/>
      <c r="G316" s="57"/>
      <c r="H316" s="54">
        <f t="shared" si="26"/>
        <v>0</v>
      </c>
      <c r="I316" s="58"/>
      <c r="J316" s="54">
        <f t="shared" si="27"/>
        <v>0</v>
      </c>
      <c r="K316" s="57"/>
      <c r="L316" s="54">
        <f t="shared" si="28"/>
        <v>0</v>
      </c>
      <c r="Q316" s="139">
        <f t="shared" si="29"/>
        <v>0</v>
      </c>
    </row>
    <row r="317" spans="1:17" hidden="1" x14ac:dyDescent="0.3">
      <c r="A317" s="54" t="s">
        <v>802</v>
      </c>
      <c r="B317" s="54"/>
      <c r="C317" s="54">
        <f>13000*12170</f>
        <v>158210000</v>
      </c>
      <c r="D317" s="54" t="s">
        <v>803</v>
      </c>
      <c r="E317" s="55"/>
      <c r="F317" s="57"/>
      <c r="G317" s="57"/>
      <c r="H317" s="54">
        <f t="shared" si="26"/>
        <v>0</v>
      </c>
      <c r="I317" s="58"/>
      <c r="J317" s="54">
        <f t="shared" si="27"/>
        <v>0</v>
      </c>
      <c r="K317" s="57"/>
      <c r="L317" s="54">
        <f t="shared" si="28"/>
        <v>0</v>
      </c>
      <c r="Q317" s="139">
        <f t="shared" si="29"/>
        <v>0</v>
      </c>
    </row>
    <row r="318" spans="1:17" hidden="1" x14ac:dyDescent="0.3">
      <c r="A318" s="54"/>
      <c r="B318" s="54"/>
      <c r="C318" s="54"/>
      <c r="D318" s="54"/>
      <c r="E318" s="55" t="s">
        <v>804</v>
      </c>
      <c r="F318" s="57">
        <v>22280</v>
      </c>
      <c r="G318" s="57">
        <v>12200</v>
      </c>
      <c r="H318" s="54">
        <f t="shared" si="26"/>
        <v>10080</v>
      </c>
      <c r="I318" s="58">
        <v>2</v>
      </c>
      <c r="J318" s="54">
        <f t="shared" si="27"/>
        <v>9878.4</v>
      </c>
      <c r="K318" s="57">
        <v>3550</v>
      </c>
      <c r="L318" s="54">
        <f t="shared" si="28"/>
        <v>35068320</v>
      </c>
      <c r="P318" s="139">
        <v>34221000</v>
      </c>
      <c r="Q318" s="139">
        <f t="shared" si="29"/>
        <v>847320</v>
      </c>
    </row>
    <row r="319" spans="1:17" hidden="1" x14ac:dyDescent="0.3">
      <c r="A319" s="54"/>
      <c r="B319" s="54"/>
      <c r="C319" s="54"/>
      <c r="D319" s="54"/>
      <c r="E319" s="55"/>
      <c r="F319" s="57"/>
      <c r="G319" s="57"/>
      <c r="H319" s="54">
        <f t="shared" si="26"/>
        <v>0</v>
      </c>
      <c r="I319" s="58"/>
      <c r="J319" s="54">
        <f t="shared" si="27"/>
        <v>0</v>
      </c>
      <c r="K319" s="57"/>
      <c r="L319" s="54">
        <f t="shared" si="28"/>
        <v>0</v>
      </c>
      <c r="Q319" s="139">
        <f t="shared" si="29"/>
        <v>0</v>
      </c>
    </row>
    <row r="320" spans="1:17" hidden="1" x14ac:dyDescent="0.3">
      <c r="A320" s="54"/>
      <c r="B320" s="54"/>
      <c r="C320" s="54"/>
      <c r="D320" s="54"/>
      <c r="E320" s="55"/>
      <c r="F320" s="57"/>
      <c r="G320" s="57"/>
      <c r="H320" s="54">
        <f t="shared" si="26"/>
        <v>0</v>
      </c>
      <c r="I320" s="58"/>
      <c r="J320" s="54">
        <f t="shared" si="27"/>
        <v>0</v>
      </c>
      <c r="K320" s="57"/>
      <c r="L320" s="54">
        <f t="shared" si="28"/>
        <v>0</v>
      </c>
      <c r="Q320" s="139">
        <f t="shared" si="29"/>
        <v>0</v>
      </c>
    </row>
    <row r="321" spans="1:17" hidden="1" x14ac:dyDescent="0.3">
      <c r="A321" s="54" t="s">
        <v>808</v>
      </c>
      <c r="B321" s="54"/>
      <c r="C321" s="54">
        <f>12000*12170</f>
        <v>146040000</v>
      </c>
      <c r="D321" s="54" t="s">
        <v>809</v>
      </c>
      <c r="E321" s="55" t="s">
        <v>810</v>
      </c>
      <c r="F321" s="57">
        <v>19080</v>
      </c>
      <c r="G321" s="57">
        <v>9560</v>
      </c>
      <c r="H321" s="54">
        <f t="shared" si="26"/>
        <v>9520</v>
      </c>
      <c r="I321" s="58">
        <v>2.4</v>
      </c>
      <c r="J321" s="54">
        <f t="shared" si="27"/>
        <v>9291.52</v>
      </c>
      <c r="K321" s="57">
        <v>3350</v>
      </c>
      <c r="L321" s="54">
        <f t="shared" si="28"/>
        <v>31126592</v>
      </c>
      <c r="P321" s="139">
        <v>30660000</v>
      </c>
      <c r="Q321" s="139">
        <f t="shared" si="29"/>
        <v>466592</v>
      </c>
    </row>
    <row r="322" spans="1:17" hidden="1" x14ac:dyDescent="0.3">
      <c r="A322" s="54"/>
      <c r="B322" s="54"/>
      <c r="C322" s="54"/>
      <c r="D322" s="54"/>
      <c r="E322" s="55" t="s">
        <v>811</v>
      </c>
      <c r="F322" s="57">
        <v>21340</v>
      </c>
      <c r="G322" s="57">
        <v>10060</v>
      </c>
      <c r="H322" s="54">
        <f t="shared" si="26"/>
        <v>11280</v>
      </c>
      <c r="I322" s="58">
        <v>2</v>
      </c>
      <c r="J322" s="54">
        <f t="shared" si="27"/>
        <v>11054.4</v>
      </c>
      <c r="K322" s="57">
        <v>3350</v>
      </c>
      <c r="L322" s="54">
        <f t="shared" si="28"/>
        <v>37032240</v>
      </c>
      <c r="P322" s="139">
        <v>36479000</v>
      </c>
      <c r="Q322" s="139">
        <f t="shared" si="29"/>
        <v>553240</v>
      </c>
    </row>
    <row r="323" spans="1:17" hidden="1" x14ac:dyDescent="0.3">
      <c r="A323" s="54"/>
      <c r="B323" s="54"/>
      <c r="C323" s="54"/>
      <c r="D323" s="54"/>
      <c r="E323" s="55"/>
      <c r="F323" s="57"/>
      <c r="G323" s="57"/>
      <c r="H323" s="54">
        <f t="shared" si="26"/>
        <v>0</v>
      </c>
      <c r="I323" s="58"/>
      <c r="J323" s="54">
        <f t="shared" si="27"/>
        <v>0</v>
      </c>
      <c r="K323" s="57"/>
      <c r="L323" s="54">
        <f t="shared" si="28"/>
        <v>0</v>
      </c>
      <c r="Q323" s="139">
        <f t="shared" si="29"/>
        <v>0</v>
      </c>
    </row>
    <row r="324" spans="1:17" hidden="1" x14ac:dyDescent="0.3">
      <c r="A324" s="54" t="s">
        <v>816</v>
      </c>
      <c r="B324" s="54"/>
      <c r="C324" s="54"/>
      <c r="D324" s="54"/>
      <c r="E324" s="55" t="s">
        <v>817</v>
      </c>
      <c r="F324" s="57">
        <v>13300</v>
      </c>
      <c r="G324" s="57">
        <v>4960</v>
      </c>
      <c r="H324" s="54">
        <f t="shared" si="26"/>
        <v>8340</v>
      </c>
      <c r="I324" s="58">
        <v>2.4</v>
      </c>
      <c r="J324" s="54">
        <f t="shared" si="27"/>
        <v>8139.84</v>
      </c>
      <c r="K324" s="57">
        <v>3600</v>
      </c>
      <c r="L324" s="54">
        <f t="shared" si="28"/>
        <v>29303424</v>
      </c>
      <c r="P324" s="139">
        <v>28900000</v>
      </c>
      <c r="Q324" s="139">
        <f t="shared" si="29"/>
        <v>403424</v>
      </c>
    </row>
    <row r="325" spans="1:17" hidden="1" x14ac:dyDescent="0.3">
      <c r="A325" s="54"/>
      <c r="B325" s="54"/>
      <c r="C325" s="54"/>
      <c r="D325" s="54"/>
      <c r="E325" s="55" t="s">
        <v>729</v>
      </c>
      <c r="F325" s="57">
        <v>24960</v>
      </c>
      <c r="G325" s="57">
        <v>14880</v>
      </c>
      <c r="H325" s="54">
        <f t="shared" si="26"/>
        <v>10080</v>
      </c>
      <c r="I325" s="58">
        <v>2.1</v>
      </c>
      <c r="J325" s="54">
        <f t="shared" si="27"/>
        <v>9868.32</v>
      </c>
      <c r="K325" s="57">
        <v>3350</v>
      </c>
      <c r="L325" s="54">
        <f t="shared" si="28"/>
        <v>33058872</v>
      </c>
      <c r="P325" s="139">
        <v>32565000</v>
      </c>
      <c r="Q325" s="139">
        <f t="shared" si="29"/>
        <v>493872</v>
      </c>
    </row>
    <row r="326" spans="1:17" hidden="1" x14ac:dyDescent="0.3">
      <c r="A326" s="54"/>
      <c r="B326" s="54"/>
      <c r="C326" s="54"/>
      <c r="D326" s="54"/>
      <c r="E326" s="55" t="s">
        <v>330</v>
      </c>
      <c r="F326" s="57">
        <v>25640</v>
      </c>
      <c r="G326" s="57">
        <v>12880</v>
      </c>
      <c r="H326" s="54">
        <f t="shared" si="26"/>
        <v>12760</v>
      </c>
      <c r="I326" s="58">
        <v>1</v>
      </c>
      <c r="J326" s="54">
        <f t="shared" si="27"/>
        <v>12632.4</v>
      </c>
      <c r="K326" s="57">
        <v>3850</v>
      </c>
      <c r="L326" s="54">
        <f t="shared" si="28"/>
        <v>48634740</v>
      </c>
      <c r="P326" s="139">
        <v>48003000</v>
      </c>
      <c r="Q326" s="139">
        <f t="shared" si="29"/>
        <v>631740</v>
      </c>
    </row>
    <row r="327" spans="1:17" hidden="1" x14ac:dyDescent="0.3">
      <c r="A327" s="54"/>
      <c r="B327" s="54"/>
      <c r="C327" s="54"/>
      <c r="D327" s="54"/>
      <c r="E327" s="55"/>
      <c r="F327" s="57"/>
      <c r="G327" s="57"/>
      <c r="H327" s="54">
        <f t="shared" si="26"/>
        <v>0</v>
      </c>
      <c r="I327" s="58"/>
      <c r="J327" s="54">
        <f t="shared" si="27"/>
        <v>0</v>
      </c>
      <c r="K327" s="57"/>
      <c r="L327" s="54">
        <f t="shared" si="28"/>
        <v>0</v>
      </c>
      <c r="Q327" s="139">
        <f t="shared" si="29"/>
        <v>0</v>
      </c>
    </row>
    <row r="328" spans="1:17" hidden="1" x14ac:dyDescent="0.3">
      <c r="A328" s="54" t="s">
        <v>819</v>
      </c>
      <c r="B328" s="177"/>
      <c r="C328" s="180">
        <v>2000000</v>
      </c>
      <c r="D328" s="180" t="s">
        <v>820</v>
      </c>
      <c r="E328" s="55" t="s">
        <v>821</v>
      </c>
      <c r="F328" s="57">
        <v>27460</v>
      </c>
      <c r="G328" s="57">
        <v>11980</v>
      </c>
      <c r="H328" s="54">
        <f t="shared" si="26"/>
        <v>15480</v>
      </c>
      <c r="I328" s="58">
        <v>2</v>
      </c>
      <c r="J328" s="54">
        <f t="shared" si="27"/>
        <v>15170.4</v>
      </c>
      <c r="K328" s="57">
        <v>3350</v>
      </c>
      <c r="L328" s="54">
        <f t="shared" si="28"/>
        <v>50820840</v>
      </c>
      <c r="P328" s="139">
        <v>48500000</v>
      </c>
      <c r="Q328" s="139">
        <f t="shared" si="29"/>
        <v>2320840</v>
      </c>
    </row>
    <row r="329" spans="1:17" hidden="1" x14ac:dyDescent="0.3">
      <c r="A329" s="54"/>
      <c r="B329" s="54"/>
      <c r="C329" s="54">
        <v>300000</v>
      </c>
      <c r="D329" s="54" t="s">
        <v>823</v>
      </c>
      <c r="E329" s="55" t="s">
        <v>822</v>
      </c>
      <c r="F329" s="57">
        <v>16780</v>
      </c>
      <c r="G329" s="57">
        <v>9000</v>
      </c>
      <c r="H329" s="54">
        <f t="shared" si="26"/>
        <v>7780</v>
      </c>
      <c r="I329" s="58">
        <v>2</v>
      </c>
      <c r="J329" s="54">
        <f t="shared" si="27"/>
        <v>7624.4</v>
      </c>
      <c r="K329" s="57">
        <v>3350</v>
      </c>
      <c r="L329" s="54">
        <f t="shared" si="28"/>
        <v>25541740</v>
      </c>
      <c r="P329" s="139">
        <v>24700000</v>
      </c>
      <c r="Q329" s="139">
        <f t="shared" si="29"/>
        <v>841740</v>
      </c>
    </row>
    <row r="330" spans="1:17" hidden="1" x14ac:dyDescent="0.3">
      <c r="A330" s="54"/>
      <c r="B330" s="54"/>
      <c r="C330" s="54"/>
      <c r="D330" s="54"/>
      <c r="E330" s="55" t="s">
        <v>824</v>
      </c>
      <c r="F330" s="57">
        <v>25890</v>
      </c>
      <c r="G330" s="57">
        <v>12880</v>
      </c>
      <c r="H330" s="54">
        <f t="shared" si="26"/>
        <v>13010</v>
      </c>
      <c r="I330" s="58">
        <v>2</v>
      </c>
      <c r="J330" s="54">
        <f t="shared" si="27"/>
        <v>12749.8</v>
      </c>
      <c r="K330" s="57">
        <v>3350</v>
      </c>
      <c r="L330" s="54">
        <f t="shared" si="28"/>
        <v>42711830</v>
      </c>
      <c r="P330" s="139">
        <v>41645000</v>
      </c>
      <c r="Q330" s="139">
        <f t="shared" si="29"/>
        <v>1066830</v>
      </c>
    </row>
    <row r="331" spans="1:17" hidden="1" x14ac:dyDescent="0.3">
      <c r="A331" s="54"/>
      <c r="B331" s="54"/>
      <c r="C331" s="54"/>
      <c r="D331" s="54"/>
      <c r="E331" s="55"/>
      <c r="F331" s="57"/>
      <c r="G331" s="57"/>
      <c r="H331" s="54">
        <f t="shared" si="26"/>
        <v>0</v>
      </c>
      <c r="I331" s="58"/>
      <c r="J331" s="54">
        <f t="shared" si="27"/>
        <v>0</v>
      </c>
      <c r="K331" s="57"/>
      <c r="L331" s="54">
        <f t="shared" si="28"/>
        <v>0</v>
      </c>
      <c r="Q331" s="139">
        <f t="shared" si="29"/>
        <v>0</v>
      </c>
    </row>
    <row r="332" spans="1:17" hidden="1" x14ac:dyDescent="0.3">
      <c r="A332" s="54"/>
      <c r="B332" s="54"/>
      <c r="C332" s="54">
        <v>1200000</v>
      </c>
      <c r="D332" s="54" t="s">
        <v>829</v>
      </c>
      <c r="E332" s="55"/>
      <c r="F332" s="57"/>
      <c r="G332" s="57"/>
      <c r="H332" s="54">
        <f t="shared" si="26"/>
        <v>0</v>
      </c>
      <c r="I332" s="58"/>
      <c r="J332" s="54">
        <f t="shared" si="27"/>
        <v>0</v>
      </c>
      <c r="K332" s="57"/>
      <c r="L332" s="54">
        <f t="shared" si="28"/>
        <v>0</v>
      </c>
      <c r="Q332" s="139">
        <f t="shared" si="29"/>
        <v>0</v>
      </c>
    </row>
    <row r="333" spans="1:17" hidden="1" x14ac:dyDescent="0.3">
      <c r="A333" s="54" t="s">
        <v>828</v>
      </c>
      <c r="B333" s="54"/>
      <c r="C333" s="54">
        <f>13000*12170</f>
        <v>158210000</v>
      </c>
      <c r="D333" s="54" t="s">
        <v>833</v>
      </c>
      <c r="E333" s="55" t="s">
        <v>830</v>
      </c>
      <c r="F333" s="57">
        <v>19550</v>
      </c>
      <c r="G333" s="57">
        <v>9400</v>
      </c>
      <c r="H333" s="54">
        <f t="shared" si="26"/>
        <v>10150</v>
      </c>
      <c r="I333" s="58">
        <v>2</v>
      </c>
      <c r="J333" s="54">
        <f t="shared" si="27"/>
        <v>9947</v>
      </c>
      <c r="K333" s="57">
        <v>3350</v>
      </c>
      <c r="L333" s="54">
        <f t="shared" si="28"/>
        <v>33322450</v>
      </c>
      <c r="P333" s="139">
        <v>32490000</v>
      </c>
      <c r="Q333" s="139">
        <f t="shared" si="29"/>
        <v>832450</v>
      </c>
    </row>
    <row r="334" spans="1:17" hidden="1" x14ac:dyDescent="0.3">
      <c r="A334" s="54"/>
      <c r="B334" s="54"/>
      <c r="C334" s="54"/>
      <c r="D334" s="180" t="s">
        <v>831</v>
      </c>
      <c r="E334" s="55" t="s">
        <v>832</v>
      </c>
      <c r="F334" s="57">
        <v>23030</v>
      </c>
      <c r="G334" s="57">
        <v>9910</v>
      </c>
      <c r="H334" s="54">
        <f t="shared" si="26"/>
        <v>13120</v>
      </c>
      <c r="I334" s="58">
        <v>1</v>
      </c>
      <c r="J334" s="54">
        <f t="shared" si="27"/>
        <v>12988.8</v>
      </c>
      <c r="K334" s="57">
        <v>3650</v>
      </c>
      <c r="L334" s="54">
        <f t="shared" si="28"/>
        <v>47409120</v>
      </c>
      <c r="P334" s="139">
        <v>47409110</v>
      </c>
      <c r="Q334" s="139">
        <f t="shared" si="29"/>
        <v>10</v>
      </c>
    </row>
    <row r="335" spans="1:17" hidden="1" x14ac:dyDescent="0.3">
      <c r="A335" s="54"/>
      <c r="B335" s="54"/>
      <c r="C335" s="54"/>
      <c r="D335" s="54"/>
      <c r="E335" s="55"/>
      <c r="F335" s="57"/>
      <c r="G335" s="57"/>
      <c r="H335" s="54">
        <f t="shared" si="26"/>
        <v>0</v>
      </c>
      <c r="I335" s="58"/>
      <c r="J335" s="54">
        <f t="shared" si="27"/>
        <v>0</v>
      </c>
      <c r="K335" s="57"/>
      <c r="L335" s="54">
        <f t="shared" si="28"/>
        <v>0</v>
      </c>
      <c r="P335" s="139">
        <v>0</v>
      </c>
      <c r="Q335" s="139">
        <f t="shared" si="29"/>
        <v>0</v>
      </c>
    </row>
    <row r="336" spans="1:17" hidden="1" x14ac:dyDescent="0.3">
      <c r="A336" s="54"/>
      <c r="B336" s="54"/>
      <c r="C336" s="54"/>
      <c r="D336" s="54"/>
      <c r="E336" s="55"/>
      <c r="F336" s="57"/>
      <c r="G336" s="57"/>
      <c r="H336" s="54">
        <f t="shared" si="26"/>
        <v>0</v>
      </c>
      <c r="I336" s="58"/>
      <c r="J336" s="54">
        <f t="shared" si="27"/>
        <v>0</v>
      </c>
      <c r="K336" s="57"/>
      <c r="L336" s="54">
        <f t="shared" si="28"/>
        <v>0</v>
      </c>
      <c r="Q336" s="139">
        <f t="shared" si="29"/>
        <v>0</v>
      </c>
    </row>
    <row r="337" spans="1:17" hidden="1" x14ac:dyDescent="0.3">
      <c r="A337" s="54"/>
      <c r="B337" s="54"/>
      <c r="C337" s="54"/>
      <c r="D337" s="54"/>
      <c r="E337" s="55"/>
      <c r="F337" s="57"/>
      <c r="G337" s="57"/>
      <c r="H337" s="54">
        <f t="shared" si="26"/>
        <v>0</v>
      </c>
      <c r="I337" s="58"/>
      <c r="J337" s="54">
        <f t="shared" si="27"/>
        <v>0</v>
      </c>
      <c r="K337" s="57"/>
      <c r="L337" s="54">
        <f t="shared" si="28"/>
        <v>0</v>
      </c>
      <c r="Q337" s="139">
        <f t="shared" si="29"/>
        <v>0</v>
      </c>
    </row>
    <row r="338" spans="1:17" hidden="1" x14ac:dyDescent="0.3">
      <c r="A338" s="54" t="s">
        <v>834</v>
      </c>
      <c r="B338" s="54"/>
      <c r="C338" s="54">
        <v>300000</v>
      </c>
      <c r="D338" s="54" t="s">
        <v>836</v>
      </c>
      <c r="E338" s="55" t="s">
        <v>835</v>
      </c>
      <c r="F338" s="57">
        <v>23020</v>
      </c>
      <c r="G338" s="57">
        <v>13190</v>
      </c>
      <c r="H338" s="54">
        <f t="shared" si="26"/>
        <v>9830</v>
      </c>
      <c r="I338" s="58">
        <v>2</v>
      </c>
      <c r="J338" s="54">
        <f t="shared" si="27"/>
        <v>9633.4</v>
      </c>
      <c r="K338" s="57">
        <v>3350</v>
      </c>
      <c r="L338" s="54">
        <f t="shared" si="28"/>
        <v>32271890</v>
      </c>
      <c r="P338" s="139">
        <v>30630000</v>
      </c>
      <c r="Q338" s="139">
        <f t="shared" si="29"/>
        <v>1641890</v>
      </c>
    </row>
    <row r="339" spans="1:17" hidden="1" x14ac:dyDescent="0.3">
      <c r="A339" s="54"/>
      <c r="B339" s="54"/>
      <c r="C339" s="54"/>
      <c r="D339" s="180" t="s">
        <v>831</v>
      </c>
      <c r="E339" s="55" t="s">
        <v>837</v>
      </c>
      <c r="F339" s="57">
        <v>21000</v>
      </c>
      <c r="G339" s="57">
        <v>9800</v>
      </c>
      <c r="H339" s="54">
        <f t="shared" si="26"/>
        <v>11200</v>
      </c>
      <c r="I339" s="58">
        <v>1</v>
      </c>
      <c r="J339" s="54">
        <f t="shared" si="27"/>
        <v>11088</v>
      </c>
      <c r="K339" s="57">
        <v>3650</v>
      </c>
      <c r="L339" s="54">
        <f t="shared" si="28"/>
        <v>40471200</v>
      </c>
      <c r="P339" s="139">
        <v>40471000</v>
      </c>
      <c r="Q339" s="139">
        <f t="shared" si="29"/>
        <v>200</v>
      </c>
    </row>
    <row r="340" spans="1:17" hidden="1" x14ac:dyDescent="0.3">
      <c r="A340" s="54"/>
      <c r="B340" s="54"/>
      <c r="C340" s="54"/>
      <c r="D340" s="180" t="s">
        <v>831</v>
      </c>
      <c r="E340" s="55" t="s">
        <v>838</v>
      </c>
      <c r="F340" s="57">
        <v>25580</v>
      </c>
      <c r="G340" s="57">
        <v>13940</v>
      </c>
      <c r="H340" s="54">
        <f t="shared" si="26"/>
        <v>11640</v>
      </c>
      <c r="I340" s="58">
        <v>1</v>
      </c>
      <c r="J340" s="54">
        <f t="shared" si="27"/>
        <v>11523.6</v>
      </c>
      <c r="K340" s="57">
        <v>3650</v>
      </c>
      <c r="L340" s="54">
        <f t="shared" si="28"/>
        <v>42061140</v>
      </c>
      <c r="P340" s="139">
        <v>42061000</v>
      </c>
      <c r="Q340" s="139">
        <f t="shared" si="29"/>
        <v>140</v>
      </c>
    </row>
    <row r="341" spans="1:17" hidden="1" x14ac:dyDescent="0.3">
      <c r="A341" s="54"/>
      <c r="B341" s="54"/>
      <c r="C341" s="54"/>
      <c r="D341" s="54"/>
      <c r="E341" s="55" t="s">
        <v>330</v>
      </c>
      <c r="F341" s="57">
        <v>24190</v>
      </c>
      <c r="G341" s="57">
        <v>12870</v>
      </c>
      <c r="H341" s="54">
        <f t="shared" si="26"/>
        <v>11320</v>
      </c>
      <c r="I341" s="58">
        <v>1</v>
      </c>
      <c r="J341" s="54">
        <f t="shared" si="27"/>
        <v>11206.8</v>
      </c>
      <c r="K341" s="57">
        <v>3850</v>
      </c>
      <c r="L341" s="54">
        <f t="shared" si="28"/>
        <v>43146180</v>
      </c>
      <c r="P341" s="139">
        <v>42585000</v>
      </c>
      <c r="Q341" s="139">
        <f t="shared" si="29"/>
        <v>561180</v>
      </c>
    </row>
    <row r="342" spans="1:17" hidden="1" x14ac:dyDescent="0.3">
      <c r="A342" s="54"/>
      <c r="B342" s="54"/>
      <c r="C342" s="54"/>
      <c r="D342" s="54"/>
      <c r="E342" s="55"/>
      <c r="F342" s="57"/>
      <c r="G342" s="57"/>
      <c r="H342" s="54">
        <f t="shared" si="26"/>
        <v>0</v>
      </c>
      <c r="I342" s="58"/>
      <c r="J342" s="54">
        <f t="shared" si="27"/>
        <v>0</v>
      </c>
      <c r="K342" s="57"/>
      <c r="L342" s="54">
        <f t="shared" si="28"/>
        <v>0</v>
      </c>
      <c r="Q342" s="139">
        <f t="shared" si="29"/>
        <v>0</v>
      </c>
    </row>
    <row r="343" spans="1:17" hidden="1" x14ac:dyDescent="0.3">
      <c r="A343" s="54"/>
      <c r="B343" s="54"/>
      <c r="C343" s="54">
        <f>14000*12200</f>
        <v>170800000</v>
      </c>
      <c r="D343" s="54" t="s">
        <v>841</v>
      </c>
      <c r="E343" s="55"/>
      <c r="F343" s="57"/>
      <c r="G343" s="57"/>
      <c r="H343" s="54">
        <f t="shared" si="26"/>
        <v>0</v>
      </c>
      <c r="I343" s="58"/>
      <c r="J343" s="54">
        <f t="shared" si="27"/>
        <v>0</v>
      </c>
      <c r="K343" s="57"/>
      <c r="L343" s="54">
        <f t="shared" si="28"/>
        <v>0</v>
      </c>
      <c r="M343" s="9"/>
      <c r="Q343" s="139">
        <f t="shared" si="29"/>
        <v>0</v>
      </c>
    </row>
    <row r="344" spans="1:17" hidden="1" x14ac:dyDescent="0.3">
      <c r="A344" s="54" t="s">
        <v>840</v>
      </c>
      <c r="B344" s="54"/>
      <c r="C344" s="54">
        <v>400000</v>
      </c>
      <c r="D344" s="54" t="s">
        <v>843</v>
      </c>
      <c r="E344" s="55" t="s">
        <v>842</v>
      </c>
      <c r="F344" s="57">
        <v>17100</v>
      </c>
      <c r="G344" s="57">
        <v>10200</v>
      </c>
      <c r="H344" s="54">
        <f t="shared" si="26"/>
        <v>6900</v>
      </c>
      <c r="I344" s="58">
        <v>2</v>
      </c>
      <c r="J344" s="54">
        <f t="shared" si="27"/>
        <v>6762</v>
      </c>
      <c r="K344" s="57">
        <v>3350</v>
      </c>
      <c r="L344" s="54">
        <f t="shared" si="28"/>
        <v>22652700</v>
      </c>
      <c r="M344" s="9"/>
      <c r="P344" s="139">
        <v>22000000</v>
      </c>
      <c r="Q344" s="139">
        <f t="shared" si="29"/>
        <v>652700</v>
      </c>
    </row>
    <row r="345" spans="1:17" hidden="1" x14ac:dyDescent="0.3">
      <c r="A345" s="54"/>
      <c r="B345" s="54"/>
      <c r="C345" s="54"/>
      <c r="D345" s="54"/>
      <c r="E345" s="55" t="s">
        <v>440</v>
      </c>
      <c r="F345" s="57">
        <v>12180</v>
      </c>
      <c r="G345" s="57">
        <v>4900</v>
      </c>
      <c r="H345" s="54">
        <f t="shared" si="26"/>
        <v>7280</v>
      </c>
      <c r="I345" s="58">
        <v>2</v>
      </c>
      <c r="J345" s="54">
        <f t="shared" si="27"/>
        <v>7134.4</v>
      </c>
      <c r="K345" s="57">
        <v>3600</v>
      </c>
      <c r="L345" s="54">
        <f t="shared" si="28"/>
        <v>25683840</v>
      </c>
      <c r="P345" s="139">
        <v>25068680</v>
      </c>
      <c r="Q345" s="139">
        <f t="shared" si="29"/>
        <v>615160</v>
      </c>
    </row>
    <row r="346" spans="1:17" hidden="1" x14ac:dyDescent="0.3">
      <c r="A346" s="54"/>
      <c r="B346" s="54"/>
      <c r="C346" s="54"/>
      <c r="D346" s="54"/>
      <c r="E346" s="55" t="s">
        <v>844</v>
      </c>
      <c r="F346" s="57">
        <v>22640</v>
      </c>
      <c r="G346" s="57">
        <v>12930</v>
      </c>
      <c r="H346" s="54">
        <f t="shared" si="26"/>
        <v>9710</v>
      </c>
      <c r="I346" s="58">
        <v>2</v>
      </c>
      <c r="J346" s="54">
        <f t="shared" si="27"/>
        <v>9515.7999999999993</v>
      </c>
      <c r="K346" s="57">
        <v>3350</v>
      </c>
      <c r="L346" s="54">
        <f t="shared" si="28"/>
        <v>31877929.999999996</v>
      </c>
      <c r="P346" s="139">
        <v>31081710</v>
      </c>
      <c r="Q346" s="139">
        <f t="shared" si="29"/>
        <v>796219.99999999627</v>
      </c>
    </row>
    <row r="347" spans="1:17" hidden="1" x14ac:dyDescent="0.3">
      <c r="A347" s="54" t="s">
        <v>847</v>
      </c>
      <c r="B347" s="54"/>
      <c r="C347" s="54">
        <f>12000*12170</f>
        <v>146040000</v>
      </c>
      <c r="D347" s="54" t="s">
        <v>848</v>
      </c>
      <c r="E347" s="55" t="s">
        <v>729</v>
      </c>
      <c r="F347" s="57">
        <v>24910</v>
      </c>
      <c r="G347" s="57">
        <v>14680</v>
      </c>
      <c r="H347" s="54">
        <f t="shared" ref="H347:H410" si="33">+F347-G347</f>
        <v>10230</v>
      </c>
      <c r="I347" s="58">
        <v>2</v>
      </c>
      <c r="J347" s="54">
        <f t="shared" ref="J347:J410" si="34">+H347-H347*I347/100</f>
        <v>10025.4</v>
      </c>
      <c r="K347" s="57">
        <v>3350</v>
      </c>
      <c r="L347" s="54">
        <f t="shared" ref="L347:L410" si="35">+J347*K347</f>
        <v>33585090</v>
      </c>
      <c r="P347" s="139">
        <v>32746000</v>
      </c>
      <c r="Q347" s="139">
        <f t="shared" si="29"/>
        <v>839090</v>
      </c>
    </row>
    <row r="348" spans="1:17" hidden="1" x14ac:dyDescent="0.3">
      <c r="A348" s="54"/>
      <c r="B348" s="54"/>
      <c r="C348" s="54">
        <v>442000</v>
      </c>
      <c r="D348" s="54" t="s">
        <v>849</v>
      </c>
      <c r="E348" s="55" t="s">
        <v>850</v>
      </c>
      <c r="F348" s="57">
        <v>24460</v>
      </c>
      <c r="G348" s="57">
        <v>12920</v>
      </c>
      <c r="H348" s="54">
        <f t="shared" si="33"/>
        <v>11540</v>
      </c>
      <c r="I348" s="58">
        <v>1</v>
      </c>
      <c r="J348" s="54">
        <f t="shared" si="34"/>
        <v>11424.6</v>
      </c>
      <c r="K348" s="57">
        <v>3850</v>
      </c>
      <c r="L348" s="54">
        <f t="shared" si="35"/>
        <v>43984710</v>
      </c>
      <c r="P348" s="139">
        <v>43400000</v>
      </c>
      <c r="Q348" s="139">
        <f t="shared" ref="Q348:Q411" si="36">+L348-P348</f>
        <v>584710</v>
      </c>
    </row>
    <row r="349" spans="1:17" hidden="1" x14ac:dyDescent="0.3">
      <c r="A349" s="54"/>
      <c r="B349" s="54"/>
      <c r="C349" s="54"/>
      <c r="D349" s="54"/>
      <c r="E349" s="55" t="s">
        <v>850</v>
      </c>
      <c r="F349" s="57">
        <v>16240</v>
      </c>
      <c r="G349" s="57">
        <v>13030</v>
      </c>
      <c r="H349" s="54">
        <f t="shared" si="33"/>
        <v>3210</v>
      </c>
      <c r="I349" s="58">
        <v>1</v>
      </c>
      <c r="J349" s="54">
        <f t="shared" si="34"/>
        <v>3177.9</v>
      </c>
      <c r="K349" s="57">
        <v>3830</v>
      </c>
      <c r="L349" s="54">
        <f t="shared" si="35"/>
        <v>12171357</v>
      </c>
      <c r="P349" s="139">
        <v>12000000</v>
      </c>
      <c r="Q349" s="139">
        <f t="shared" si="36"/>
        <v>171357</v>
      </c>
    </row>
    <row r="350" spans="1:17" hidden="1" x14ac:dyDescent="0.3">
      <c r="B350" s="54"/>
      <c r="C350" s="54"/>
      <c r="D350" s="54"/>
      <c r="E350" s="55"/>
      <c r="F350" s="57"/>
      <c r="G350" s="57"/>
      <c r="H350" s="54">
        <f t="shared" si="33"/>
        <v>0</v>
      </c>
      <c r="I350" s="58"/>
      <c r="J350" s="54">
        <f t="shared" si="34"/>
        <v>0</v>
      </c>
      <c r="K350" s="57"/>
      <c r="L350" s="54">
        <f t="shared" si="35"/>
        <v>0</v>
      </c>
      <c r="Q350" s="139">
        <f t="shared" si="36"/>
        <v>0</v>
      </c>
    </row>
    <row r="351" spans="1:17" hidden="1" x14ac:dyDescent="0.3">
      <c r="A351" s="54"/>
      <c r="B351" s="54"/>
      <c r="C351" s="54"/>
      <c r="D351" s="54"/>
      <c r="E351" s="55"/>
      <c r="F351" s="57"/>
      <c r="G351" s="57"/>
      <c r="H351" s="54">
        <f t="shared" si="33"/>
        <v>0</v>
      </c>
      <c r="I351" s="58"/>
      <c r="J351" s="54">
        <f t="shared" si="34"/>
        <v>0</v>
      </c>
      <c r="K351" s="57"/>
      <c r="L351" s="54">
        <f t="shared" si="35"/>
        <v>0</v>
      </c>
      <c r="Q351" s="139">
        <f t="shared" si="36"/>
        <v>0</v>
      </c>
    </row>
    <row r="352" spans="1:17" hidden="1" x14ac:dyDescent="0.3">
      <c r="A352" s="54" t="s">
        <v>855</v>
      </c>
      <c r="B352" s="54"/>
      <c r="C352" s="54"/>
      <c r="D352" s="54"/>
      <c r="E352" s="55" t="s">
        <v>857</v>
      </c>
      <c r="F352" s="57">
        <v>16340</v>
      </c>
      <c r="G352" s="57">
        <v>9380</v>
      </c>
      <c r="H352" s="54">
        <f t="shared" si="33"/>
        <v>6960</v>
      </c>
      <c r="I352" s="58">
        <v>2</v>
      </c>
      <c r="J352" s="54">
        <f t="shared" si="34"/>
        <v>6820.8</v>
      </c>
      <c r="K352" s="57">
        <v>3350</v>
      </c>
      <c r="L352" s="54">
        <f t="shared" si="35"/>
        <v>22849680</v>
      </c>
      <c r="P352" s="139">
        <v>22280000</v>
      </c>
      <c r="Q352" s="139">
        <f t="shared" si="36"/>
        <v>569680</v>
      </c>
    </row>
    <row r="353" spans="1:17" hidden="1" x14ac:dyDescent="0.3">
      <c r="A353" s="54"/>
      <c r="B353" s="54"/>
      <c r="C353" s="54"/>
      <c r="D353" s="54"/>
      <c r="E353" s="55"/>
      <c r="F353" s="57"/>
      <c r="G353" s="57"/>
      <c r="H353" s="54">
        <f t="shared" si="33"/>
        <v>0</v>
      </c>
      <c r="I353" s="58"/>
      <c r="J353" s="54">
        <f t="shared" si="34"/>
        <v>0</v>
      </c>
      <c r="K353" s="57"/>
      <c r="L353" s="54">
        <f t="shared" si="35"/>
        <v>0</v>
      </c>
      <c r="Q353" s="139">
        <f t="shared" si="36"/>
        <v>0</v>
      </c>
    </row>
    <row r="354" spans="1:17" hidden="1" x14ac:dyDescent="0.3">
      <c r="A354" s="54"/>
      <c r="B354" s="54"/>
      <c r="C354" s="54"/>
      <c r="D354" s="54"/>
      <c r="E354" s="55"/>
      <c r="F354" s="57"/>
      <c r="G354" s="57"/>
      <c r="H354" s="54">
        <f t="shared" si="33"/>
        <v>0</v>
      </c>
      <c r="I354" s="58"/>
      <c r="J354" s="54">
        <f t="shared" si="34"/>
        <v>0</v>
      </c>
      <c r="K354" s="57"/>
      <c r="L354" s="54">
        <f t="shared" si="35"/>
        <v>0</v>
      </c>
      <c r="Q354" s="139">
        <f t="shared" si="36"/>
        <v>0</v>
      </c>
    </row>
    <row r="355" spans="1:17" hidden="1" x14ac:dyDescent="0.3">
      <c r="A355" s="54"/>
      <c r="B355" s="54"/>
      <c r="C355" s="54"/>
      <c r="D355" s="54"/>
      <c r="E355" s="55"/>
      <c r="F355" s="57"/>
      <c r="G355" s="57"/>
      <c r="H355" s="54">
        <f t="shared" si="33"/>
        <v>0</v>
      </c>
      <c r="I355" s="58"/>
      <c r="J355" s="54">
        <f t="shared" si="34"/>
        <v>0</v>
      </c>
      <c r="K355" s="57"/>
      <c r="L355" s="54">
        <f t="shared" si="35"/>
        <v>0</v>
      </c>
      <c r="Q355" s="139">
        <f t="shared" si="36"/>
        <v>0</v>
      </c>
    </row>
    <row r="356" spans="1:17" hidden="1" x14ac:dyDescent="0.3">
      <c r="A356" s="54" t="s">
        <v>860</v>
      </c>
      <c r="B356" s="54"/>
      <c r="C356" s="54"/>
      <c r="D356" s="54"/>
      <c r="E356" s="55" t="s">
        <v>861</v>
      </c>
      <c r="F356" s="57">
        <v>15850</v>
      </c>
      <c r="G356" s="57">
        <v>9000</v>
      </c>
      <c r="H356" s="54">
        <f t="shared" si="33"/>
        <v>6850</v>
      </c>
      <c r="I356" s="58">
        <v>2</v>
      </c>
      <c r="J356" s="54">
        <f t="shared" si="34"/>
        <v>6713</v>
      </c>
      <c r="K356" s="57">
        <v>3350</v>
      </c>
      <c r="L356" s="54">
        <f t="shared" si="35"/>
        <v>22488550</v>
      </c>
      <c r="P356" s="139">
        <v>21372000</v>
      </c>
      <c r="Q356" s="139">
        <f t="shared" si="36"/>
        <v>1116550</v>
      </c>
    </row>
    <row r="357" spans="1:17" hidden="1" x14ac:dyDescent="0.3">
      <c r="A357" s="54"/>
      <c r="B357" s="54"/>
      <c r="C357" s="54"/>
      <c r="D357" s="54"/>
      <c r="E357" s="55"/>
      <c r="F357" s="57"/>
      <c r="G357" s="57"/>
      <c r="H357" s="54">
        <f t="shared" si="33"/>
        <v>0</v>
      </c>
      <c r="I357" s="58"/>
      <c r="J357" s="54">
        <f t="shared" si="34"/>
        <v>0</v>
      </c>
      <c r="K357" s="57"/>
      <c r="L357" s="54">
        <f t="shared" si="35"/>
        <v>0</v>
      </c>
      <c r="Q357" s="139">
        <f t="shared" si="36"/>
        <v>0</v>
      </c>
    </row>
    <row r="358" spans="1:17" hidden="1" x14ac:dyDescent="0.3">
      <c r="A358" s="54"/>
      <c r="B358" s="54"/>
      <c r="C358" s="54"/>
      <c r="D358" s="54"/>
      <c r="E358" s="55"/>
      <c r="F358" s="57"/>
      <c r="G358" s="57"/>
      <c r="H358" s="54">
        <f t="shared" si="33"/>
        <v>0</v>
      </c>
      <c r="I358" s="58"/>
      <c r="J358" s="54">
        <f t="shared" si="34"/>
        <v>0</v>
      </c>
      <c r="K358" s="57"/>
      <c r="L358" s="54">
        <f t="shared" si="35"/>
        <v>0</v>
      </c>
      <c r="Q358" s="139">
        <f t="shared" si="36"/>
        <v>0</v>
      </c>
    </row>
    <row r="359" spans="1:17" hidden="1" x14ac:dyDescent="0.3">
      <c r="A359" s="54"/>
      <c r="B359" s="54"/>
      <c r="C359" s="54"/>
      <c r="D359" s="54"/>
      <c r="E359" s="55"/>
      <c r="F359" s="57"/>
      <c r="G359" s="57"/>
      <c r="H359" s="54">
        <f t="shared" si="33"/>
        <v>0</v>
      </c>
      <c r="I359" s="58"/>
      <c r="J359" s="54">
        <f t="shared" si="34"/>
        <v>0</v>
      </c>
      <c r="K359" s="57"/>
      <c r="L359" s="54">
        <f t="shared" si="35"/>
        <v>0</v>
      </c>
      <c r="Q359" s="139">
        <f t="shared" si="36"/>
        <v>0</v>
      </c>
    </row>
    <row r="360" spans="1:17" hidden="1" x14ac:dyDescent="0.3">
      <c r="A360" s="54"/>
      <c r="B360" s="54"/>
      <c r="C360" s="54"/>
      <c r="D360" s="54"/>
      <c r="E360" s="55"/>
      <c r="F360" s="57"/>
      <c r="G360" s="57"/>
      <c r="H360" s="54">
        <f t="shared" si="33"/>
        <v>0</v>
      </c>
      <c r="I360" s="58"/>
      <c r="J360" s="54">
        <f t="shared" si="34"/>
        <v>0</v>
      </c>
      <c r="K360" s="57"/>
      <c r="L360" s="54">
        <f t="shared" si="35"/>
        <v>0</v>
      </c>
      <c r="Q360" s="139">
        <f t="shared" si="36"/>
        <v>0</v>
      </c>
    </row>
    <row r="361" spans="1:17" hidden="1" x14ac:dyDescent="0.3">
      <c r="A361" s="54" t="s">
        <v>872</v>
      </c>
      <c r="B361" s="54"/>
      <c r="C361" s="54"/>
      <c r="D361" s="54"/>
      <c r="E361" s="55" t="s">
        <v>873</v>
      </c>
      <c r="F361" s="57">
        <v>11020</v>
      </c>
      <c r="G361" s="57">
        <v>4870</v>
      </c>
      <c r="H361" s="54">
        <f t="shared" si="33"/>
        <v>6150</v>
      </c>
      <c r="I361" s="58">
        <v>2</v>
      </c>
      <c r="J361" s="54">
        <f t="shared" si="34"/>
        <v>6027</v>
      </c>
      <c r="K361" s="57">
        <v>3600</v>
      </c>
      <c r="L361" s="54">
        <f t="shared" si="35"/>
        <v>21697200</v>
      </c>
      <c r="P361" s="139">
        <v>21177000</v>
      </c>
      <c r="Q361" s="139">
        <f t="shared" si="36"/>
        <v>520200</v>
      </c>
    </row>
    <row r="362" spans="1:17" hidden="1" x14ac:dyDescent="0.3">
      <c r="A362" s="54"/>
      <c r="B362" s="54"/>
      <c r="C362" s="54"/>
      <c r="D362" s="54"/>
      <c r="E362" s="55" t="s">
        <v>874</v>
      </c>
      <c r="F362" s="57">
        <v>19760</v>
      </c>
      <c r="G362" s="57">
        <v>9760</v>
      </c>
      <c r="H362" s="54">
        <f t="shared" si="33"/>
        <v>10000</v>
      </c>
      <c r="I362" s="58">
        <v>2.6</v>
      </c>
      <c r="J362" s="54">
        <f t="shared" si="34"/>
        <v>9740</v>
      </c>
      <c r="K362" s="57">
        <v>3350</v>
      </c>
      <c r="L362" s="54">
        <f t="shared" si="35"/>
        <v>32629000</v>
      </c>
      <c r="P362" s="139">
        <v>32202000</v>
      </c>
      <c r="Q362" s="139">
        <f t="shared" si="36"/>
        <v>427000</v>
      </c>
    </row>
    <row r="363" spans="1:17" hidden="1" x14ac:dyDescent="0.3">
      <c r="A363" s="54"/>
      <c r="B363" s="54"/>
      <c r="C363" s="54"/>
      <c r="D363" s="54"/>
      <c r="E363" s="55" t="s">
        <v>875</v>
      </c>
      <c r="F363" s="57">
        <v>25840</v>
      </c>
      <c r="G363" s="57">
        <v>12800</v>
      </c>
      <c r="H363" s="54">
        <f t="shared" si="33"/>
        <v>13040</v>
      </c>
      <c r="I363" s="58">
        <v>2.2000000000000002</v>
      </c>
      <c r="J363" s="54">
        <f t="shared" si="34"/>
        <v>12753.12</v>
      </c>
      <c r="K363" s="57">
        <v>3350</v>
      </c>
      <c r="L363" s="54">
        <f t="shared" si="35"/>
        <v>42722952</v>
      </c>
      <c r="P363" s="139">
        <v>42071000</v>
      </c>
      <c r="Q363" s="139">
        <f t="shared" si="36"/>
        <v>651952</v>
      </c>
    </row>
    <row r="364" spans="1:17" hidden="1" x14ac:dyDescent="0.3">
      <c r="A364" s="54"/>
      <c r="B364" s="54"/>
      <c r="C364" s="54"/>
      <c r="D364" s="54"/>
      <c r="E364" s="55" t="s">
        <v>876</v>
      </c>
      <c r="F364" s="57">
        <v>24080</v>
      </c>
      <c r="G364" s="57">
        <v>12980</v>
      </c>
      <c r="H364" s="54">
        <f t="shared" si="33"/>
        <v>11100</v>
      </c>
      <c r="I364" s="58">
        <v>3</v>
      </c>
      <c r="J364" s="54">
        <f t="shared" si="34"/>
        <v>10767</v>
      </c>
      <c r="K364" s="57">
        <v>3350</v>
      </c>
      <c r="L364" s="54">
        <f t="shared" si="35"/>
        <v>36069450</v>
      </c>
      <c r="P364" s="139">
        <v>35670000</v>
      </c>
      <c r="Q364" s="139">
        <f t="shared" si="36"/>
        <v>399450</v>
      </c>
    </row>
    <row r="365" spans="1:17" hidden="1" x14ac:dyDescent="0.3">
      <c r="A365" s="54"/>
      <c r="B365" s="54"/>
      <c r="C365" s="54"/>
      <c r="D365" s="54"/>
      <c r="E365" s="55"/>
      <c r="F365" s="57"/>
      <c r="G365" s="57"/>
      <c r="H365" s="54">
        <f t="shared" si="33"/>
        <v>0</v>
      </c>
      <c r="I365" s="58"/>
      <c r="J365" s="54">
        <f t="shared" si="34"/>
        <v>0</v>
      </c>
      <c r="K365" s="57"/>
      <c r="L365" s="54">
        <f t="shared" si="35"/>
        <v>0</v>
      </c>
      <c r="Q365" s="139">
        <f t="shared" si="36"/>
        <v>0</v>
      </c>
    </row>
    <row r="366" spans="1:17" hidden="1" x14ac:dyDescent="0.3">
      <c r="A366" s="54"/>
      <c r="B366" s="54"/>
      <c r="C366" s="54"/>
      <c r="D366" s="54"/>
      <c r="E366" s="55"/>
      <c r="F366" s="57"/>
      <c r="G366" s="57"/>
      <c r="H366" s="54">
        <f t="shared" si="33"/>
        <v>0</v>
      </c>
      <c r="I366" s="58"/>
      <c r="J366" s="54">
        <f t="shared" si="34"/>
        <v>0</v>
      </c>
      <c r="K366" s="57"/>
      <c r="L366" s="54">
        <f t="shared" si="35"/>
        <v>0</v>
      </c>
      <c r="Q366" s="139">
        <f t="shared" si="36"/>
        <v>0</v>
      </c>
    </row>
    <row r="367" spans="1:17" hidden="1" x14ac:dyDescent="0.3">
      <c r="A367" s="54" t="s">
        <v>882</v>
      </c>
      <c r="B367" s="54"/>
      <c r="C367" s="54">
        <f>20000*12170</f>
        <v>243400000</v>
      </c>
      <c r="D367" s="54" t="s">
        <v>321</v>
      </c>
      <c r="E367" s="55" t="s">
        <v>883</v>
      </c>
      <c r="F367" s="57">
        <v>19050</v>
      </c>
      <c r="G367" s="57">
        <v>9370</v>
      </c>
      <c r="H367" s="54">
        <f t="shared" si="33"/>
        <v>9680</v>
      </c>
      <c r="I367" s="58">
        <v>2</v>
      </c>
      <c r="J367" s="54">
        <f t="shared" si="34"/>
        <v>9486.4</v>
      </c>
      <c r="K367" s="57">
        <v>3650</v>
      </c>
      <c r="L367" s="54">
        <f t="shared" si="35"/>
        <v>34625360</v>
      </c>
      <c r="P367" s="139">
        <v>32683000</v>
      </c>
      <c r="Q367" s="139">
        <f t="shared" si="36"/>
        <v>1942360</v>
      </c>
    </row>
    <row r="368" spans="1:17" hidden="1" x14ac:dyDescent="0.3">
      <c r="A368" s="54"/>
      <c r="B368" s="54"/>
      <c r="C368" s="54">
        <v>250000</v>
      </c>
      <c r="D368" s="54" t="s">
        <v>884</v>
      </c>
      <c r="E368" s="55" t="s">
        <v>885</v>
      </c>
      <c r="F368" s="57">
        <v>17525</v>
      </c>
      <c r="G368" s="57">
        <v>10285</v>
      </c>
      <c r="H368" s="54">
        <f t="shared" si="33"/>
        <v>7240</v>
      </c>
      <c r="I368" s="58">
        <v>3</v>
      </c>
      <c r="J368" s="54">
        <f t="shared" si="34"/>
        <v>7022.8</v>
      </c>
      <c r="K368" s="57">
        <v>3600</v>
      </c>
      <c r="L368" s="54">
        <f t="shared" si="35"/>
        <v>25282080</v>
      </c>
      <c r="P368" s="139">
        <v>25014000</v>
      </c>
      <c r="Q368" s="139">
        <f t="shared" si="36"/>
        <v>268080</v>
      </c>
    </row>
    <row r="369" spans="1:17" hidden="1" x14ac:dyDescent="0.3">
      <c r="A369" s="54"/>
      <c r="B369" s="54"/>
      <c r="C369" s="54"/>
      <c r="D369" s="54"/>
      <c r="E369" s="55"/>
      <c r="F369" s="57"/>
      <c r="G369" s="57"/>
      <c r="H369" s="54">
        <f t="shared" si="33"/>
        <v>0</v>
      </c>
      <c r="I369" s="58"/>
      <c r="J369" s="54">
        <f t="shared" si="34"/>
        <v>0</v>
      </c>
      <c r="K369" s="57"/>
      <c r="L369" s="54">
        <f t="shared" si="35"/>
        <v>0</v>
      </c>
      <c r="Q369" s="139">
        <f t="shared" si="36"/>
        <v>0</v>
      </c>
    </row>
    <row r="370" spans="1:17" hidden="1" x14ac:dyDescent="0.3">
      <c r="A370" s="54"/>
      <c r="B370" s="54"/>
      <c r="C370" s="54"/>
      <c r="D370" s="54"/>
      <c r="E370" s="55"/>
      <c r="F370" s="57"/>
      <c r="G370" s="57"/>
      <c r="H370" s="54">
        <f t="shared" si="33"/>
        <v>0</v>
      </c>
      <c r="I370" s="58"/>
      <c r="J370" s="54">
        <f t="shared" si="34"/>
        <v>0</v>
      </c>
      <c r="K370" s="57"/>
      <c r="L370" s="54">
        <f t="shared" si="35"/>
        <v>0</v>
      </c>
      <c r="Q370" s="139">
        <f t="shared" si="36"/>
        <v>0</v>
      </c>
    </row>
    <row r="371" spans="1:17" hidden="1" x14ac:dyDescent="0.3">
      <c r="A371" s="54"/>
      <c r="B371" s="54"/>
      <c r="C371" s="54"/>
      <c r="D371" s="54"/>
      <c r="E371" s="55"/>
      <c r="F371" s="57"/>
      <c r="G371" s="57"/>
      <c r="H371" s="54">
        <f t="shared" si="33"/>
        <v>0</v>
      </c>
      <c r="I371" s="58"/>
      <c r="J371" s="54">
        <f t="shared" si="34"/>
        <v>0</v>
      </c>
      <c r="K371" s="57"/>
      <c r="L371" s="54">
        <f t="shared" si="35"/>
        <v>0</v>
      </c>
      <c r="Q371" s="139">
        <f t="shared" si="36"/>
        <v>0</v>
      </c>
    </row>
    <row r="372" spans="1:17" hidden="1" x14ac:dyDescent="0.3">
      <c r="A372" s="54" t="s">
        <v>888</v>
      </c>
      <c r="B372" s="54">
        <f>500*12170</f>
        <v>6085000</v>
      </c>
      <c r="C372" s="54"/>
      <c r="D372" s="54" t="s">
        <v>748</v>
      </c>
      <c r="E372" s="55" t="s">
        <v>889</v>
      </c>
      <c r="F372" s="57">
        <v>19060</v>
      </c>
      <c r="G372" s="57">
        <v>9320</v>
      </c>
      <c r="H372" s="54">
        <f t="shared" si="33"/>
        <v>9740</v>
      </c>
      <c r="I372" s="58">
        <v>2</v>
      </c>
      <c r="J372" s="54">
        <f t="shared" si="34"/>
        <v>9545.2000000000007</v>
      </c>
      <c r="K372" s="57">
        <v>3650</v>
      </c>
      <c r="L372" s="54">
        <f t="shared" si="35"/>
        <v>34839980</v>
      </c>
      <c r="P372" s="139">
        <v>33067000</v>
      </c>
      <c r="Q372" s="139">
        <f t="shared" si="36"/>
        <v>1772980</v>
      </c>
    </row>
    <row r="373" spans="1:17" hidden="1" x14ac:dyDescent="0.3">
      <c r="A373" s="54"/>
      <c r="B373" s="54"/>
      <c r="C373" s="54"/>
      <c r="D373" s="54"/>
      <c r="E373" s="55"/>
      <c r="F373" s="57"/>
      <c r="G373" s="57"/>
      <c r="H373" s="54">
        <f t="shared" si="33"/>
        <v>0</v>
      </c>
      <c r="I373" s="58"/>
      <c r="J373" s="54">
        <f t="shared" si="34"/>
        <v>0</v>
      </c>
      <c r="K373" s="57"/>
      <c r="L373" s="54">
        <f t="shared" si="35"/>
        <v>0</v>
      </c>
      <c r="Q373" s="139">
        <f t="shared" si="36"/>
        <v>0</v>
      </c>
    </row>
    <row r="374" spans="1:17" hidden="1" x14ac:dyDescent="0.3">
      <c r="A374" s="54" t="s">
        <v>33</v>
      </c>
      <c r="B374" s="54"/>
      <c r="C374" s="54"/>
      <c r="D374" s="54"/>
      <c r="E374" s="55"/>
      <c r="F374" s="57"/>
      <c r="G374" s="57"/>
      <c r="H374" s="54">
        <f t="shared" si="33"/>
        <v>0</v>
      </c>
      <c r="I374" s="58"/>
      <c r="J374" s="54">
        <f t="shared" si="34"/>
        <v>0</v>
      </c>
      <c r="K374" s="57"/>
      <c r="L374" s="54">
        <f t="shared" si="35"/>
        <v>0</v>
      </c>
      <c r="Q374" s="139">
        <f t="shared" si="36"/>
        <v>0</v>
      </c>
    </row>
    <row r="375" spans="1:17" hidden="1" x14ac:dyDescent="0.3">
      <c r="A375" s="54" t="s">
        <v>894</v>
      </c>
      <c r="B375" s="54"/>
      <c r="C375" s="54">
        <f>10000*12150</f>
        <v>121500000</v>
      </c>
      <c r="D375" s="54" t="s">
        <v>610</v>
      </c>
      <c r="E375" s="55" t="s">
        <v>895</v>
      </c>
      <c r="F375" s="57">
        <v>27010</v>
      </c>
      <c r="G375" s="57">
        <v>14600</v>
      </c>
      <c r="H375" s="54">
        <f t="shared" si="33"/>
        <v>12410</v>
      </c>
      <c r="I375" s="58">
        <v>2</v>
      </c>
      <c r="J375" s="54">
        <f t="shared" si="34"/>
        <v>12161.8</v>
      </c>
      <c r="K375" s="57">
        <v>3350</v>
      </c>
      <c r="L375" s="54">
        <f t="shared" si="35"/>
        <v>40742030</v>
      </c>
      <c r="P375" s="139">
        <v>39724000</v>
      </c>
      <c r="Q375" s="139">
        <f t="shared" si="36"/>
        <v>1018030</v>
      </c>
    </row>
    <row r="376" spans="1:17" hidden="1" x14ac:dyDescent="0.3">
      <c r="A376" s="54"/>
      <c r="B376" s="54"/>
      <c r="C376" s="54"/>
      <c r="D376" s="54"/>
      <c r="E376" s="55"/>
      <c r="F376" s="57"/>
      <c r="G376" s="57"/>
      <c r="H376" s="54">
        <f t="shared" si="33"/>
        <v>0</v>
      </c>
      <c r="I376" s="58"/>
      <c r="J376" s="54">
        <f t="shared" si="34"/>
        <v>0</v>
      </c>
      <c r="K376" s="57"/>
      <c r="L376" s="54">
        <f t="shared" si="35"/>
        <v>0</v>
      </c>
      <c r="Q376" s="139">
        <f t="shared" si="36"/>
        <v>0</v>
      </c>
    </row>
    <row r="377" spans="1:17" hidden="1" x14ac:dyDescent="0.3">
      <c r="A377" s="54" t="s">
        <v>898</v>
      </c>
      <c r="B377" s="54"/>
      <c r="C377" s="54"/>
      <c r="D377" s="54"/>
      <c r="E377" s="55" t="s">
        <v>899</v>
      </c>
      <c r="F377" s="57">
        <v>25000</v>
      </c>
      <c r="G377" s="57">
        <v>12800</v>
      </c>
      <c r="H377" s="54">
        <f t="shared" si="33"/>
        <v>12200</v>
      </c>
      <c r="I377" s="58">
        <v>2</v>
      </c>
      <c r="J377" s="54">
        <f t="shared" si="34"/>
        <v>11956</v>
      </c>
      <c r="K377" s="57">
        <v>3650</v>
      </c>
      <c r="L377" s="54">
        <f t="shared" si="35"/>
        <v>43639400</v>
      </c>
      <c r="P377" s="139">
        <v>41419000</v>
      </c>
      <c r="Q377" s="139">
        <f t="shared" si="36"/>
        <v>2220400</v>
      </c>
    </row>
    <row r="378" spans="1:17" hidden="1" x14ac:dyDescent="0.3">
      <c r="A378" s="54"/>
      <c r="B378" s="54"/>
      <c r="C378" s="54">
        <f>7500*12120</f>
        <v>90900000</v>
      </c>
      <c r="D378" s="54" t="s">
        <v>908</v>
      </c>
      <c r="E378" s="55"/>
      <c r="F378" s="57"/>
      <c r="G378" s="57"/>
      <c r="H378" s="54">
        <f t="shared" si="33"/>
        <v>0</v>
      </c>
      <c r="I378" s="58"/>
      <c r="J378" s="54">
        <f t="shared" si="34"/>
        <v>0</v>
      </c>
      <c r="K378" s="57"/>
      <c r="L378" s="54">
        <f t="shared" si="35"/>
        <v>0</v>
      </c>
      <c r="Q378" s="139">
        <f t="shared" si="36"/>
        <v>0</v>
      </c>
    </row>
    <row r="379" spans="1:17" hidden="1" x14ac:dyDescent="0.3">
      <c r="A379" s="54" t="s">
        <v>905</v>
      </c>
      <c r="B379" s="54"/>
      <c r="C379" s="54">
        <v>500000</v>
      </c>
      <c r="D379" s="54" t="s">
        <v>907</v>
      </c>
      <c r="E379" s="55" t="s">
        <v>906</v>
      </c>
      <c r="F379" s="57">
        <f>23900-360</f>
        <v>23540</v>
      </c>
      <c r="G379" s="57">
        <v>12650</v>
      </c>
      <c r="H379" s="54">
        <f t="shared" si="33"/>
        <v>10890</v>
      </c>
      <c r="I379" s="58"/>
      <c r="J379" s="54">
        <f t="shared" si="34"/>
        <v>10890</v>
      </c>
      <c r="K379" s="57">
        <v>3600</v>
      </c>
      <c r="L379" s="54">
        <f t="shared" si="35"/>
        <v>39204000</v>
      </c>
      <c r="P379" s="139">
        <f>38500000-1400000</f>
        <v>37100000</v>
      </c>
      <c r="Q379" s="139">
        <f t="shared" si="36"/>
        <v>2104000</v>
      </c>
    </row>
    <row r="380" spans="1:17" hidden="1" x14ac:dyDescent="0.3">
      <c r="A380" s="9" t="s">
        <v>913</v>
      </c>
      <c r="B380" s="54"/>
      <c r="C380" s="54">
        <v>300000</v>
      </c>
      <c r="D380" s="54" t="s">
        <v>914</v>
      </c>
      <c r="E380" s="55" t="s">
        <v>873</v>
      </c>
      <c r="F380" s="57">
        <v>11380</v>
      </c>
      <c r="G380" s="57">
        <v>4870</v>
      </c>
      <c r="H380" s="54">
        <f t="shared" si="33"/>
        <v>6510</v>
      </c>
      <c r="I380" s="58">
        <v>2</v>
      </c>
      <c r="J380" s="54">
        <f t="shared" si="34"/>
        <v>6379.8</v>
      </c>
      <c r="K380" s="57">
        <v>3350</v>
      </c>
      <c r="L380" s="54">
        <f t="shared" si="35"/>
        <v>21372330</v>
      </c>
      <c r="P380" s="139">
        <v>20838000</v>
      </c>
      <c r="Q380" s="139">
        <f t="shared" si="36"/>
        <v>534330</v>
      </c>
    </row>
    <row r="381" spans="1:17" hidden="1" x14ac:dyDescent="0.3">
      <c r="A381" s="54"/>
      <c r="B381" s="54"/>
      <c r="C381" s="54"/>
      <c r="D381" s="54"/>
      <c r="E381" s="55"/>
      <c r="F381" s="57"/>
      <c r="G381" s="57"/>
      <c r="H381" s="54"/>
      <c r="I381" s="58"/>
      <c r="J381" s="54">
        <f t="shared" si="34"/>
        <v>0</v>
      </c>
      <c r="K381" s="57"/>
      <c r="L381" s="54">
        <f t="shared" si="35"/>
        <v>0</v>
      </c>
      <c r="Q381" s="139">
        <f t="shared" si="36"/>
        <v>0</v>
      </c>
    </row>
    <row r="382" spans="1:17" hidden="1" x14ac:dyDescent="0.3">
      <c r="A382" s="54"/>
      <c r="B382" s="54"/>
      <c r="C382" s="54"/>
      <c r="D382" s="54"/>
      <c r="E382" s="55"/>
      <c r="F382" s="57"/>
      <c r="G382" s="57"/>
      <c r="H382" s="54">
        <f t="shared" si="33"/>
        <v>0</v>
      </c>
      <c r="I382" s="58"/>
      <c r="J382" s="54">
        <f t="shared" si="34"/>
        <v>0</v>
      </c>
      <c r="K382" s="57"/>
      <c r="L382" s="54">
        <f t="shared" si="35"/>
        <v>0</v>
      </c>
      <c r="Q382" s="139">
        <f t="shared" si="36"/>
        <v>0</v>
      </c>
    </row>
    <row r="383" spans="1:17" hidden="1" x14ac:dyDescent="0.3">
      <c r="A383" s="54"/>
      <c r="B383" s="54"/>
      <c r="C383" s="54"/>
      <c r="D383" s="54"/>
      <c r="E383" s="55"/>
      <c r="F383" s="57"/>
      <c r="G383" s="57"/>
      <c r="H383" s="54">
        <f t="shared" si="33"/>
        <v>0</v>
      </c>
      <c r="I383" s="58"/>
      <c r="J383" s="54">
        <f t="shared" si="34"/>
        <v>0</v>
      </c>
      <c r="K383" s="57"/>
      <c r="L383" s="54">
        <f t="shared" si="35"/>
        <v>0</v>
      </c>
      <c r="Q383" s="139">
        <f t="shared" si="36"/>
        <v>0</v>
      </c>
    </row>
    <row r="384" spans="1:17" hidden="1" x14ac:dyDescent="0.3">
      <c r="A384" s="54"/>
      <c r="B384" s="54"/>
      <c r="C384" s="54"/>
      <c r="D384" s="54"/>
      <c r="E384" s="55"/>
      <c r="F384" s="57"/>
      <c r="G384" s="57"/>
      <c r="H384" s="54">
        <f t="shared" si="33"/>
        <v>0</v>
      </c>
      <c r="I384" s="58"/>
      <c r="J384" s="54">
        <f t="shared" si="34"/>
        <v>0</v>
      </c>
      <c r="K384" s="57"/>
      <c r="L384" s="54">
        <f t="shared" si="35"/>
        <v>0</v>
      </c>
      <c r="Q384" s="139">
        <f t="shared" si="36"/>
        <v>0</v>
      </c>
    </row>
    <row r="385" spans="1:17" hidden="1" x14ac:dyDescent="0.3">
      <c r="A385" s="54"/>
      <c r="B385" s="54"/>
      <c r="C385" s="54"/>
      <c r="D385" s="54"/>
      <c r="E385" s="55"/>
      <c r="F385" s="57"/>
      <c r="G385" s="57"/>
      <c r="H385" s="54">
        <f t="shared" si="33"/>
        <v>0</v>
      </c>
      <c r="I385" s="58"/>
      <c r="J385" s="54">
        <f t="shared" si="34"/>
        <v>0</v>
      </c>
      <c r="K385" s="57"/>
      <c r="L385" s="54">
        <f t="shared" si="35"/>
        <v>0</v>
      </c>
      <c r="Q385" s="139">
        <f t="shared" si="36"/>
        <v>0</v>
      </c>
    </row>
    <row r="386" spans="1:17" hidden="1" x14ac:dyDescent="0.3">
      <c r="A386" s="54" t="s">
        <v>919</v>
      </c>
      <c r="B386" s="54"/>
      <c r="C386" s="54">
        <v>121000000</v>
      </c>
      <c r="D386" s="54" t="s">
        <v>610</v>
      </c>
      <c r="E386" s="55" t="s">
        <v>920</v>
      </c>
      <c r="F386" s="57">
        <v>21370</v>
      </c>
      <c r="G386" s="57">
        <v>12920</v>
      </c>
      <c r="H386" s="54">
        <f t="shared" si="33"/>
        <v>8450</v>
      </c>
      <c r="I386" s="58">
        <v>2</v>
      </c>
      <c r="J386" s="54">
        <f t="shared" si="34"/>
        <v>8281</v>
      </c>
      <c r="K386" s="57">
        <v>3650</v>
      </c>
      <c r="L386" s="54">
        <f t="shared" si="35"/>
        <v>30225650</v>
      </c>
      <c r="P386" s="139">
        <v>29030000</v>
      </c>
      <c r="Q386" s="139">
        <f t="shared" si="36"/>
        <v>1195650</v>
      </c>
    </row>
    <row r="387" spans="1:17" hidden="1" x14ac:dyDescent="0.3">
      <c r="A387" s="54"/>
      <c r="B387" s="54"/>
      <c r="C387" s="54">
        <v>42840000</v>
      </c>
      <c r="D387" s="54"/>
      <c r="E387" s="55" t="s">
        <v>921</v>
      </c>
      <c r="F387" s="57">
        <v>22880</v>
      </c>
      <c r="G387" s="57">
        <v>10800</v>
      </c>
      <c r="H387" s="54">
        <f t="shared" si="33"/>
        <v>12080</v>
      </c>
      <c r="I387" s="58">
        <v>3</v>
      </c>
      <c r="J387" s="54">
        <f t="shared" si="34"/>
        <v>11717.6</v>
      </c>
      <c r="K387" s="57">
        <v>3650</v>
      </c>
      <c r="L387" s="54">
        <f t="shared" si="35"/>
        <v>42769240</v>
      </c>
      <c r="P387" s="139">
        <v>40909000</v>
      </c>
      <c r="Q387" s="139">
        <f t="shared" si="36"/>
        <v>1860240</v>
      </c>
    </row>
    <row r="388" spans="1:17" hidden="1" x14ac:dyDescent="0.3">
      <c r="A388" s="54"/>
      <c r="B388" s="54"/>
      <c r="C388" s="54"/>
      <c r="D388" s="54"/>
      <c r="E388" s="55"/>
      <c r="F388" s="57"/>
      <c r="G388" s="57"/>
      <c r="H388" s="54">
        <f t="shared" si="33"/>
        <v>0</v>
      </c>
      <c r="I388" s="58"/>
      <c r="J388" s="54">
        <f t="shared" si="34"/>
        <v>0</v>
      </c>
      <c r="K388" s="57"/>
      <c r="L388" s="54">
        <f t="shared" si="35"/>
        <v>0</v>
      </c>
      <c r="Q388" s="139">
        <f t="shared" si="36"/>
        <v>0</v>
      </c>
    </row>
    <row r="389" spans="1:17" hidden="1" x14ac:dyDescent="0.3">
      <c r="A389" s="54"/>
      <c r="B389" s="54"/>
      <c r="C389" s="54"/>
      <c r="D389" s="54"/>
      <c r="E389" s="55"/>
      <c r="F389" s="57"/>
      <c r="G389" s="57"/>
      <c r="H389" s="54">
        <f t="shared" si="33"/>
        <v>0</v>
      </c>
      <c r="I389" s="58"/>
      <c r="J389" s="54">
        <f t="shared" si="34"/>
        <v>0</v>
      </c>
      <c r="K389" s="57"/>
      <c r="L389" s="54">
        <f t="shared" si="35"/>
        <v>0</v>
      </c>
      <c r="Q389" s="139">
        <f t="shared" si="36"/>
        <v>0</v>
      </c>
    </row>
    <row r="390" spans="1:17" hidden="1" x14ac:dyDescent="0.3">
      <c r="A390" s="54"/>
      <c r="B390" s="54"/>
      <c r="C390" s="54">
        <v>150000</v>
      </c>
      <c r="D390" s="54" t="s">
        <v>849</v>
      </c>
      <c r="E390" s="55" t="s">
        <v>182</v>
      </c>
      <c r="F390" s="57">
        <v>25070</v>
      </c>
      <c r="G390" s="57">
        <v>14650</v>
      </c>
      <c r="H390" s="54">
        <f t="shared" si="33"/>
        <v>10420</v>
      </c>
      <c r="I390" s="58">
        <v>2</v>
      </c>
      <c r="J390" s="54">
        <f t="shared" si="34"/>
        <v>10211.6</v>
      </c>
      <c r="K390" s="57">
        <v>3350</v>
      </c>
      <c r="L390" s="54">
        <f t="shared" si="35"/>
        <v>34208860</v>
      </c>
      <c r="P390" s="139">
        <v>33354000</v>
      </c>
      <c r="Q390" s="139">
        <f t="shared" si="36"/>
        <v>854860</v>
      </c>
    </row>
    <row r="391" spans="1:17" hidden="1" x14ac:dyDescent="0.3">
      <c r="A391" s="54" t="s">
        <v>926</v>
      </c>
      <c r="B391" s="54"/>
      <c r="C391" s="54"/>
      <c r="D391" s="54"/>
      <c r="E391" s="55" t="s">
        <v>927</v>
      </c>
      <c r="F391" s="57">
        <v>19750</v>
      </c>
      <c r="G391" s="57">
        <v>9410</v>
      </c>
      <c r="H391" s="54">
        <f t="shared" si="33"/>
        <v>10340</v>
      </c>
      <c r="I391" s="58">
        <v>2</v>
      </c>
      <c r="J391" s="54">
        <f t="shared" si="34"/>
        <v>10133.200000000001</v>
      </c>
      <c r="K391" s="57">
        <v>3350</v>
      </c>
      <c r="L391" s="54">
        <f t="shared" si="35"/>
        <v>33946220</v>
      </c>
      <c r="P391" s="139">
        <v>33093970</v>
      </c>
      <c r="Q391" s="139">
        <f t="shared" si="36"/>
        <v>852250</v>
      </c>
    </row>
    <row r="392" spans="1:17" hidden="1" x14ac:dyDescent="0.3">
      <c r="A392" s="54"/>
      <c r="B392" s="54"/>
      <c r="C392" s="54"/>
      <c r="D392" s="54"/>
      <c r="E392" s="55" t="s">
        <v>934</v>
      </c>
      <c r="F392" s="57">
        <v>25140</v>
      </c>
      <c r="G392" s="57">
        <v>12940</v>
      </c>
      <c r="H392" s="54">
        <f t="shared" si="33"/>
        <v>12200</v>
      </c>
      <c r="I392" s="58">
        <v>2</v>
      </c>
      <c r="J392" s="54">
        <f t="shared" si="34"/>
        <v>11956</v>
      </c>
      <c r="K392" s="57">
        <v>3350</v>
      </c>
      <c r="L392" s="54">
        <f t="shared" si="35"/>
        <v>40052600</v>
      </c>
      <c r="P392" s="139">
        <v>39052200</v>
      </c>
      <c r="Q392" s="139">
        <f t="shared" si="36"/>
        <v>1000400</v>
      </c>
    </row>
    <row r="393" spans="1:17" hidden="1" x14ac:dyDescent="0.3">
      <c r="A393" s="54"/>
      <c r="B393" s="54"/>
      <c r="C393" s="54"/>
      <c r="D393" s="54"/>
      <c r="E393" s="55"/>
      <c r="F393" s="57"/>
      <c r="G393" s="57"/>
      <c r="H393" s="54">
        <f t="shared" si="33"/>
        <v>0</v>
      </c>
      <c r="I393" s="58"/>
      <c r="J393" s="54">
        <f t="shared" si="34"/>
        <v>0</v>
      </c>
      <c r="K393" s="57"/>
      <c r="L393" s="54">
        <f t="shared" si="35"/>
        <v>0</v>
      </c>
      <c r="Q393" s="139">
        <f t="shared" si="36"/>
        <v>0</v>
      </c>
    </row>
    <row r="394" spans="1:17" hidden="1" x14ac:dyDescent="0.3">
      <c r="A394" s="54" t="s">
        <v>935</v>
      </c>
      <c r="B394" s="54"/>
      <c r="C394" s="54">
        <v>120400000</v>
      </c>
      <c r="D394" s="54" t="s">
        <v>610</v>
      </c>
      <c r="E394" s="55" t="s">
        <v>937</v>
      </c>
      <c r="F394" s="57">
        <v>18970</v>
      </c>
      <c r="G394" s="57">
        <v>9015</v>
      </c>
      <c r="H394" s="54">
        <f t="shared" si="33"/>
        <v>9955</v>
      </c>
      <c r="I394" s="58">
        <v>4</v>
      </c>
      <c r="J394" s="54">
        <f t="shared" si="34"/>
        <v>9556.7999999999993</v>
      </c>
      <c r="K394" s="57">
        <v>3650</v>
      </c>
      <c r="L394" s="54">
        <f t="shared" si="35"/>
        <v>34882320</v>
      </c>
      <c r="P394" s="139">
        <v>34527000</v>
      </c>
      <c r="Q394" s="139">
        <f t="shared" si="36"/>
        <v>355320</v>
      </c>
    </row>
    <row r="395" spans="1:17" hidden="1" x14ac:dyDescent="0.3">
      <c r="A395" s="54"/>
      <c r="B395" s="54"/>
      <c r="C395" s="54">
        <v>250000</v>
      </c>
      <c r="D395" s="54" t="s">
        <v>936</v>
      </c>
      <c r="E395" s="55" t="s">
        <v>938</v>
      </c>
      <c r="F395" s="57">
        <v>18310</v>
      </c>
      <c r="G395" s="57">
        <v>9840</v>
      </c>
      <c r="H395" s="54">
        <f t="shared" si="33"/>
        <v>8470</v>
      </c>
      <c r="I395" s="58">
        <v>2</v>
      </c>
      <c r="J395" s="54">
        <f t="shared" si="34"/>
        <v>8300.6</v>
      </c>
      <c r="K395" s="57">
        <v>3650</v>
      </c>
      <c r="L395" s="54">
        <f t="shared" si="35"/>
        <v>30297190</v>
      </c>
      <c r="P395" s="139">
        <v>29650000</v>
      </c>
      <c r="Q395" s="139">
        <f t="shared" si="36"/>
        <v>647190</v>
      </c>
    </row>
    <row r="396" spans="1:17" hidden="1" x14ac:dyDescent="0.3">
      <c r="A396" s="54"/>
      <c r="B396" s="54"/>
      <c r="C396" s="54"/>
      <c r="D396" s="54"/>
      <c r="E396" s="55" t="s">
        <v>734</v>
      </c>
      <c r="F396" s="57">
        <v>28240</v>
      </c>
      <c r="G396" s="57">
        <v>13080</v>
      </c>
      <c r="H396" s="54">
        <f t="shared" si="33"/>
        <v>15160</v>
      </c>
      <c r="I396" s="58">
        <v>2.1</v>
      </c>
      <c r="J396" s="54">
        <f t="shared" si="34"/>
        <v>14841.64</v>
      </c>
      <c r="K396" s="57">
        <v>3350</v>
      </c>
      <c r="L396" s="54">
        <f t="shared" si="35"/>
        <v>49719494</v>
      </c>
      <c r="P396" s="139">
        <v>48877000</v>
      </c>
      <c r="Q396" s="139">
        <f t="shared" si="36"/>
        <v>842494</v>
      </c>
    </row>
    <row r="397" spans="1:17" hidden="1" x14ac:dyDescent="0.3">
      <c r="A397" s="54" t="s">
        <v>940</v>
      </c>
      <c r="B397" s="54"/>
      <c r="C397" s="54">
        <v>120400000</v>
      </c>
      <c r="D397" s="54" t="s">
        <v>610</v>
      </c>
      <c r="E397" s="55" t="s">
        <v>941</v>
      </c>
      <c r="F397" s="57">
        <v>28460</v>
      </c>
      <c r="G397" s="57">
        <v>13920</v>
      </c>
      <c r="H397" s="54">
        <f t="shared" si="33"/>
        <v>14540</v>
      </c>
      <c r="I397" s="58">
        <v>2</v>
      </c>
      <c r="J397" s="54">
        <f t="shared" si="34"/>
        <v>14249.2</v>
      </c>
      <c r="K397" s="57">
        <v>3650</v>
      </c>
      <c r="L397" s="54">
        <f t="shared" si="35"/>
        <v>52009580</v>
      </c>
      <c r="P397" s="139">
        <v>50381500</v>
      </c>
      <c r="Q397" s="139">
        <f t="shared" si="36"/>
        <v>1628080</v>
      </c>
    </row>
    <row r="398" spans="1:17" hidden="1" x14ac:dyDescent="0.3">
      <c r="A398" s="54"/>
      <c r="B398" s="54"/>
      <c r="C398" s="54"/>
      <c r="D398" s="54" t="s">
        <v>33</v>
      </c>
      <c r="E398" s="55" t="s">
        <v>857</v>
      </c>
      <c r="F398" s="57">
        <v>23100</v>
      </c>
      <c r="G398" s="57">
        <v>9540</v>
      </c>
      <c r="H398" s="54">
        <f t="shared" si="33"/>
        <v>13560</v>
      </c>
      <c r="I398" s="58">
        <v>2.7</v>
      </c>
      <c r="J398" s="54">
        <f t="shared" si="34"/>
        <v>13193.88</v>
      </c>
      <c r="K398" s="57">
        <v>3350</v>
      </c>
      <c r="L398" s="54">
        <f t="shared" si="35"/>
        <v>44199498</v>
      </c>
      <c r="M398">
        <v>45600000</v>
      </c>
      <c r="P398" s="139">
        <f>28712000+15736000</f>
        <v>44448000</v>
      </c>
      <c r="Q398" s="139">
        <f t="shared" si="36"/>
        <v>-248502</v>
      </c>
    </row>
    <row r="399" spans="1:17" hidden="1" x14ac:dyDescent="0.3">
      <c r="A399" s="54"/>
      <c r="B399" s="54"/>
      <c r="C399" s="54"/>
      <c r="D399" s="54"/>
      <c r="E399" s="55"/>
      <c r="F399" s="57"/>
      <c r="G399" s="57"/>
      <c r="H399" s="54">
        <f t="shared" si="33"/>
        <v>0</v>
      </c>
      <c r="I399" s="58"/>
      <c r="J399" s="54">
        <f t="shared" si="34"/>
        <v>0</v>
      </c>
      <c r="K399" s="57"/>
      <c r="L399" s="54">
        <f t="shared" si="35"/>
        <v>0</v>
      </c>
      <c r="M399">
        <f>45600-44199</f>
        <v>1401</v>
      </c>
      <c r="Q399" s="139">
        <f t="shared" si="36"/>
        <v>0</v>
      </c>
    </row>
    <row r="400" spans="1:17" hidden="1" x14ac:dyDescent="0.3">
      <c r="A400" s="54" t="s">
        <v>942</v>
      </c>
      <c r="B400" s="54"/>
      <c r="C400" s="54"/>
      <c r="D400" s="54"/>
      <c r="E400" s="55" t="s">
        <v>948</v>
      </c>
      <c r="F400" s="57">
        <v>23700</v>
      </c>
      <c r="G400" s="57">
        <v>13010</v>
      </c>
      <c r="H400" s="54">
        <f t="shared" si="33"/>
        <v>10690</v>
      </c>
      <c r="I400" s="58">
        <v>2</v>
      </c>
      <c r="J400" s="54">
        <f t="shared" si="34"/>
        <v>10476.200000000001</v>
      </c>
      <c r="K400" s="57">
        <v>3650</v>
      </c>
      <c r="L400" s="54">
        <f t="shared" si="35"/>
        <v>38238130</v>
      </c>
      <c r="P400" s="139">
        <v>36880000</v>
      </c>
      <c r="Q400" s="139">
        <f t="shared" si="36"/>
        <v>1358130</v>
      </c>
    </row>
    <row r="401" spans="1:17" hidden="1" x14ac:dyDescent="0.3">
      <c r="A401" s="54"/>
      <c r="B401" s="54"/>
      <c r="C401" s="180">
        <v>265000</v>
      </c>
      <c r="D401" s="54" t="s">
        <v>914</v>
      </c>
      <c r="E401" s="55" t="s">
        <v>873</v>
      </c>
      <c r="F401" s="57">
        <v>11040</v>
      </c>
      <c r="G401" s="57">
        <v>4900</v>
      </c>
      <c r="H401" s="54">
        <f t="shared" si="33"/>
        <v>6140</v>
      </c>
      <c r="I401" s="58">
        <v>2</v>
      </c>
      <c r="J401" s="54">
        <f t="shared" si="34"/>
        <v>6017.2</v>
      </c>
      <c r="K401" s="57">
        <v>3350</v>
      </c>
      <c r="L401" s="54">
        <f t="shared" si="35"/>
        <v>20157620</v>
      </c>
      <c r="P401" s="139">
        <v>19654000</v>
      </c>
      <c r="Q401" s="139">
        <f t="shared" si="36"/>
        <v>503620</v>
      </c>
    </row>
    <row r="402" spans="1:17" hidden="1" x14ac:dyDescent="0.3">
      <c r="A402" s="54"/>
      <c r="B402" s="54"/>
      <c r="C402" s="180">
        <v>192000</v>
      </c>
      <c r="D402" s="54" t="s">
        <v>207</v>
      </c>
      <c r="E402" s="55" t="s">
        <v>949</v>
      </c>
      <c r="F402" s="57">
        <v>23880</v>
      </c>
      <c r="G402" s="57">
        <v>12650</v>
      </c>
      <c r="H402" s="54">
        <f t="shared" si="33"/>
        <v>11230</v>
      </c>
      <c r="I402" s="58">
        <v>2</v>
      </c>
      <c r="J402" s="54">
        <f t="shared" si="34"/>
        <v>11005.4</v>
      </c>
      <c r="K402" s="57">
        <v>3650</v>
      </c>
      <c r="L402" s="54">
        <f t="shared" si="35"/>
        <v>40169710</v>
      </c>
      <c r="P402" s="139">
        <v>38125000</v>
      </c>
      <c r="Q402" s="139">
        <f t="shared" si="36"/>
        <v>2044710</v>
      </c>
    </row>
    <row r="403" spans="1:17" hidden="1" x14ac:dyDescent="0.3">
      <c r="A403" s="54"/>
      <c r="B403" s="54"/>
      <c r="C403" s="54"/>
      <c r="D403" s="54"/>
      <c r="E403" s="55"/>
      <c r="F403" s="57"/>
      <c r="G403" s="57"/>
      <c r="H403" s="54">
        <f t="shared" si="33"/>
        <v>0</v>
      </c>
      <c r="I403" s="58"/>
      <c r="J403" s="54">
        <f t="shared" si="34"/>
        <v>0</v>
      </c>
      <c r="K403" s="57"/>
      <c r="L403" s="54">
        <f t="shared" si="35"/>
        <v>0</v>
      </c>
      <c r="Q403" s="139">
        <f t="shared" si="36"/>
        <v>0</v>
      </c>
    </row>
    <row r="404" spans="1:17" hidden="1" x14ac:dyDescent="0.3">
      <c r="A404" s="54"/>
      <c r="B404" s="54"/>
      <c r="C404" s="54"/>
      <c r="D404" s="54"/>
      <c r="E404" s="55"/>
      <c r="F404" s="57"/>
      <c r="G404" s="57"/>
      <c r="H404" s="54">
        <f t="shared" si="33"/>
        <v>0</v>
      </c>
      <c r="I404" s="58"/>
      <c r="J404" s="54">
        <f t="shared" si="34"/>
        <v>0</v>
      </c>
      <c r="K404" s="57"/>
      <c r="L404" s="54">
        <f t="shared" si="35"/>
        <v>0</v>
      </c>
      <c r="Q404" s="139">
        <f t="shared" si="36"/>
        <v>0</v>
      </c>
    </row>
    <row r="405" spans="1:17" hidden="1" x14ac:dyDescent="0.3">
      <c r="A405" s="54" t="s">
        <v>943</v>
      </c>
      <c r="B405" s="54"/>
      <c r="C405" s="54">
        <v>120700000</v>
      </c>
      <c r="D405" s="54" t="s">
        <v>610</v>
      </c>
      <c r="E405" s="55" t="s">
        <v>954</v>
      </c>
      <c r="F405" s="57">
        <v>18940</v>
      </c>
      <c r="G405" s="57">
        <v>9540</v>
      </c>
      <c r="H405" s="54">
        <f t="shared" si="33"/>
        <v>9400</v>
      </c>
      <c r="I405" s="58">
        <v>2</v>
      </c>
      <c r="J405" s="54">
        <f t="shared" si="34"/>
        <v>9212</v>
      </c>
      <c r="K405" s="57">
        <v>3350</v>
      </c>
      <c r="L405" s="54">
        <f t="shared" si="35"/>
        <v>30860200</v>
      </c>
      <c r="P405" s="139">
        <v>30399000</v>
      </c>
      <c r="Q405" s="139">
        <f t="shared" si="36"/>
        <v>461200</v>
      </c>
    </row>
    <row r="406" spans="1:17" hidden="1" x14ac:dyDescent="0.3">
      <c r="A406" s="54"/>
      <c r="B406" s="54"/>
      <c r="C406" s="54">
        <v>125000</v>
      </c>
      <c r="D406" s="54" t="s">
        <v>955</v>
      </c>
      <c r="E406" s="55"/>
      <c r="F406" s="57"/>
      <c r="G406" s="57"/>
      <c r="H406" s="54">
        <f t="shared" si="33"/>
        <v>0</v>
      </c>
      <c r="I406" s="58"/>
      <c r="J406" s="54">
        <f t="shared" si="34"/>
        <v>0</v>
      </c>
      <c r="K406" s="57"/>
      <c r="L406" s="54">
        <f t="shared" si="35"/>
        <v>0</v>
      </c>
      <c r="Q406" s="139">
        <f t="shared" si="36"/>
        <v>0</v>
      </c>
    </row>
    <row r="407" spans="1:17" hidden="1" x14ac:dyDescent="0.3">
      <c r="A407" s="54" t="s">
        <v>944</v>
      </c>
      <c r="B407" s="54"/>
      <c r="C407" s="54"/>
      <c r="D407" s="54"/>
      <c r="E407" s="55"/>
      <c r="F407" s="57"/>
      <c r="G407" s="57"/>
      <c r="H407" s="54">
        <f t="shared" si="33"/>
        <v>0</v>
      </c>
      <c r="I407" s="58"/>
      <c r="J407" s="54">
        <f t="shared" si="34"/>
        <v>0</v>
      </c>
      <c r="K407" s="57"/>
      <c r="L407" s="54">
        <f t="shared" si="35"/>
        <v>0</v>
      </c>
      <c r="Q407" s="139">
        <f t="shared" si="36"/>
        <v>0</v>
      </c>
    </row>
    <row r="408" spans="1:17" hidden="1" x14ac:dyDescent="0.3">
      <c r="A408" s="54"/>
      <c r="B408" s="54"/>
      <c r="C408" s="54"/>
      <c r="D408" s="54"/>
      <c r="E408" s="55" t="s">
        <v>959</v>
      </c>
      <c r="F408" s="57">
        <v>25310</v>
      </c>
      <c r="G408" s="57">
        <v>13470</v>
      </c>
      <c r="H408" s="54">
        <f t="shared" si="33"/>
        <v>11840</v>
      </c>
      <c r="I408" s="58">
        <v>2</v>
      </c>
      <c r="J408" s="54">
        <f t="shared" si="34"/>
        <v>11603.2</v>
      </c>
      <c r="K408" s="57">
        <v>3650</v>
      </c>
      <c r="L408" s="54">
        <f t="shared" si="35"/>
        <v>42351680</v>
      </c>
      <c r="P408" s="139">
        <v>40196000</v>
      </c>
      <c r="Q408" s="139">
        <f t="shared" si="36"/>
        <v>2155680</v>
      </c>
    </row>
    <row r="409" spans="1:17" hidden="1" x14ac:dyDescent="0.3">
      <c r="A409" s="54"/>
      <c r="B409" s="54"/>
      <c r="C409" s="54"/>
      <c r="D409" s="54" t="s">
        <v>961</v>
      </c>
      <c r="E409" s="55" t="s">
        <v>960</v>
      </c>
      <c r="F409" s="57">
        <v>20060</v>
      </c>
      <c r="G409" s="57">
        <v>9750</v>
      </c>
      <c r="H409" s="54">
        <f t="shared" si="33"/>
        <v>10310</v>
      </c>
      <c r="I409" s="58">
        <v>2</v>
      </c>
      <c r="J409" s="54">
        <f t="shared" si="34"/>
        <v>10103.799999999999</v>
      </c>
      <c r="K409" s="57">
        <v>3650</v>
      </c>
      <c r="L409" s="54">
        <f t="shared" si="35"/>
        <v>36878870</v>
      </c>
      <c r="P409" s="139">
        <v>35724000</v>
      </c>
      <c r="Q409" s="139">
        <f t="shared" si="36"/>
        <v>1154870</v>
      </c>
    </row>
    <row r="410" spans="1:17" hidden="1" x14ac:dyDescent="0.3">
      <c r="A410" s="54"/>
      <c r="B410" s="54"/>
      <c r="C410" s="54"/>
      <c r="D410" s="54"/>
      <c r="E410" s="55"/>
      <c r="F410" s="57"/>
      <c r="G410" s="57"/>
      <c r="H410" s="54">
        <f t="shared" si="33"/>
        <v>0</v>
      </c>
      <c r="I410" s="58"/>
      <c r="J410" s="54">
        <f t="shared" si="34"/>
        <v>0</v>
      </c>
      <c r="K410" s="57"/>
      <c r="L410" s="54">
        <f t="shared" si="35"/>
        <v>0</v>
      </c>
      <c r="Q410" s="139">
        <f t="shared" si="36"/>
        <v>0</v>
      </c>
    </row>
    <row r="411" spans="1:17" hidden="1" x14ac:dyDescent="0.3">
      <c r="A411" s="54" t="s">
        <v>945</v>
      </c>
      <c r="B411" s="54"/>
      <c r="C411" s="54"/>
      <c r="D411" s="54"/>
      <c r="E411" s="55" t="s">
        <v>965</v>
      </c>
      <c r="F411" s="57">
        <v>18820</v>
      </c>
      <c r="G411" s="57">
        <v>8890</v>
      </c>
      <c r="H411" s="54">
        <f t="shared" ref="H411:H474" si="37">+F411-G411</f>
        <v>9930</v>
      </c>
      <c r="I411" s="58">
        <v>2</v>
      </c>
      <c r="J411" s="54">
        <f t="shared" ref="J411:J474" si="38">+H411-H411*I411/100</f>
        <v>9731.4</v>
      </c>
      <c r="K411" s="57">
        <v>3350</v>
      </c>
      <c r="L411" s="54">
        <f t="shared" ref="L411:L474" si="39">+J411*K411</f>
        <v>32600190</v>
      </c>
      <c r="P411" s="139">
        <v>31725000</v>
      </c>
      <c r="Q411" s="139">
        <f t="shared" si="36"/>
        <v>875190</v>
      </c>
    </row>
    <row r="412" spans="1:17" hidden="1" x14ac:dyDescent="0.3">
      <c r="A412" s="54"/>
      <c r="B412" s="54"/>
      <c r="C412" s="54"/>
      <c r="D412" s="54"/>
      <c r="E412" s="55"/>
      <c r="F412" s="57"/>
      <c r="G412" s="57"/>
      <c r="H412" s="54">
        <f t="shared" si="37"/>
        <v>0</v>
      </c>
      <c r="I412" s="58"/>
      <c r="J412" s="54">
        <f t="shared" si="38"/>
        <v>0</v>
      </c>
      <c r="K412" s="57"/>
      <c r="L412" s="54">
        <f t="shared" si="39"/>
        <v>0</v>
      </c>
      <c r="Q412" s="139">
        <f t="shared" ref="Q412:Q475" si="40">+L412-P412</f>
        <v>0</v>
      </c>
    </row>
    <row r="413" spans="1:17" hidden="1" x14ac:dyDescent="0.3">
      <c r="A413" s="54"/>
      <c r="B413" s="54"/>
      <c r="C413" s="54"/>
      <c r="D413" s="54"/>
      <c r="E413" s="55"/>
      <c r="F413" s="57"/>
      <c r="G413" s="57"/>
      <c r="H413" s="54">
        <f t="shared" si="37"/>
        <v>0</v>
      </c>
      <c r="I413" s="58"/>
      <c r="J413" s="54">
        <f t="shared" si="38"/>
        <v>0</v>
      </c>
      <c r="K413" s="57"/>
      <c r="L413" s="54">
        <f t="shared" si="39"/>
        <v>0</v>
      </c>
      <c r="Q413" s="139">
        <f t="shared" si="40"/>
        <v>0</v>
      </c>
    </row>
    <row r="414" spans="1:17" hidden="1" x14ac:dyDescent="0.3">
      <c r="A414" s="54"/>
      <c r="B414" s="54"/>
      <c r="C414" s="54"/>
      <c r="D414" s="54"/>
      <c r="E414" s="55"/>
      <c r="F414" s="57"/>
      <c r="G414" s="57"/>
      <c r="H414" s="54">
        <f t="shared" si="37"/>
        <v>0</v>
      </c>
      <c r="I414" s="58"/>
      <c r="J414" s="54">
        <f t="shared" si="38"/>
        <v>0</v>
      </c>
      <c r="K414" s="57"/>
      <c r="L414" s="54">
        <f t="shared" si="39"/>
        <v>0</v>
      </c>
      <c r="Q414" s="139">
        <f t="shared" si="40"/>
        <v>0</v>
      </c>
    </row>
    <row r="415" spans="1:17" hidden="1" x14ac:dyDescent="0.3">
      <c r="A415" s="54"/>
      <c r="B415" s="54"/>
      <c r="C415" s="54"/>
      <c r="D415" s="54"/>
      <c r="E415" s="55"/>
      <c r="F415" s="57"/>
      <c r="G415" s="57"/>
      <c r="H415" s="54">
        <f t="shared" si="37"/>
        <v>0</v>
      </c>
      <c r="I415" s="58"/>
      <c r="J415" s="54">
        <f t="shared" si="38"/>
        <v>0</v>
      </c>
      <c r="K415" s="57"/>
      <c r="L415" s="54">
        <f t="shared" si="39"/>
        <v>0</v>
      </c>
      <c r="Q415" s="139">
        <f t="shared" si="40"/>
        <v>0</v>
      </c>
    </row>
    <row r="416" spans="1:17" hidden="1" x14ac:dyDescent="0.3">
      <c r="A416" s="54"/>
      <c r="B416" s="54"/>
      <c r="C416" s="54"/>
      <c r="D416" s="54"/>
      <c r="E416" s="55"/>
      <c r="F416" s="57"/>
      <c r="G416" s="57"/>
      <c r="H416" s="54">
        <f t="shared" si="37"/>
        <v>0</v>
      </c>
      <c r="I416" s="58"/>
      <c r="J416" s="54">
        <f t="shared" si="38"/>
        <v>0</v>
      </c>
      <c r="K416" s="57"/>
      <c r="L416" s="54">
        <f t="shared" si="39"/>
        <v>0</v>
      </c>
      <c r="Q416" s="139">
        <f t="shared" si="40"/>
        <v>0</v>
      </c>
    </row>
    <row r="417" spans="1:17" hidden="1" x14ac:dyDescent="0.3">
      <c r="A417" s="54"/>
      <c r="B417" s="54"/>
      <c r="C417" s="54"/>
      <c r="D417" s="54"/>
      <c r="E417" s="55"/>
      <c r="F417" s="57"/>
      <c r="G417" s="57"/>
      <c r="H417" s="54">
        <f t="shared" si="37"/>
        <v>0</v>
      </c>
      <c r="I417" s="58"/>
      <c r="J417" s="54">
        <f t="shared" si="38"/>
        <v>0</v>
      </c>
      <c r="K417" s="57"/>
      <c r="L417" s="54">
        <f t="shared" si="39"/>
        <v>0</v>
      </c>
      <c r="Q417" s="139">
        <f t="shared" si="40"/>
        <v>0</v>
      </c>
    </row>
    <row r="418" spans="1:17" hidden="1" x14ac:dyDescent="0.3">
      <c r="A418" s="54" t="s">
        <v>971</v>
      </c>
      <c r="B418" s="54"/>
      <c r="C418" s="54"/>
      <c r="D418" s="54"/>
      <c r="E418" s="55"/>
      <c r="F418" s="57"/>
      <c r="G418" s="57"/>
      <c r="H418" s="54">
        <f t="shared" si="37"/>
        <v>0</v>
      </c>
      <c r="I418" s="58"/>
      <c r="J418" s="54">
        <f t="shared" si="38"/>
        <v>0</v>
      </c>
      <c r="K418" s="57"/>
      <c r="L418" s="54">
        <f t="shared" si="39"/>
        <v>0</v>
      </c>
      <c r="Q418" s="139">
        <f t="shared" si="40"/>
        <v>0</v>
      </c>
    </row>
    <row r="419" spans="1:17" hidden="1" x14ac:dyDescent="0.3">
      <c r="A419" s="54"/>
      <c r="B419" s="54"/>
      <c r="C419" s="54"/>
      <c r="D419" s="54"/>
      <c r="E419" s="55"/>
      <c r="F419" s="57"/>
      <c r="G419" s="57"/>
      <c r="H419" s="54">
        <f t="shared" si="37"/>
        <v>0</v>
      </c>
      <c r="I419" s="58"/>
      <c r="J419" s="54">
        <f t="shared" si="38"/>
        <v>0</v>
      </c>
      <c r="K419" s="57"/>
      <c r="L419" s="54">
        <f t="shared" si="39"/>
        <v>0</v>
      </c>
      <c r="Q419" s="139">
        <f t="shared" si="40"/>
        <v>0</v>
      </c>
    </row>
    <row r="420" spans="1:17" hidden="1" x14ac:dyDescent="0.3">
      <c r="A420" s="54"/>
      <c r="B420" s="54"/>
      <c r="C420" s="54">
        <v>200000</v>
      </c>
      <c r="D420" s="54" t="s">
        <v>977</v>
      </c>
      <c r="E420" s="55" t="s">
        <v>978</v>
      </c>
      <c r="F420" s="57">
        <v>21200</v>
      </c>
      <c r="G420" s="57">
        <v>11240</v>
      </c>
      <c r="H420" s="54">
        <f t="shared" si="37"/>
        <v>9960</v>
      </c>
      <c r="I420" s="58">
        <v>1</v>
      </c>
      <c r="J420" s="54">
        <f t="shared" si="38"/>
        <v>9860.4</v>
      </c>
      <c r="K420" s="57">
        <v>3650</v>
      </c>
      <c r="L420" s="54">
        <f t="shared" si="39"/>
        <v>35990460</v>
      </c>
      <c r="P420" s="139">
        <v>34511500</v>
      </c>
      <c r="Q420" s="139">
        <f t="shared" si="40"/>
        <v>1478960</v>
      </c>
    </row>
    <row r="421" spans="1:17" hidden="1" x14ac:dyDescent="0.3">
      <c r="A421" s="54"/>
      <c r="B421" s="54"/>
      <c r="C421" s="54"/>
      <c r="D421" s="54"/>
      <c r="E421" s="55" t="s">
        <v>979</v>
      </c>
      <c r="F421" s="57">
        <v>18060</v>
      </c>
      <c r="G421" s="57">
        <v>9540</v>
      </c>
      <c r="H421" s="54">
        <f t="shared" si="37"/>
        <v>8520</v>
      </c>
      <c r="I421" s="58">
        <v>2</v>
      </c>
      <c r="J421" s="54">
        <f t="shared" si="38"/>
        <v>8349.6</v>
      </c>
      <c r="K421" s="57">
        <v>3650</v>
      </c>
      <c r="L421" s="54">
        <f t="shared" si="39"/>
        <v>30476040</v>
      </c>
      <c r="P421" s="139">
        <v>29394000</v>
      </c>
      <c r="Q421" s="139">
        <f t="shared" si="40"/>
        <v>1082040</v>
      </c>
    </row>
    <row r="422" spans="1:17" hidden="1" x14ac:dyDescent="0.3">
      <c r="A422" s="54"/>
      <c r="B422" s="54"/>
      <c r="C422" s="54">
        <v>100000</v>
      </c>
      <c r="D422" s="54" t="s">
        <v>977</v>
      </c>
      <c r="E422" s="55" t="s">
        <v>980</v>
      </c>
      <c r="F422" s="57">
        <v>23870</v>
      </c>
      <c r="G422" s="57">
        <v>12350</v>
      </c>
      <c r="H422" s="54">
        <f t="shared" si="37"/>
        <v>11520</v>
      </c>
      <c r="I422" s="58">
        <v>3.8</v>
      </c>
      <c r="J422" s="54">
        <f t="shared" si="38"/>
        <v>11082.24</v>
      </c>
      <c r="K422" s="57">
        <v>3650</v>
      </c>
      <c r="L422" s="54">
        <f t="shared" si="39"/>
        <v>40450176</v>
      </c>
      <c r="P422" s="139">
        <v>40108000</v>
      </c>
      <c r="Q422" s="139">
        <f t="shared" si="40"/>
        <v>342176</v>
      </c>
    </row>
    <row r="423" spans="1:17" hidden="1" x14ac:dyDescent="0.3">
      <c r="A423" s="54"/>
      <c r="B423" s="54"/>
      <c r="C423" s="54"/>
      <c r="D423" s="54"/>
      <c r="E423" s="55" t="s">
        <v>981</v>
      </c>
      <c r="F423" s="57">
        <v>25380</v>
      </c>
      <c r="G423" s="57">
        <v>12790</v>
      </c>
      <c r="H423" s="54">
        <f t="shared" si="37"/>
        <v>12590</v>
      </c>
      <c r="I423" s="58">
        <v>1.5</v>
      </c>
      <c r="J423" s="54">
        <f t="shared" si="38"/>
        <v>12401.15</v>
      </c>
      <c r="K423" s="57">
        <v>3650</v>
      </c>
      <c r="L423" s="54">
        <f t="shared" si="39"/>
        <v>45264197.5</v>
      </c>
      <c r="P423" s="139">
        <v>42743050</v>
      </c>
      <c r="Q423" s="139">
        <f t="shared" si="40"/>
        <v>2521147.5</v>
      </c>
    </row>
    <row r="424" spans="1:17" hidden="1" x14ac:dyDescent="0.3">
      <c r="A424" s="54"/>
      <c r="B424" s="54"/>
      <c r="C424" s="54">
        <v>100000</v>
      </c>
      <c r="D424" s="54" t="s">
        <v>982</v>
      </c>
      <c r="E424" s="55" t="s">
        <v>983</v>
      </c>
      <c r="F424" s="57">
        <v>23380</v>
      </c>
      <c r="G424" s="57">
        <v>13860</v>
      </c>
      <c r="H424" s="54">
        <f t="shared" si="37"/>
        <v>9520</v>
      </c>
      <c r="I424" s="58">
        <v>2</v>
      </c>
      <c r="J424" s="54">
        <f t="shared" si="38"/>
        <v>9329.6</v>
      </c>
      <c r="K424" s="57">
        <v>3350</v>
      </c>
      <c r="L424" s="54">
        <f t="shared" si="39"/>
        <v>31254160</v>
      </c>
      <c r="P424" s="139">
        <v>30160000</v>
      </c>
      <c r="Q424" s="139">
        <f t="shared" si="40"/>
        <v>1094160</v>
      </c>
    </row>
    <row r="425" spans="1:17" hidden="1" x14ac:dyDescent="0.3">
      <c r="A425" s="54"/>
      <c r="B425" s="54"/>
      <c r="C425" s="54"/>
      <c r="D425" s="54"/>
      <c r="E425" s="55" t="s">
        <v>984</v>
      </c>
      <c r="F425" s="57">
        <v>10920</v>
      </c>
      <c r="G425" s="57">
        <v>5160</v>
      </c>
      <c r="H425" s="54">
        <f t="shared" si="37"/>
        <v>5760</v>
      </c>
      <c r="I425" s="58">
        <v>2.8</v>
      </c>
      <c r="J425" s="54">
        <f t="shared" si="38"/>
        <v>5598.72</v>
      </c>
      <c r="K425" s="57">
        <v>3850</v>
      </c>
      <c r="L425" s="54">
        <f t="shared" si="39"/>
        <v>21555072</v>
      </c>
      <c r="M425" s="206"/>
      <c r="N425" s="206"/>
      <c r="P425" s="139">
        <v>21275000</v>
      </c>
      <c r="Q425" s="139">
        <f t="shared" si="40"/>
        <v>280072</v>
      </c>
    </row>
    <row r="426" spans="1:17" hidden="1" x14ac:dyDescent="0.3">
      <c r="A426" s="54"/>
      <c r="B426" s="54"/>
      <c r="C426" s="54">
        <f>20000*12000</f>
        <v>240000000</v>
      </c>
      <c r="D426" s="54" t="s">
        <v>985</v>
      </c>
      <c r="E426" s="55"/>
      <c r="F426" s="57"/>
      <c r="G426" s="57"/>
      <c r="H426" s="54">
        <f t="shared" si="37"/>
        <v>0</v>
      </c>
      <c r="I426" s="58"/>
      <c r="J426" s="54">
        <f t="shared" si="38"/>
        <v>0</v>
      </c>
      <c r="K426" s="57"/>
      <c r="L426" s="54">
        <f t="shared" si="39"/>
        <v>0</v>
      </c>
      <c r="Q426" s="139">
        <f t="shared" si="40"/>
        <v>0</v>
      </c>
    </row>
    <row r="427" spans="1:17" hidden="1" x14ac:dyDescent="0.3">
      <c r="A427" s="54"/>
      <c r="B427" s="54">
        <v>4500000</v>
      </c>
      <c r="C427" s="54"/>
      <c r="D427" s="54" t="s">
        <v>988</v>
      </c>
      <c r="E427" s="55"/>
      <c r="F427" s="57"/>
      <c r="G427" s="57"/>
      <c r="H427" s="54">
        <f t="shared" si="37"/>
        <v>0</v>
      </c>
      <c r="I427" s="58"/>
      <c r="J427" s="54">
        <f t="shared" si="38"/>
        <v>0</v>
      </c>
      <c r="K427" s="57"/>
      <c r="L427" s="54">
        <f t="shared" si="39"/>
        <v>0</v>
      </c>
      <c r="Q427" s="139">
        <f t="shared" si="40"/>
        <v>0</v>
      </c>
    </row>
    <row r="428" spans="1:17" hidden="1" x14ac:dyDescent="0.3">
      <c r="A428" s="54"/>
      <c r="C428" s="204">
        <v>7474700</v>
      </c>
      <c r="D428" s="204" t="s">
        <v>992</v>
      </c>
      <c r="E428" s="55"/>
      <c r="F428" s="57"/>
      <c r="G428" s="57"/>
      <c r="H428" s="54">
        <f t="shared" si="37"/>
        <v>0</v>
      </c>
      <c r="I428" s="58"/>
      <c r="J428" s="54">
        <f t="shared" si="38"/>
        <v>0</v>
      </c>
      <c r="K428" s="57"/>
      <c r="L428" s="54">
        <f t="shared" si="39"/>
        <v>0</v>
      </c>
      <c r="Q428" s="139">
        <f t="shared" si="40"/>
        <v>0</v>
      </c>
    </row>
    <row r="429" spans="1:17" hidden="1" x14ac:dyDescent="0.3">
      <c r="A429" s="54"/>
      <c r="B429" s="54"/>
      <c r="C429" s="204">
        <v>10033000</v>
      </c>
      <c r="D429" s="204" t="s">
        <v>986</v>
      </c>
      <c r="E429" s="55"/>
      <c r="F429" s="57"/>
      <c r="G429" s="57"/>
      <c r="H429" s="54">
        <f t="shared" si="37"/>
        <v>0</v>
      </c>
      <c r="I429" s="58"/>
      <c r="J429" s="54">
        <f t="shared" si="38"/>
        <v>0</v>
      </c>
      <c r="K429" s="57"/>
      <c r="L429" s="54">
        <f t="shared" si="39"/>
        <v>0</v>
      </c>
      <c r="M429" s="206"/>
      <c r="Q429" s="139">
        <f t="shared" si="40"/>
        <v>0</v>
      </c>
    </row>
    <row r="430" spans="1:17" hidden="1" x14ac:dyDescent="0.3">
      <c r="A430" s="54"/>
      <c r="B430" s="54"/>
      <c r="C430" s="204">
        <v>6100000</v>
      </c>
      <c r="D430" s="204" t="s">
        <v>972</v>
      </c>
      <c r="E430" s="55"/>
      <c r="F430" s="57"/>
      <c r="G430" s="57"/>
      <c r="H430" s="54">
        <f t="shared" si="37"/>
        <v>0</v>
      </c>
      <c r="I430" s="58"/>
      <c r="J430" s="54">
        <f t="shared" si="38"/>
        <v>0</v>
      </c>
      <c r="K430" s="57"/>
      <c r="L430" s="54">
        <f t="shared" si="39"/>
        <v>0</v>
      </c>
      <c r="M430" s="206"/>
      <c r="Q430" s="139">
        <f t="shared" si="40"/>
        <v>0</v>
      </c>
    </row>
    <row r="431" spans="1:17" hidden="1" x14ac:dyDescent="0.3">
      <c r="A431" s="54"/>
      <c r="B431" s="54"/>
      <c r="C431" s="204">
        <v>75266413</v>
      </c>
      <c r="D431" s="204" t="s">
        <v>975</v>
      </c>
      <c r="E431" s="55"/>
      <c r="F431" s="57"/>
      <c r="G431" s="57"/>
      <c r="H431" s="54">
        <f t="shared" si="37"/>
        <v>0</v>
      </c>
      <c r="I431" s="58"/>
      <c r="J431" s="54">
        <f t="shared" si="38"/>
        <v>0</v>
      </c>
      <c r="K431" s="57"/>
      <c r="L431" s="54">
        <f t="shared" si="39"/>
        <v>0</v>
      </c>
      <c r="N431" s="206"/>
      <c r="Q431" s="139">
        <f t="shared" si="40"/>
        <v>0</v>
      </c>
    </row>
    <row r="432" spans="1:17" hidden="1" x14ac:dyDescent="0.3">
      <c r="A432" s="54"/>
      <c r="B432" s="54"/>
      <c r="C432" s="54"/>
      <c r="D432" s="54"/>
      <c r="E432" s="55"/>
      <c r="F432" s="57"/>
      <c r="G432" s="57"/>
      <c r="H432" s="54">
        <f t="shared" si="37"/>
        <v>0</v>
      </c>
      <c r="I432" s="58"/>
      <c r="J432" s="54">
        <f t="shared" si="38"/>
        <v>0</v>
      </c>
      <c r="K432" s="57"/>
      <c r="L432" s="54">
        <f t="shared" si="39"/>
        <v>0</v>
      </c>
      <c r="Q432" s="139">
        <f t="shared" si="40"/>
        <v>0</v>
      </c>
    </row>
    <row r="433" spans="1:17" hidden="1" x14ac:dyDescent="0.3">
      <c r="A433" s="54" t="s">
        <v>789</v>
      </c>
      <c r="B433" s="54"/>
      <c r="C433" s="54"/>
      <c r="D433" s="54"/>
      <c r="E433" s="55"/>
      <c r="F433" s="57"/>
      <c r="G433" s="57"/>
      <c r="H433" s="54">
        <f t="shared" si="37"/>
        <v>0</v>
      </c>
      <c r="I433" s="58"/>
      <c r="J433" s="54">
        <f t="shared" si="38"/>
        <v>0</v>
      </c>
      <c r="K433" s="57"/>
      <c r="L433" s="54">
        <f t="shared" si="39"/>
        <v>0</v>
      </c>
      <c r="Q433" s="139">
        <f t="shared" si="40"/>
        <v>0</v>
      </c>
    </row>
    <row r="434" spans="1:17" hidden="1" x14ac:dyDescent="0.3">
      <c r="A434" s="54"/>
      <c r="B434" s="54"/>
      <c r="C434" s="54">
        <f>14000*12080</f>
        <v>169120000</v>
      </c>
      <c r="D434" s="54" t="s">
        <v>1000</v>
      </c>
      <c r="E434" s="55" t="s">
        <v>1001</v>
      </c>
      <c r="F434" s="57">
        <v>26940</v>
      </c>
      <c r="G434" s="57">
        <v>13090</v>
      </c>
      <c r="H434" s="54">
        <f t="shared" si="37"/>
        <v>13850</v>
      </c>
      <c r="I434" s="58">
        <v>3.8</v>
      </c>
      <c r="J434" s="54">
        <f t="shared" si="38"/>
        <v>13323.7</v>
      </c>
      <c r="K434" s="57">
        <v>3650</v>
      </c>
      <c r="L434" s="54">
        <f t="shared" si="39"/>
        <v>48631505</v>
      </c>
      <c r="P434" s="139">
        <v>48850000</v>
      </c>
      <c r="Q434" s="139">
        <f t="shared" si="40"/>
        <v>-218495</v>
      </c>
    </row>
    <row r="435" spans="1:17" hidden="1" x14ac:dyDescent="0.3">
      <c r="A435" s="54"/>
      <c r="B435" s="54"/>
      <c r="C435" s="180">
        <v>6533500</v>
      </c>
      <c r="D435" s="180" t="s">
        <v>1002</v>
      </c>
      <c r="E435" s="55"/>
      <c r="F435" s="57"/>
      <c r="G435" s="57"/>
      <c r="H435" s="54">
        <f t="shared" si="37"/>
        <v>0</v>
      </c>
      <c r="I435" s="58"/>
      <c r="J435" s="54">
        <f t="shared" si="38"/>
        <v>0</v>
      </c>
      <c r="K435" s="57"/>
      <c r="L435" s="54">
        <f t="shared" si="39"/>
        <v>0</v>
      </c>
      <c r="Q435" s="139">
        <f t="shared" si="40"/>
        <v>0</v>
      </c>
    </row>
    <row r="436" spans="1:17" hidden="1" x14ac:dyDescent="0.3">
      <c r="A436" s="54"/>
      <c r="B436" s="54"/>
      <c r="C436" s="180">
        <v>365000</v>
      </c>
      <c r="D436" s="180" t="s">
        <v>1003</v>
      </c>
      <c r="E436" s="55"/>
      <c r="F436" s="57"/>
      <c r="G436" s="57"/>
      <c r="H436" s="54">
        <f t="shared" si="37"/>
        <v>0</v>
      </c>
      <c r="I436" s="58"/>
      <c r="J436" s="54">
        <f t="shared" si="38"/>
        <v>0</v>
      </c>
      <c r="K436" s="57"/>
      <c r="L436" s="54">
        <f t="shared" si="39"/>
        <v>0</v>
      </c>
      <c r="N436" s="205"/>
      <c r="Q436" s="139">
        <f t="shared" si="40"/>
        <v>0</v>
      </c>
    </row>
    <row r="437" spans="1:17" hidden="1" x14ac:dyDescent="0.3">
      <c r="A437" s="54" t="s">
        <v>798</v>
      </c>
      <c r="B437" s="54"/>
      <c r="C437" s="177"/>
      <c r="D437" s="177"/>
      <c r="E437" s="55"/>
      <c r="F437" s="57"/>
      <c r="G437" s="57"/>
      <c r="H437" s="54">
        <f t="shared" si="37"/>
        <v>0</v>
      </c>
      <c r="I437" s="58"/>
      <c r="J437" s="54">
        <f t="shared" si="38"/>
        <v>0</v>
      </c>
      <c r="K437" s="57"/>
      <c r="L437" s="54">
        <f t="shared" si="39"/>
        <v>0</v>
      </c>
      <c r="M437" s="205"/>
      <c r="Q437" s="139">
        <f t="shared" si="40"/>
        <v>0</v>
      </c>
    </row>
    <row r="438" spans="1:17" hidden="1" x14ac:dyDescent="0.3">
      <c r="A438" s="54"/>
      <c r="B438" s="54"/>
      <c r="C438" s="54"/>
      <c r="D438" s="54"/>
      <c r="E438" s="55" t="s">
        <v>1009</v>
      </c>
      <c r="F438" s="57">
        <v>19560</v>
      </c>
      <c r="G438" s="57">
        <v>9360</v>
      </c>
      <c r="H438" s="54">
        <f t="shared" si="37"/>
        <v>10200</v>
      </c>
      <c r="I438" s="58">
        <v>2</v>
      </c>
      <c r="J438" s="54">
        <f t="shared" si="38"/>
        <v>9996</v>
      </c>
      <c r="K438" s="57">
        <v>3380</v>
      </c>
      <c r="L438" s="54">
        <f t="shared" si="39"/>
        <v>33786480</v>
      </c>
      <c r="P438" s="139">
        <v>32650000</v>
      </c>
      <c r="Q438" s="139">
        <f t="shared" si="40"/>
        <v>1136480</v>
      </c>
    </row>
    <row r="439" spans="1:17" hidden="1" x14ac:dyDescent="0.3">
      <c r="A439" s="54"/>
      <c r="B439" s="54"/>
      <c r="C439" s="54">
        <v>2000000</v>
      </c>
      <c r="D439" s="54" t="s">
        <v>1011</v>
      </c>
      <c r="E439" s="55" t="s">
        <v>1010</v>
      </c>
      <c r="F439" s="57">
        <v>16780</v>
      </c>
      <c r="G439" s="57">
        <v>9070</v>
      </c>
      <c r="H439" s="54">
        <f t="shared" si="37"/>
        <v>7710</v>
      </c>
      <c r="I439" s="58">
        <v>2</v>
      </c>
      <c r="J439" s="54">
        <f t="shared" si="38"/>
        <v>7555.8</v>
      </c>
      <c r="K439" s="57">
        <v>3380</v>
      </c>
      <c r="L439" s="54">
        <f t="shared" si="39"/>
        <v>25538604</v>
      </c>
      <c r="P439" s="139">
        <v>24679000</v>
      </c>
      <c r="Q439" s="139">
        <f t="shared" si="40"/>
        <v>859604</v>
      </c>
    </row>
    <row r="440" spans="1:17" hidden="1" x14ac:dyDescent="0.3">
      <c r="A440" s="54" t="s">
        <v>802</v>
      </c>
      <c r="B440" s="54"/>
      <c r="C440" s="54"/>
      <c r="D440" s="54"/>
      <c r="E440" s="55" t="s">
        <v>1014</v>
      </c>
      <c r="F440" s="57">
        <v>22060</v>
      </c>
      <c r="G440" s="57">
        <v>9760</v>
      </c>
      <c r="H440" s="54">
        <f t="shared" si="37"/>
        <v>12300</v>
      </c>
      <c r="I440" s="58">
        <v>2</v>
      </c>
      <c r="J440" s="54">
        <f t="shared" si="38"/>
        <v>12054</v>
      </c>
      <c r="K440" s="57">
        <v>3650</v>
      </c>
      <c r="L440" s="54">
        <f t="shared" si="39"/>
        <v>43997100</v>
      </c>
      <c r="P440" s="139">
        <f>13615000+27982000+800000</f>
        <v>42397000</v>
      </c>
      <c r="Q440" s="139">
        <f t="shared" si="40"/>
        <v>1600100</v>
      </c>
    </row>
    <row r="441" spans="1:17" hidden="1" x14ac:dyDescent="0.3">
      <c r="A441" s="54"/>
      <c r="B441" s="54"/>
      <c r="C441" s="54">
        <v>600000</v>
      </c>
      <c r="D441" s="54" t="s">
        <v>207</v>
      </c>
      <c r="E441" s="55" t="s">
        <v>1015</v>
      </c>
      <c r="F441" s="57">
        <v>20920</v>
      </c>
      <c r="G441" s="57">
        <v>12820</v>
      </c>
      <c r="H441" s="54">
        <f t="shared" si="37"/>
        <v>8100</v>
      </c>
      <c r="I441" s="58">
        <v>3</v>
      </c>
      <c r="J441" s="54">
        <f t="shared" si="38"/>
        <v>7857</v>
      </c>
      <c r="K441" s="57">
        <v>3380</v>
      </c>
      <c r="L441" s="54">
        <f t="shared" si="39"/>
        <v>26556660</v>
      </c>
      <c r="P441" s="139">
        <f>26246000-250000</f>
        <v>25996000</v>
      </c>
      <c r="Q441" s="139">
        <f t="shared" si="40"/>
        <v>560660</v>
      </c>
    </row>
    <row r="442" spans="1:17" hidden="1" x14ac:dyDescent="0.3">
      <c r="A442" s="54"/>
      <c r="B442" s="54"/>
      <c r="C442" s="54"/>
      <c r="D442" s="54"/>
      <c r="E442" s="55" t="s">
        <v>377</v>
      </c>
      <c r="F442" s="57">
        <v>28620</v>
      </c>
      <c r="G442" s="57">
        <v>14750</v>
      </c>
      <c r="H442" s="54">
        <f t="shared" si="37"/>
        <v>13870</v>
      </c>
      <c r="I442" s="58">
        <v>3</v>
      </c>
      <c r="J442" s="54">
        <f t="shared" si="38"/>
        <v>13453.9</v>
      </c>
      <c r="K442" s="57">
        <v>3650</v>
      </c>
      <c r="L442" s="54">
        <f t="shared" si="39"/>
        <v>49106735</v>
      </c>
      <c r="P442" s="139">
        <v>47801000</v>
      </c>
      <c r="Q442" s="139">
        <f t="shared" si="40"/>
        <v>1305735</v>
      </c>
    </row>
    <row r="443" spans="1:17" hidden="1" x14ac:dyDescent="0.3">
      <c r="A443" s="54"/>
      <c r="B443" s="54"/>
      <c r="C443" s="54">
        <v>300000</v>
      </c>
      <c r="D443" s="54" t="s">
        <v>758</v>
      </c>
      <c r="E443" s="55" t="s">
        <v>1016</v>
      </c>
      <c r="F443" s="57">
        <v>17930</v>
      </c>
      <c r="G443" s="57">
        <v>10110</v>
      </c>
      <c r="H443" s="54">
        <f t="shared" si="37"/>
        <v>7820</v>
      </c>
      <c r="I443" s="58">
        <v>3</v>
      </c>
      <c r="J443" s="54">
        <f t="shared" si="38"/>
        <v>7585.4</v>
      </c>
      <c r="K443" s="57">
        <v>3650</v>
      </c>
      <c r="L443" s="54">
        <f t="shared" si="39"/>
        <v>27686710</v>
      </c>
      <c r="P443" s="139">
        <f>26960000+300000</f>
        <v>27260000</v>
      </c>
      <c r="Q443" s="139">
        <f t="shared" si="40"/>
        <v>426710</v>
      </c>
    </row>
    <row r="444" spans="1:17" hidden="1" x14ac:dyDescent="0.3">
      <c r="A444" s="54"/>
      <c r="B444" s="54"/>
      <c r="C444" s="54"/>
      <c r="D444" s="54"/>
      <c r="E444" s="55" t="s">
        <v>1017</v>
      </c>
      <c r="F444" s="57">
        <v>23440</v>
      </c>
      <c r="G444" s="57">
        <v>13260</v>
      </c>
      <c r="H444" s="54">
        <f t="shared" si="37"/>
        <v>10180</v>
      </c>
      <c r="I444" s="58">
        <v>3</v>
      </c>
      <c r="J444" s="54">
        <f t="shared" si="38"/>
        <v>9874.6</v>
      </c>
      <c r="K444" s="57">
        <v>3380</v>
      </c>
      <c r="L444" s="54">
        <f t="shared" si="39"/>
        <v>33376148</v>
      </c>
      <c r="P444" s="139">
        <v>32586000</v>
      </c>
      <c r="Q444" s="139">
        <f t="shared" si="40"/>
        <v>790148</v>
      </c>
    </row>
    <row r="445" spans="1:17" hidden="1" x14ac:dyDescent="0.3">
      <c r="A445" s="54"/>
      <c r="B445" s="54"/>
      <c r="C445" s="54"/>
      <c r="D445" s="54"/>
      <c r="E445" s="55"/>
      <c r="F445" s="57"/>
      <c r="G445" s="57"/>
      <c r="H445" s="54">
        <f t="shared" si="37"/>
        <v>0</v>
      </c>
      <c r="I445" s="58"/>
      <c r="J445" s="54">
        <f t="shared" si="38"/>
        <v>0</v>
      </c>
      <c r="K445" s="57"/>
      <c r="L445" s="54">
        <f t="shared" si="39"/>
        <v>0</v>
      </c>
      <c r="Q445" s="139">
        <f t="shared" si="40"/>
        <v>0</v>
      </c>
    </row>
    <row r="446" spans="1:17" hidden="1" x14ac:dyDescent="0.3">
      <c r="A446" s="54" t="s">
        <v>1021</v>
      </c>
      <c r="B446" s="54"/>
      <c r="C446" s="209">
        <f>10000*11970</f>
        <v>119700000</v>
      </c>
      <c r="D446" s="54" t="s">
        <v>1022</v>
      </c>
      <c r="E446" s="55" t="s">
        <v>1023</v>
      </c>
      <c r="F446" s="57">
        <v>19220</v>
      </c>
      <c r="G446" s="57">
        <v>9510</v>
      </c>
      <c r="H446" s="54">
        <f t="shared" si="37"/>
        <v>9710</v>
      </c>
      <c r="I446" s="58">
        <v>2</v>
      </c>
      <c r="J446" s="54">
        <f t="shared" si="38"/>
        <v>9515.7999999999993</v>
      </c>
      <c r="K446" s="57">
        <v>3650</v>
      </c>
      <c r="L446" s="54">
        <f t="shared" si="39"/>
        <v>34732670</v>
      </c>
      <c r="P446" s="139">
        <v>33169150</v>
      </c>
      <c r="Q446" s="139">
        <f t="shared" si="40"/>
        <v>1563520</v>
      </c>
    </row>
    <row r="447" spans="1:17" hidden="1" x14ac:dyDescent="0.3">
      <c r="A447" s="54"/>
      <c r="B447" s="54"/>
      <c r="C447" s="54"/>
      <c r="D447" s="54"/>
      <c r="E447" s="55" t="s">
        <v>1024</v>
      </c>
      <c r="F447" s="57">
        <v>25840</v>
      </c>
      <c r="G447" s="57">
        <v>11820</v>
      </c>
      <c r="H447" s="54">
        <f t="shared" si="37"/>
        <v>14020</v>
      </c>
      <c r="I447" s="58">
        <v>2</v>
      </c>
      <c r="J447" s="54">
        <f t="shared" si="38"/>
        <v>13739.6</v>
      </c>
      <c r="K447" s="57">
        <v>3650</v>
      </c>
      <c r="L447" s="54">
        <f t="shared" si="39"/>
        <v>50149540</v>
      </c>
      <c r="P447" s="139">
        <f>47640150+800000</f>
        <v>48440150</v>
      </c>
      <c r="Q447" s="139">
        <f t="shared" si="40"/>
        <v>1709390</v>
      </c>
    </row>
    <row r="448" spans="1:17" hidden="1" x14ac:dyDescent="0.3">
      <c r="A448" s="54"/>
      <c r="B448" s="54"/>
      <c r="C448" s="54"/>
      <c r="D448" s="54"/>
      <c r="E448" s="55"/>
      <c r="F448" s="57"/>
      <c r="G448" s="57"/>
      <c r="H448" s="54">
        <f t="shared" si="37"/>
        <v>0</v>
      </c>
      <c r="I448" s="58"/>
      <c r="J448" s="54">
        <f t="shared" si="38"/>
        <v>0</v>
      </c>
      <c r="K448" s="57"/>
      <c r="L448" s="54">
        <f t="shared" si="39"/>
        <v>0</v>
      </c>
      <c r="Q448" s="139">
        <f t="shared" si="40"/>
        <v>0</v>
      </c>
    </row>
    <row r="449" spans="1:17" hidden="1" x14ac:dyDescent="0.3">
      <c r="A449" s="54"/>
      <c r="B449" s="54"/>
      <c r="C449" s="54"/>
      <c r="D449" s="54"/>
      <c r="E449" s="55"/>
      <c r="F449" s="57"/>
      <c r="G449" s="57"/>
      <c r="H449" s="54">
        <f t="shared" si="37"/>
        <v>0</v>
      </c>
      <c r="I449" s="58"/>
      <c r="J449" s="54">
        <f t="shared" si="38"/>
        <v>0</v>
      </c>
      <c r="K449" s="57"/>
      <c r="L449" s="54">
        <f t="shared" si="39"/>
        <v>0</v>
      </c>
      <c r="Q449" s="139">
        <f t="shared" si="40"/>
        <v>0</v>
      </c>
    </row>
    <row r="450" spans="1:17" hidden="1" x14ac:dyDescent="0.3">
      <c r="A450" s="54"/>
      <c r="B450" s="54"/>
      <c r="C450" s="54"/>
      <c r="D450" s="54"/>
      <c r="E450" s="55"/>
      <c r="F450" s="57"/>
      <c r="G450" s="57"/>
      <c r="H450" s="54">
        <f t="shared" si="37"/>
        <v>0</v>
      </c>
      <c r="I450" s="58"/>
      <c r="J450" s="54">
        <f t="shared" si="38"/>
        <v>0</v>
      </c>
      <c r="K450" s="57"/>
      <c r="L450" s="54">
        <f t="shared" si="39"/>
        <v>0</v>
      </c>
      <c r="Q450" s="139">
        <f t="shared" si="40"/>
        <v>0</v>
      </c>
    </row>
    <row r="451" spans="1:17" hidden="1" x14ac:dyDescent="0.3">
      <c r="A451" s="54" t="s">
        <v>816</v>
      </c>
      <c r="B451" s="54"/>
      <c r="C451" s="54">
        <f>9500*12010</f>
        <v>114095000</v>
      </c>
      <c r="D451" s="54" t="s">
        <v>721</v>
      </c>
      <c r="E451" s="55" t="s">
        <v>1039</v>
      </c>
      <c r="F451" s="57">
        <v>17370</v>
      </c>
      <c r="G451" s="57">
        <v>8580</v>
      </c>
      <c r="H451" s="54">
        <f t="shared" si="37"/>
        <v>8790</v>
      </c>
      <c r="I451" s="58">
        <v>2</v>
      </c>
      <c r="J451" s="54">
        <f t="shared" si="38"/>
        <v>8614.2000000000007</v>
      </c>
      <c r="K451" s="57">
        <v>3650</v>
      </c>
      <c r="L451" s="54">
        <f t="shared" si="39"/>
        <v>31441830.000000004</v>
      </c>
      <c r="P451" s="139">
        <v>29943000</v>
      </c>
      <c r="Q451" s="139">
        <f t="shared" si="40"/>
        <v>1498830.0000000037</v>
      </c>
    </row>
    <row r="452" spans="1:17" hidden="1" x14ac:dyDescent="0.3">
      <c r="A452" s="54"/>
      <c r="B452" s="54"/>
      <c r="C452" s="54">
        <v>55000000</v>
      </c>
      <c r="D452" s="54" t="s">
        <v>1038</v>
      </c>
      <c r="E452" s="55" t="s">
        <v>817</v>
      </c>
      <c r="F452" s="57">
        <v>11040</v>
      </c>
      <c r="G452" s="57">
        <v>4940</v>
      </c>
      <c r="H452" s="54">
        <f t="shared" si="37"/>
        <v>6100</v>
      </c>
      <c r="I452" s="58">
        <v>3</v>
      </c>
      <c r="J452" s="54">
        <f t="shared" si="38"/>
        <v>5917</v>
      </c>
      <c r="K452" s="57">
        <v>3380</v>
      </c>
      <c r="L452" s="54">
        <f t="shared" si="39"/>
        <v>19999460</v>
      </c>
      <c r="P452" s="139">
        <v>19091000</v>
      </c>
      <c r="Q452" s="139">
        <f t="shared" si="40"/>
        <v>908460</v>
      </c>
    </row>
    <row r="453" spans="1:17" hidden="1" x14ac:dyDescent="0.3">
      <c r="A453" s="54"/>
      <c r="B453" s="54"/>
      <c r="C453" s="54">
        <v>307000</v>
      </c>
      <c r="D453" s="54" t="s">
        <v>914</v>
      </c>
      <c r="E453" s="55"/>
      <c r="F453" s="57"/>
      <c r="G453" s="57"/>
      <c r="H453" s="54">
        <f t="shared" si="37"/>
        <v>0</v>
      </c>
      <c r="I453" s="58"/>
      <c r="J453" s="54">
        <f t="shared" si="38"/>
        <v>0</v>
      </c>
      <c r="K453" s="57"/>
      <c r="L453" s="54">
        <f t="shared" si="39"/>
        <v>0</v>
      </c>
      <c r="Q453" s="139">
        <f t="shared" si="40"/>
        <v>0</v>
      </c>
    </row>
    <row r="454" spans="1:17" hidden="1" x14ac:dyDescent="0.3">
      <c r="A454" s="54" t="s">
        <v>1008</v>
      </c>
      <c r="B454" s="54"/>
      <c r="C454" s="180">
        <v>6250000</v>
      </c>
      <c r="D454" s="180" t="s">
        <v>1042</v>
      </c>
      <c r="E454" s="179" t="s">
        <v>1040</v>
      </c>
      <c r="F454" s="57">
        <v>38120</v>
      </c>
      <c r="G454" s="57">
        <v>21220</v>
      </c>
      <c r="H454" s="54">
        <f t="shared" si="37"/>
        <v>16900</v>
      </c>
      <c r="I454" s="58">
        <v>1</v>
      </c>
      <c r="J454" s="54">
        <f t="shared" si="38"/>
        <v>16731</v>
      </c>
      <c r="K454" s="57">
        <v>3950</v>
      </c>
      <c r="L454" s="54">
        <f t="shared" si="39"/>
        <v>66087450</v>
      </c>
      <c r="P454" s="139">
        <f>16731*3750</f>
        <v>62741250</v>
      </c>
      <c r="Q454" s="139">
        <f t="shared" si="40"/>
        <v>3346200</v>
      </c>
    </row>
    <row r="455" spans="1:17" hidden="1" x14ac:dyDescent="0.3">
      <c r="A455" s="54" t="s">
        <v>1008</v>
      </c>
      <c r="B455" s="54"/>
      <c r="C455" s="54"/>
      <c r="D455" s="54"/>
      <c r="E455" s="179" t="s">
        <v>1041</v>
      </c>
      <c r="F455" s="57">
        <v>21200</v>
      </c>
      <c r="G455" s="57">
        <v>13880</v>
      </c>
      <c r="H455" s="54">
        <f t="shared" si="37"/>
        <v>7320</v>
      </c>
      <c r="I455" s="58">
        <v>2</v>
      </c>
      <c r="J455" s="54">
        <f t="shared" si="38"/>
        <v>7173.6</v>
      </c>
      <c r="K455" s="57">
        <v>3630</v>
      </c>
      <c r="L455" s="54">
        <f t="shared" si="39"/>
        <v>26040168</v>
      </c>
      <c r="P455" s="139">
        <f>7174*3550</f>
        <v>25467700</v>
      </c>
      <c r="Q455" s="139">
        <f t="shared" si="40"/>
        <v>572468</v>
      </c>
    </row>
    <row r="456" spans="1:17" hidden="1" x14ac:dyDescent="0.3">
      <c r="A456" s="54" t="s">
        <v>1046</v>
      </c>
      <c r="B456" s="54"/>
      <c r="C456" s="54">
        <f>9000*12050</f>
        <v>108450000</v>
      </c>
      <c r="D456" s="54" t="s">
        <v>1048</v>
      </c>
      <c r="E456" s="55" t="s">
        <v>1049</v>
      </c>
      <c r="F456" s="57">
        <v>24180</v>
      </c>
      <c r="G456" s="57">
        <v>12260</v>
      </c>
      <c r="H456" s="54">
        <f t="shared" si="37"/>
        <v>11920</v>
      </c>
      <c r="I456" s="58">
        <v>4.4000000000000004</v>
      </c>
      <c r="J456" s="54">
        <f t="shared" si="38"/>
        <v>11395.52</v>
      </c>
      <c r="K456" s="57">
        <v>3380</v>
      </c>
      <c r="L456" s="54">
        <f t="shared" si="39"/>
        <v>38516857.600000001</v>
      </c>
      <c r="P456" s="139">
        <v>38476000</v>
      </c>
      <c r="Q456" s="139">
        <f t="shared" si="40"/>
        <v>40857.60000000149</v>
      </c>
    </row>
    <row r="457" spans="1:17" hidden="1" x14ac:dyDescent="0.3">
      <c r="A457" s="54"/>
      <c r="B457" s="54"/>
      <c r="C457" s="54"/>
      <c r="D457" s="54"/>
      <c r="E457" s="55" t="s">
        <v>1050</v>
      </c>
      <c r="F457" s="57">
        <v>20040</v>
      </c>
      <c r="G457" s="57">
        <v>8910</v>
      </c>
      <c r="H457" s="54">
        <f t="shared" si="37"/>
        <v>11130</v>
      </c>
      <c r="I457" s="58">
        <v>3</v>
      </c>
      <c r="J457" s="54">
        <f t="shared" si="38"/>
        <v>10796.1</v>
      </c>
      <c r="K457" s="57">
        <v>3600</v>
      </c>
      <c r="L457" s="54">
        <f t="shared" si="39"/>
        <v>38865960</v>
      </c>
      <c r="P457" s="139">
        <v>38650000</v>
      </c>
      <c r="Q457" s="139">
        <f t="shared" si="40"/>
        <v>215960</v>
      </c>
    </row>
    <row r="458" spans="1:17" hidden="1" x14ac:dyDescent="0.3">
      <c r="A458" s="54"/>
      <c r="B458" s="54"/>
      <c r="C458" s="54"/>
      <c r="D458" s="54"/>
      <c r="E458" s="55" t="s">
        <v>1051</v>
      </c>
      <c r="F458" s="57">
        <v>30800</v>
      </c>
      <c r="G458" s="57">
        <v>14940</v>
      </c>
      <c r="H458" s="54">
        <f t="shared" si="37"/>
        <v>15860</v>
      </c>
      <c r="I458" s="58">
        <v>2</v>
      </c>
      <c r="J458" s="54">
        <f t="shared" si="38"/>
        <v>15542.8</v>
      </c>
      <c r="K458" s="57">
        <v>3380</v>
      </c>
      <c r="L458" s="54">
        <f t="shared" si="39"/>
        <v>52534664</v>
      </c>
      <c r="P458" s="139">
        <v>50400000</v>
      </c>
      <c r="Q458" s="139">
        <f t="shared" si="40"/>
        <v>2134664</v>
      </c>
    </row>
    <row r="459" spans="1:17" hidden="1" x14ac:dyDescent="0.3">
      <c r="A459" s="54"/>
      <c r="B459" s="54"/>
      <c r="C459" s="54"/>
      <c r="D459" s="54"/>
      <c r="E459" s="55" t="s">
        <v>1052</v>
      </c>
      <c r="F459" s="57">
        <v>26910</v>
      </c>
      <c r="G459" s="57">
        <v>9500</v>
      </c>
      <c r="H459" s="54">
        <f t="shared" si="37"/>
        <v>17410</v>
      </c>
      <c r="I459" s="58">
        <v>2</v>
      </c>
      <c r="J459" s="54">
        <f t="shared" si="38"/>
        <v>17061.8</v>
      </c>
      <c r="K459" s="57">
        <v>3650</v>
      </c>
      <c r="L459" s="54">
        <f t="shared" si="39"/>
        <v>62275570</v>
      </c>
      <c r="P459" s="139">
        <v>60916000</v>
      </c>
      <c r="Q459" s="139">
        <f t="shared" si="40"/>
        <v>1359570</v>
      </c>
    </row>
    <row r="460" spans="1:17" hidden="1" x14ac:dyDescent="0.3">
      <c r="A460" s="54"/>
      <c r="B460" s="54"/>
      <c r="C460" s="54"/>
      <c r="D460" s="54"/>
      <c r="E460" s="55" t="s">
        <v>1053</v>
      </c>
      <c r="F460" s="57">
        <v>26770</v>
      </c>
      <c r="G460" s="57">
        <v>13510</v>
      </c>
      <c r="H460" s="54">
        <f t="shared" si="37"/>
        <v>13260</v>
      </c>
      <c r="I460" s="58">
        <v>3.3</v>
      </c>
      <c r="J460" s="54">
        <f t="shared" si="38"/>
        <v>12822.42</v>
      </c>
      <c r="K460" s="57">
        <v>3650</v>
      </c>
      <c r="L460" s="54">
        <f t="shared" si="39"/>
        <v>46801833</v>
      </c>
      <c r="P460" s="139">
        <v>45187000</v>
      </c>
      <c r="Q460" s="139">
        <f t="shared" si="40"/>
        <v>1614833</v>
      </c>
    </row>
    <row r="461" spans="1:17" hidden="1" x14ac:dyDescent="0.3">
      <c r="A461" s="54"/>
      <c r="B461" s="54"/>
      <c r="C461" s="54"/>
      <c r="D461" s="54"/>
      <c r="E461" s="55" t="s">
        <v>1054</v>
      </c>
      <c r="F461" s="57">
        <v>26010</v>
      </c>
      <c r="G461" s="57">
        <v>12440</v>
      </c>
      <c r="H461" s="54">
        <f t="shared" si="37"/>
        <v>13570</v>
      </c>
      <c r="I461" s="58">
        <v>2.85</v>
      </c>
      <c r="J461" s="54">
        <f t="shared" si="38"/>
        <v>13183.254999999999</v>
      </c>
      <c r="K461" s="57">
        <v>3650</v>
      </c>
      <c r="L461" s="54">
        <f t="shared" si="39"/>
        <v>48118880.75</v>
      </c>
      <c r="P461" s="139">
        <v>47840000</v>
      </c>
      <c r="Q461" s="139">
        <f t="shared" si="40"/>
        <v>278880.75</v>
      </c>
    </row>
    <row r="462" spans="1:17" hidden="1" x14ac:dyDescent="0.3">
      <c r="A462" s="54"/>
      <c r="B462" s="54"/>
      <c r="C462" s="54"/>
      <c r="D462" s="54"/>
      <c r="E462" s="55" t="s">
        <v>1055</v>
      </c>
      <c r="F462" s="57">
        <v>26650</v>
      </c>
      <c r="G462" s="57">
        <v>12930</v>
      </c>
      <c r="H462" s="54">
        <f t="shared" si="37"/>
        <v>13720</v>
      </c>
      <c r="I462" s="58">
        <v>2.75</v>
      </c>
      <c r="J462" s="54">
        <f t="shared" si="38"/>
        <v>13342.7</v>
      </c>
      <c r="K462" s="57">
        <v>3650</v>
      </c>
      <c r="L462" s="54">
        <f t="shared" si="39"/>
        <v>48700855</v>
      </c>
      <c r="P462" s="139">
        <v>47706000</v>
      </c>
      <c r="Q462" s="139">
        <f t="shared" si="40"/>
        <v>994855</v>
      </c>
    </row>
    <row r="463" spans="1:17" hidden="1" x14ac:dyDescent="0.3">
      <c r="A463" s="54" t="s">
        <v>1059</v>
      </c>
      <c r="B463" s="54"/>
      <c r="C463" s="54">
        <f>13100*12100</f>
        <v>158510000</v>
      </c>
      <c r="D463" s="54" t="s">
        <v>1060</v>
      </c>
      <c r="E463" s="179" t="s">
        <v>1063</v>
      </c>
      <c r="F463" s="57">
        <v>24790</v>
      </c>
      <c r="G463" s="57">
        <v>12990</v>
      </c>
      <c r="H463" s="54">
        <f t="shared" si="37"/>
        <v>11800</v>
      </c>
      <c r="I463" s="58">
        <v>1</v>
      </c>
      <c r="J463" s="54">
        <f t="shared" si="38"/>
        <v>11682</v>
      </c>
      <c r="K463" s="57">
        <v>3750</v>
      </c>
      <c r="L463" s="54">
        <f t="shared" si="39"/>
        <v>43807500</v>
      </c>
      <c r="P463" s="139">
        <f>11682*3670</f>
        <v>42872940</v>
      </c>
      <c r="Q463" s="139">
        <f t="shared" si="40"/>
        <v>934560</v>
      </c>
    </row>
    <row r="464" spans="1:17" hidden="1" x14ac:dyDescent="0.3">
      <c r="A464" s="54"/>
      <c r="B464" s="54"/>
      <c r="C464" s="210">
        <v>3742000</v>
      </c>
      <c r="D464" s="54" t="s">
        <v>1066</v>
      </c>
      <c r="E464" s="179" t="s">
        <v>1064</v>
      </c>
      <c r="F464" s="57">
        <v>41560</v>
      </c>
      <c r="G464" s="57">
        <v>19400</v>
      </c>
      <c r="H464" s="54">
        <f t="shared" si="37"/>
        <v>22160</v>
      </c>
      <c r="I464" s="58">
        <v>1</v>
      </c>
      <c r="J464" s="54">
        <f t="shared" si="38"/>
        <v>21938.400000000001</v>
      </c>
      <c r="K464" s="57">
        <v>3750</v>
      </c>
      <c r="L464" s="54">
        <f t="shared" si="39"/>
        <v>82269000</v>
      </c>
      <c r="P464" s="139">
        <f>21938*3670</f>
        <v>80512460</v>
      </c>
      <c r="Q464" s="139">
        <f t="shared" si="40"/>
        <v>1756540</v>
      </c>
    </row>
    <row r="465" spans="1:17" hidden="1" x14ac:dyDescent="0.3">
      <c r="A465" s="54"/>
      <c r="B465" s="54"/>
      <c r="C465" s="54"/>
      <c r="D465" s="54"/>
      <c r="E465" s="179" t="s">
        <v>1065</v>
      </c>
      <c r="F465" s="57">
        <v>25160</v>
      </c>
      <c r="G465" s="57">
        <v>11880</v>
      </c>
      <c r="H465" s="54">
        <f t="shared" si="37"/>
        <v>13280</v>
      </c>
      <c r="I465" s="58">
        <v>1</v>
      </c>
      <c r="J465" s="54">
        <f t="shared" si="38"/>
        <v>13147.2</v>
      </c>
      <c r="K465" s="57">
        <v>3750</v>
      </c>
      <c r="L465" s="54">
        <f t="shared" si="39"/>
        <v>49302000</v>
      </c>
      <c r="P465" s="139">
        <f>13147*3670</f>
        <v>48249490</v>
      </c>
      <c r="Q465" s="139">
        <f t="shared" si="40"/>
        <v>1052510</v>
      </c>
    </row>
    <row r="466" spans="1:17" hidden="1" x14ac:dyDescent="0.3">
      <c r="A466" s="54"/>
      <c r="B466" s="54"/>
      <c r="C466" s="54">
        <v>100000</v>
      </c>
      <c r="D466" s="54" t="s">
        <v>1068</v>
      </c>
      <c r="E466" s="55" t="s">
        <v>1067</v>
      </c>
      <c r="F466" s="57">
        <v>17520</v>
      </c>
      <c r="G466" s="57">
        <v>8940</v>
      </c>
      <c r="H466" s="54">
        <f t="shared" si="37"/>
        <v>8580</v>
      </c>
      <c r="I466" s="58">
        <v>2</v>
      </c>
      <c r="J466" s="54">
        <f t="shared" si="38"/>
        <v>8408.4</v>
      </c>
      <c r="K466" s="57">
        <v>3380</v>
      </c>
      <c r="L466" s="54">
        <f t="shared" si="39"/>
        <v>28420392</v>
      </c>
      <c r="P466" s="139">
        <v>27420000</v>
      </c>
      <c r="Q466" s="139">
        <f t="shared" si="40"/>
        <v>1000392</v>
      </c>
    </row>
    <row r="467" spans="1:17" hidden="1" x14ac:dyDescent="0.3">
      <c r="A467" s="54"/>
      <c r="B467" s="54"/>
      <c r="C467" s="54">
        <v>500000</v>
      </c>
      <c r="D467" s="54" t="s">
        <v>1070</v>
      </c>
      <c r="E467" s="55" t="s">
        <v>1069</v>
      </c>
      <c r="F467" s="57">
        <v>23710</v>
      </c>
      <c r="G467" s="57">
        <v>12660</v>
      </c>
      <c r="H467" s="54">
        <f t="shared" si="37"/>
        <v>11050</v>
      </c>
      <c r="I467" s="58">
        <v>2</v>
      </c>
      <c r="J467" s="54">
        <f t="shared" si="38"/>
        <v>10829</v>
      </c>
      <c r="K467" s="57">
        <v>3380</v>
      </c>
      <c r="L467" s="54">
        <f t="shared" si="39"/>
        <v>36602020</v>
      </c>
      <c r="P467" s="139">
        <v>34040000</v>
      </c>
      <c r="Q467" s="139">
        <f t="shared" si="40"/>
        <v>2562020</v>
      </c>
    </row>
    <row r="468" spans="1:17" hidden="1" x14ac:dyDescent="0.3">
      <c r="A468" s="54" t="s">
        <v>1072</v>
      </c>
      <c r="B468" s="54"/>
      <c r="C468" s="54">
        <v>121300000</v>
      </c>
      <c r="D468" s="54" t="s">
        <v>610</v>
      </c>
      <c r="E468" s="55"/>
      <c r="F468" s="57"/>
      <c r="G468" s="57"/>
      <c r="H468" s="54">
        <f t="shared" si="37"/>
        <v>0</v>
      </c>
      <c r="I468" s="58"/>
      <c r="J468" s="54">
        <f t="shared" si="38"/>
        <v>0</v>
      </c>
      <c r="K468" s="57"/>
      <c r="L468" s="54">
        <f t="shared" si="39"/>
        <v>0</v>
      </c>
      <c r="Q468" s="139">
        <f t="shared" si="40"/>
        <v>0</v>
      </c>
    </row>
    <row r="469" spans="1:17" hidden="1" x14ac:dyDescent="0.3">
      <c r="B469" s="54">
        <v>5000000</v>
      </c>
      <c r="C469" s="54"/>
      <c r="D469" s="54" t="s">
        <v>1073</v>
      </c>
      <c r="E469" s="55"/>
      <c r="F469" s="57"/>
      <c r="G469" s="57"/>
      <c r="H469" s="54">
        <f t="shared" si="37"/>
        <v>0</v>
      </c>
      <c r="I469" s="58"/>
      <c r="J469" s="54">
        <f t="shared" si="38"/>
        <v>0</v>
      </c>
      <c r="K469" s="57"/>
      <c r="L469" s="54">
        <f t="shared" si="39"/>
        <v>0</v>
      </c>
      <c r="Q469" s="139">
        <f t="shared" si="40"/>
        <v>0</v>
      </c>
    </row>
    <row r="470" spans="1:17" hidden="1" x14ac:dyDescent="0.3">
      <c r="A470" s="54" t="s">
        <v>1080</v>
      </c>
      <c r="B470" s="54"/>
      <c r="C470" s="54">
        <f>14000*12130</f>
        <v>169820000</v>
      </c>
      <c r="D470" s="54" t="s">
        <v>1000</v>
      </c>
      <c r="E470" s="55" t="s">
        <v>1079</v>
      </c>
      <c r="F470" s="57">
        <v>27770</v>
      </c>
      <c r="G470" s="57">
        <v>13880</v>
      </c>
      <c r="H470" s="54">
        <f t="shared" si="37"/>
        <v>13890</v>
      </c>
      <c r="I470" s="58">
        <v>2</v>
      </c>
      <c r="J470" s="54">
        <f t="shared" si="38"/>
        <v>13612.2</v>
      </c>
      <c r="K470" s="57">
        <v>3650</v>
      </c>
      <c r="L470" s="54">
        <f t="shared" si="39"/>
        <v>49684530</v>
      </c>
      <c r="P470" s="139">
        <v>47156000</v>
      </c>
      <c r="Q470" s="139">
        <f t="shared" si="40"/>
        <v>2528530</v>
      </c>
    </row>
    <row r="471" spans="1:17" hidden="1" x14ac:dyDescent="0.3">
      <c r="A471" s="54" t="s">
        <v>33</v>
      </c>
      <c r="B471" s="54"/>
      <c r="C471" s="54"/>
      <c r="D471" s="54"/>
      <c r="E471" s="55" t="s">
        <v>1081</v>
      </c>
      <c r="F471" s="57">
        <v>19330</v>
      </c>
      <c r="G471" s="57">
        <v>9380</v>
      </c>
      <c r="H471" s="54">
        <f t="shared" si="37"/>
        <v>9950</v>
      </c>
      <c r="I471" s="58">
        <v>2</v>
      </c>
      <c r="J471" s="54">
        <f t="shared" si="38"/>
        <v>9751</v>
      </c>
      <c r="K471" s="57">
        <v>3650</v>
      </c>
      <c r="L471" s="54">
        <f t="shared" si="39"/>
        <v>35591150</v>
      </c>
      <c r="P471" s="139">
        <v>33780000</v>
      </c>
      <c r="Q471" s="139">
        <f t="shared" si="40"/>
        <v>1811150</v>
      </c>
    </row>
    <row r="472" spans="1:17" hidden="1" x14ac:dyDescent="0.3">
      <c r="A472" s="54"/>
      <c r="B472" s="54"/>
      <c r="C472" s="54"/>
      <c r="D472" s="54"/>
      <c r="E472" s="55" t="s">
        <v>1082</v>
      </c>
      <c r="F472" s="57">
        <v>19820</v>
      </c>
      <c r="G472" s="57">
        <v>9260</v>
      </c>
      <c r="H472" s="54">
        <f t="shared" si="37"/>
        <v>10560</v>
      </c>
      <c r="I472" s="58">
        <v>3</v>
      </c>
      <c r="J472" s="54">
        <f t="shared" si="38"/>
        <v>10243.200000000001</v>
      </c>
      <c r="K472" s="57">
        <v>3380</v>
      </c>
      <c r="L472" s="54">
        <f t="shared" si="39"/>
        <v>34622016</v>
      </c>
      <c r="P472" s="139">
        <v>33780000</v>
      </c>
      <c r="Q472" s="139">
        <f t="shared" si="40"/>
        <v>842016</v>
      </c>
    </row>
    <row r="473" spans="1:17" hidden="1" x14ac:dyDescent="0.3">
      <c r="A473" s="54" t="s">
        <v>1083</v>
      </c>
      <c r="B473" s="54"/>
      <c r="C473" s="54">
        <v>500000</v>
      </c>
      <c r="D473" s="54" t="s">
        <v>1084</v>
      </c>
      <c r="E473" s="55" t="s">
        <v>1085</v>
      </c>
      <c r="F473" s="57">
        <v>17540</v>
      </c>
      <c r="G473" s="57">
        <v>9690</v>
      </c>
      <c r="H473" s="54">
        <f t="shared" si="37"/>
        <v>7850</v>
      </c>
      <c r="I473" s="58">
        <v>1</v>
      </c>
      <c r="J473" s="54">
        <f t="shared" si="38"/>
        <v>7771.5</v>
      </c>
      <c r="K473" s="57">
        <v>3650</v>
      </c>
      <c r="L473" s="54">
        <f t="shared" si="39"/>
        <v>28365975</v>
      </c>
      <c r="P473" s="139">
        <v>27500000</v>
      </c>
      <c r="Q473" s="139">
        <f t="shared" si="40"/>
        <v>865975</v>
      </c>
    </row>
    <row r="474" spans="1:17" hidden="1" x14ac:dyDescent="0.3">
      <c r="A474" s="54"/>
      <c r="B474" s="54"/>
      <c r="C474" s="54"/>
      <c r="D474" s="54"/>
      <c r="E474" s="55" t="s">
        <v>1086</v>
      </c>
      <c r="F474" s="57">
        <v>20860</v>
      </c>
      <c r="G474" s="57">
        <v>9360</v>
      </c>
      <c r="H474" s="54">
        <f t="shared" si="37"/>
        <v>11500</v>
      </c>
      <c r="I474" s="58">
        <v>2</v>
      </c>
      <c r="J474" s="54">
        <f t="shared" si="38"/>
        <v>11270</v>
      </c>
      <c r="K474" s="57">
        <v>3380</v>
      </c>
      <c r="L474" s="54">
        <f t="shared" si="39"/>
        <v>38092600</v>
      </c>
      <c r="P474" s="139">
        <v>36550000</v>
      </c>
      <c r="Q474" s="139">
        <f t="shared" si="40"/>
        <v>1542600</v>
      </c>
    </row>
    <row r="475" spans="1:17" hidden="1" x14ac:dyDescent="0.3">
      <c r="A475" s="54"/>
      <c r="B475" s="54"/>
      <c r="C475" s="54"/>
      <c r="D475" s="54"/>
      <c r="E475" s="55" t="s">
        <v>729</v>
      </c>
      <c r="F475" s="57">
        <v>26490</v>
      </c>
      <c r="G475" s="57">
        <v>14620</v>
      </c>
      <c r="H475" s="54">
        <f t="shared" ref="H475:H538" si="41">+F475-G475</f>
        <v>11870</v>
      </c>
      <c r="I475" s="58">
        <v>2</v>
      </c>
      <c r="J475" s="54">
        <f t="shared" ref="J475:J538" si="42">+H475-H475*I475/100</f>
        <v>11632.6</v>
      </c>
      <c r="K475" s="57">
        <v>3380</v>
      </c>
      <c r="L475" s="54">
        <f t="shared" ref="L475:L538" si="43">+J475*K475</f>
        <v>39318188</v>
      </c>
      <c r="P475" s="139">
        <v>38000000</v>
      </c>
      <c r="Q475" s="139">
        <f t="shared" si="40"/>
        <v>1318188</v>
      </c>
    </row>
    <row r="476" spans="1:17" hidden="1" x14ac:dyDescent="0.3">
      <c r="A476" s="54" t="s">
        <v>1087</v>
      </c>
      <c r="B476" s="54"/>
      <c r="C476" s="54">
        <f>20000*12140</f>
        <v>242800000</v>
      </c>
      <c r="D476" s="54" t="s">
        <v>321</v>
      </c>
      <c r="E476" s="55" t="s">
        <v>1088</v>
      </c>
      <c r="F476" s="57">
        <v>24780</v>
      </c>
      <c r="G476" s="57">
        <v>12910</v>
      </c>
      <c r="H476" s="54">
        <f t="shared" si="41"/>
        <v>11870</v>
      </c>
      <c r="I476" s="58">
        <v>2.6</v>
      </c>
      <c r="J476" s="54">
        <f t="shared" si="42"/>
        <v>11561.38</v>
      </c>
      <c r="K476" s="57">
        <v>3650</v>
      </c>
      <c r="L476" s="54">
        <f t="shared" si="43"/>
        <v>42199037</v>
      </c>
      <c r="P476" s="139">
        <v>41285000</v>
      </c>
      <c r="Q476" s="139">
        <f t="shared" ref="Q476:Q539" si="44">+L476-P476</f>
        <v>914037</v>
      </c>
    </row>
    <row r="477" spans="1:17" hidden="1" x14ac:dyDescent="0.3">
      <c r="A477" s="54"/>
      <c r="B477" s="54"/>
      <c r="C477" s="54">
        <v>250000</v>
      </c>
      <c r="D477" s="54" t="s">
        <v>125</v>
      </c>
      <c r="E477" s="55" t="s">
        <v>1039</v>
      </c>
      <c r="F477" s="57">
        <v>17470</v>
      </c>
      <c r="G477" s="57">
        <v>8550</v>
      </c>
      <c r="H477" s="54">
        <f t="shared" si="41"/>
        <v>8920</v>
      </c>
      <c r="I477" s="58">
        <v>2</v>
      </c>
      <c r="J477" s="54">
        <f t="shared" si="42"/>
        <v>8741.6</v>
      </c>
      <c r="K477" s="57">
        <v>3650</v>
      </c>
      <c r="L477" s="54">
        <f t="shared" si="43"/>
        <v>31906840</v>
      </c>
      <c r="P477" s="139">
        <v>30317000</v>
      </c>
      <c r="Q477" s="139">
        <f t="shared" si="44"/>
        <v>1589840</v>
      </c>
    </row>
    <row r="478" spans="1:17" hidden="1" x14ac:dyDescent="0.3">
      <c r="A478" s="54"/>
      <c r="B478" s="54"/>
      <c r="C478" s="54"/>
      <c r="D478" s="54"/>
      <c r="E478" s="55" t="s">
        <v>1089</v>
      </c>
      <c r="F478" s="57">
        <v>17330</v>
      </c>
      <c r="G478" s="57">
        <v>9050</v>
      </c>
      <c r="H478" s="54">
        <f t="shared" si="41"/>
        <v>8280</v>
      </c>
      <c r="I478" s="58">
        <v>1</v>
      </c>
      <c r="J478" s="54">
        <f t="shared" si="42"/>
        <v>8197.2000000000007</v>
      </c>
      <c r="K478" s="57">
        <v>3650</v>
      </c>
      <c r="L478" s="54">
        <f t="shared" si="43"/>
        <v>29919780.000000004</v>
      </c>
      <c r="P478" s="139">
        <v>28566000</v>
      </c>
      <c r="Q478" s="139">
        <f t="shared" si="44"/>
        <v>1353780.0000000037</v>
      </c>
    </row>
    <row r="479" spans="1:17" hidden="1" x14ac:dyDescent="0.3">
      <c r="A479" s="54"/>
      <c r="B479" s="54"/>
      <c r="C479" s="54"/>
      <c r="D479" s="54"/>
      <c r="E479" s="55" t="s">
        <v>1090</v>
      </c>
      <c r="F479" s="57">
        <v>24270</v>
      </c>
      <c r="G479" s="57">
        <v>13070</v>
      </c>
      <c r="H479" s="54">
        <f t="shared" si="41"/>
        <v>11200</v>
      </c>
      <c r="I479" s="58">
        <v>4</v>
      </c>
      <c r="J479" s="54">
        <f t="shared" si="42"/>
        <v>10752</v>
      </c>
      <c r="K479" s="57">
        <v>3550</v>
      </c>
      <c r="L479" s="54">
        <f t="shared" si="43"/>
        <v>38169600</v>
      </c>
      <c r="P479" s="139">
        <v>38169000</v>
      </c>
      <c r="Q479" s="139">
        <f t="shared" si="44"/>
        <v>600</v>
      </c>
    </row>
    <row r="480" spans="1:17" hidden="1" x14ac:dyDescent="0.3">
      <c r="A480" s="54"/>
      <c r="B480" s="54"/>
      <c r="C480" s="54"/>
      <c r="D480" s="54"/>
      <c r="E480" s="55"/>
      <c r="F480" s="57"/>
      <c r="G480" s="57"/>
      <c r="H480" s="54">
        <f t="shared" si="41"/>
        <v>0</v>
      </c>
      <c r="I480" s="58"/>
      <c r="J480" s="54">
        <f t="shared" si="42"/>
        <v>0</v>
      </c>
      <c r="K480" s="57"/>
      <c r="L480" s="54">
        <f t="shared" si="43"/>
        <v>0</v>
      </c>
      <c r="Q480" s="139">
        <f t="shared" si="44"/>
        <v>0</v>
      </c>
    </row>
    <row r="481" spans="1:17" hidden="1" x14ac:dyDescent="0.3">
      <c r="A481" s="54"/>
      <c r="B481" s="54"/>
      <c r="C481" s="54"/>
      <c r="D481" s="54"/>
      <c r="E481" s="55"/>
      <c r="F481" s="57"/>
      <c r="G481" s="57"/>
      <c r="H481" s="54">
        <f t="shared" si="41"/>
        <v>0</v>
      </c>
      <c r="I481" s="58"/>
      <c r="J481" s="54">
        <f t="shared" si="42"/>
        <v>0</v>
      </c>
      <c r="K481" s="57"/>
      <c r="L481" s="54">
        <f t="shared" si="43"/>
        <v>0</v>
      </c>
      <c r="Q481" s="139">
        <f t="shared" si="44"/>
        <v>0</v>
      </c>
    </row>
    <row r="482" spans="1:17" hidden="1" x14ac:dyDescent="0.3">
      <c r="A482" s="54" t="s">
        <v>1094</v>
      </c>
      <c r="B482" s="54"/>
      <c r="C482" s="54">
        <f>1660*250</f>
        <v>415000</v>
      </c>
      <c r="D482" s="54" t="s">
        <v>1103</v>
      </c>
      <c r="E482" s="55" t="s">
        <v>1102</v>
      </c>
      <c r="F482" s="57">
        <v>23410</v>
      </c>
      <c r="G482" s="57">
        <v>13070</v>
      </c>
      <c r="H482" s="54">
        <f t="shared" si="41"/>
        <v>10340</v>
      </c>
      <c r="I482" s="58">
        <v>2</v>
      </c>
      <c r="J482" s="54">
        <f t="shared" si="42"/>
        <v>10133.200000000001</v>
      </c>
      <c r="K482" s="57">
        <v>3650</v>
      </c>
      <c r="L482" s="54">
        <f t="shared" si="43"/>
        <v>36986180</v>
      </c>
      <c r="P482" s="139">
        <v>35104000</v>
      </c>
      <c r="Q482" s="139">
        <f t="shared" si="44"/>
        <v>1882180</v>
      </c>
    </row>
    <row r="483" spans="1:17" hidden="1" x14ac:dyDescent="0.3">
      <c r="A483" s="54"/>
      <c r="B483" s="54"/>
      <c r="C483" s="54">
        <v>400000</v>
      </c>
      <c r="D483" s="54" t="s">
        <v>1105</v>
      </c>
      <c r="E483" s="55" t="s">
        <v>1106</v>
      </c>
      <c r="F483" s="57">
        <v>23860</v>
      </c>
      <c r="G483" s="57">
        <v>13820</v>
      </c>
      <c r="H483" s="54">
        <f t="shared" si="41"/>
        <v>10040</v>
      </c>
      <c r="I483" s="58">
        <v>3</v>
      </c>
      <c r="J483" s="54">
        <f t="shared" si="42"/>
        <v>9738.7999999999993</v>
      </c>
      <c r="K483" s="57">
        <v>3380</v>
      </c>
      <c r="L483" s="54">
        <f t="shared" si="43"/>
        <v>32917143.999999996</v>
      </c>
      <c r="P483" s="139">
        <v>33258000</v>
      </c>
      <c r="Q483" s="139">
        <f t="shared" si="44"/>
        <v>-340856.00000000373</v>
      </c>
    </row>
    <row r="484" spans="1:17" hidden="1" x14ac:dyDescent="0.3">
      <c r="A484" s="54" t="s">
        <v>1109</v>
      </c>
      <c r="B484" s="54"/>
      <c r="C484" s="54">
        <v>121400000</v>
      </c>
      <c r="D484" s="54" t="s">
        <v>610</v>
      </c>
      <c r="E484" s="55"/>
      <c r="F484" s="57"/>
      <c r="G484" s="57"/>
      <c r="H484" s="54">
        <f t="shared" si="41"/>
        <v>0</v>
      </c>
      <c r="I484" s="58"/>
      <c r="J484" s="54">
        <f t="shared" si="42"/>
        <v>0</v>
      </c>
      <c r="K484" s="57"/>
      <c r="L484" s="54">
        <f t="shared" si="43"/>
        <v>0</v>
      </c>
      <c r="Q484" s="139">
        <f t="shared" si="44"/>
        <v>0</v>
      </c>
    </row>
    <row r="485" spans="1:17" hidden="1" x14ac:dyDescent="0.3">
      <c r="A485" s="54"/>
      <c r="B485" s="54"/>
      <c r="C485" s="54"/>
      <c r="D485" s="54"/>
      <c r="E485" s="55" t="s">
        <v>1111</v>
      </c>
      <c r="F485" s="57">
        <v>22380</v>
      </c>
      <c r="G485" s="57">
        <v>9960</v>
      </c>
      <c r="H485" s="54">
        <f t="shared" si="41"/>
        <v>12420</v>
      </c>
      <c r="I485" s="58">
        <v>2</v>
      </c>
      <c r="J485" s="54">
        <f t="shared" si="42"/>
        <v>12171.6</v>
      </c>
      <c r="K485" s="57">
        <v>3630</v>
      </c>
      <c r="L485" s="54">
        <f t="shared" si="43"/>
        <v>44182908</v>
      </c>
      <c r="P485" s="139">
        <v>43118000</v>
      </c>
      <c r="Q485" s="139">
        <f t="shared" si="44"/>
        <v>1064908</v>
      </c>
    </row>
    <row r="486" spans="1:17" hidden="1" x14ac:dyDescent="0.3">
      <c r="A486" s="54" t="s">
        <v>872</v>
      </c>
      <c r="B486" s="54"/>
      <c r="C486" s="54">
        <v>3615000</v>
      </c>
      <c r="D486" s="54" t="s">
        <v>807</v>
      </c>
      <c r="E486" s="55" t="s">
        <v>1112</v>
      </c>
      <c r="F486" s="57">
        <v>21240</v>
      </c>
      <c r="G486" s="57">
        <v>9480</v>
      </c>
      <c r="H486" s="54">
        <f t="shared" si="41"/>
        <v>11760</v>
      </c>
      <c r="I486" s="58">
        <v>2</v>
      </c>
      <c r="J486" s="54">
        <f t="shared" si="42"/>
        <v>11524.8</v>
      </c>
      <c r="K486" s="57">
        <v>3650</v>
      </c>
      <c r="L486" s="54">
        <f t="shared" si="43"/>
        <v>42065520</v>
      </c>
      <c r="P486" s="139">
        <v>40061000</v>
      </c>
      <c r="Q486" s="139">
        <f t="shared" si="44"/>
        <v>2004520</v>
      </c>
    </row>
    <row r="487" spans="1:17" hidden="1" x14ac:dyDescent="0.3">
      <c r="A487" s="54"/>
      <c r="B487" s="54"/>
      <c r="C487" s="54">
        <v>100000</v>
      </c>
      <c r="D487" s="54" t="s">
        <v>1115</v>
      </c>
      <c r="E487" s="55" t="s">
        <v>1113</v>
      </c>
      <c r="F487" s="57">
        <v>21810</v>
      </c>
      <c r="G487" s="57">
        <v>10080</v>
      </c>
      <c r="H487" s="54">
        <f t="shared" si="41"/>
        <v>11730</v>
      </c>
      <c r="I487" s="58">
        <v>2.8</v>
      </c>
      <c r="J487" s="54">
        <f t="shared" si="42"/>
        <v>11401.56</v>
      </c>
      <c r="K487" s="57">
        <v>3650</v>
      </c>
      <c r="L487" s="54">
        <f t="shared" si="43"/>
        <v>41615694</v>
      </c>
      <c r="P487" s="139">
        <v>40095000</v>
      </c>
      <c r="Q487" s="139">
        <f t="shared" si="44"/>
        <v>1520694</v>
      </c>
    </row>
    <row r="488" spans="1:17" hidden="1" x14ac:dyDescent="0.3">
      <c r="A488" s="54"/>
      <c r="B488" s="54"/>
      <c r="C488" s="54"/>
      <c r="D488" s="54"/>
      <c r="E488" s="55" t="s">
        <v>1114</v>
      </c>
      <c r="F488" s="57">
        <v>22800</v>
      </c>
      <c r="G488" s="57">
        <v>9810</v>
      </c>
      <c r="H488" s="54">
        <f t="shared" si="41"/>
        <v>12990</v>
      </c>
      <c r="I488" s="58">
        <v>2</v>
      </c>
      <c r="J488" s="54">
        <f t="shared" si="42"/>
        <v>12730.2</v>
      </c>
      <c r="K488" s="57">
        <v>3600</v>
      </c>
      <c r="L488" s="54">
        <f t="shared" si="43"/>
        <v>45828720</v>
      </c>
      <c r="P488" s="139">
        <v>45675000</v>
      </c>
      <c r="Q488" s="139">
        <f t="shared" si="44"/>
        <v>153720</v>
      </c>
    </row>
    <row r="489" spans="1:17" hidden="1" x14ac:dyDescent="0.3">
      <c r="A489" s="54" t="s">
        <v>1116</v>
      </c>
      <c r="B489" s="54"/>
      <c r="C489" s="54">
        <f>20000*12010</f>
        <v>240200000</v>
      </c>
      <c r="D489" s="54" t="s">
        <v>321</v>
      </c>
      <c r="E489" s="55" t="s">
        <v>1121</v>
      </c>
      <c r="F489" s="57">
        <v>24960</v>
      </c>
      <c r="G489" s="57">
        <v>13060</v>
      </c>
      <c r="H489" s="54">
        <f t="shared" si="41"/>
        <v>11900</v>
      </c>
      <c r="I489" s="58">
        <v>2.4</v>
      </c>
      <c r="J489" s="54">
        <f t="shared" si="42"/>
        <v>11614.4</v>
      </c>
      <c r="K489" s="57">
        <v>3380</v>
      </c>
      <c r="L489" s="54">
        <f t="shared" si="43"/>
        <v>39256672</v>
      </c>
      <c r="P489" s="139">
        <v>38442000</v>
      </c>
      <c r="Q489" s="139">
        <f t="shared" si="44"/>
        <v>814672</v>
      </c>
    </row>
    <row r="490" spans="1:17" hidden="1" x14ac:dyDescent="0.3">
      <c r="A490" s="54"/>
      <c r="B490" s="54"/>
      <c r="C490" s="54"/>
      <c r="D490" s="54"/>
      <c r="E490" s="55" t="s">
        <v>1122</v>
      </c>
      <c r="F490" s="57">
        <v>26000</v>
      </c>
      <c r="G490" s="57">
        <v>13400</v>
      </c>
      <c r="H490" s="54">
        <f t="shared" si="41"/>
        <v>12600</v>
      </c>
      <c r="I490" s="58">
        <v>2</v>
      </c>
      <c r="J490" s="54">
        <f t="shared" si="42"/>
        <v>12348</v>
      </c>
      <c r="K490" s="57">
        <v>3650</v>
      </c>
      <c r="L490" s="54">
        <f t="shared" si="43"/>
        <v>45070200</v>
      </c>
      <c r="P490" s="139">
        <v>43660000</v>
      </c>
      <c r="Q490" s="139">
        <f t="shared" si="44"/>
        <v>1410200</v>
      </c>
    </row>
    <row r="491" spans="1:17" hidden="1" x14ac:dyDescent="0.3">
      <c r="A491" s="54" t="s">
        <v>1116</v>
      </c>
      <c r="B491" s="210">
        <v>46777392</v>
      </c>
      <c r="C491" s="54"/>
      <c r="D491" s="210" t="s">
        <v>1123</v>
      </c>
      <c r="E491" s="55"/>
      <c r="F491" s="57"/>
      <c r="G491" s="57"/>
      <c r="H491" s="54">
        <f t="shared" si="41"/>
        <v>0</v>
      </c>
      <c r="I491" s="58"/>
      <c r="J491" s="54">
        <f t="shared" si="42"/>
        <v>0</v>
      </c>
      <c r="K491" s="57"/>
      <c r="L491" s="54">
        <f t="shared" si="43"/>
        <v>0</v>
      </c>
      <c r="Q491" s="139">
        <f t="shared" si="44"/>
        <v>0</v>
      </c>
    </row>
    <row r="492" spans="1:17" hidden="1" x14ac:dyDescent="0.3">
      <c r="A492" s="54" t="s">
        <v>1127</v>
      </c>
      <c r="B492" s="54">
        <f>500*12030</f>
        <v>6015000</v>
      </c>
      <c r="C492" s="54"/>
      <c r="D492" s="54" t="s">
        <v>1128</v>
      </c>
      <c r="E492" s="55" t="s">
        <v>1130</v>
      </c>
      <c r="F492" s="57">
        <v>19050</v>
      </c>
      <c r="G492" s="57">
        <v>9050</v>
      </c>
      <c r="H492" s="54">
        <f t="shared" si="41"/>
        <v>10000</v>
      </c>
      <c r="I492" s="58">
        <v>2</v>
      </c>
      <c r="J492" s="54">
        <f t="shared" si="42"/>
        <v>9800</v>
      </c>
      <c r="K492" s="57">
        <v>3380</v>
      </c>
      <c r="L492" s="54">
        <f t="shared" si="43"/>
        <v>33124000</v>
      </c>
      <c r="P492" s="139">
        <v>32010000</v>
      </c>
      <c r="Q492" s="139">
        <f t="shared" si="44"/>
        <v>1114000</v>
      </c>
    </row>
    <row r="493" spans="1:17" hidden="1" x14ac:dyDescent="0.3">
      <c r="A493" s="54"/>
      <c r="B493" s="54"/>
      <c r="C493" s="54">
        <f>1680*250</f>
        <v>420000</v>
      </c>
      <c r="D493" s="54" t="s">
        <v>1131</v>
      </c>
      <c r="E493" s="55" t="s">
        <v>1129</v>
      </c>
      <c r="F493" s="57">
        <v>15940</v>
      </c>
      <c r="G493" s="57">
        <v>9620</v>
      </c>
      <c r="H493" s="54">
        <f t="shared" si="41"/>
        <v>6320</v>
      </c>
      <c r="I493" s="58">
        <v>2</v>
      </c>
      <c r="J493" s="54">
        <f t="shared" si="42"/>
        <v>6193.6</v>
      </c>
      <c r="K493" s="57">
        <v>3650</v>
      </c>
      <c r="L493" s="54">
        <f t="shared" si="43"/>
        <v>22606640</v>
      </c>
      <c r="P493" s="139">
        <v>21388000</v>
      </c>
      <c r="Q493" s="139">
        <f t="shared" si="44"/>
        <v>1218640</v>
      </c>
    </row>
    <row r="494" spans="1:17" hidden="1" x14ac:dyDescent="0.3">
      <c r="A494" s="54"/>
      <c r="B494" s="54"/>
      <c r="C494" s="54">
        <v>700000</v>
      </c>
      <c r="D494" s="54" t="s">
        <v>335</v>
      </c>
      <c r="E494" s="55" t="s">
        <v>1132</v>
      </c>
      <c r="F494" s="57">
        <v>20580</v>
      </c>
      <c r="G494" s="57">
        <v>12820</v>
      </c>
      <c r="H494" s="54">
        <f t="shared" si="41"/>
        <v>7760</v>
      </c>
      <c r="I494" s="58">
        <v>3</v>
      </c>
      <c r="J494" s="54">
        <f t="shared" si="42"/>
        <v>7527.2</v>
      </c>
      <c r="K494" s="57">
        <v>3380</v>
      </c>
      <c r="L494" s="54">
        <f t="shared" si="43"/>
        <v>25441936</v>
      </c>
      <c r="P494" s="139">
        <v>25495000</v>
      </c>
      <c r="Q494" s="139">
        <f t="shared" si="44"/>
        <v>-53064</v>
      </c>
    </row>
    <row r="495" spans="1:17" hidden="1" x14ac:dyDescent="0.3">
      <c r="A495" s="54"/>
      <c r="B495" s="54"/>
      <c r="C495" s="54">
        <f>7000*12040</f>
        <v>84280000</v>
      </c>
      <c r="D495" s="54" t="s">
        <v>1133</v>
      </c>
      <c r="E495" s="55" t="s">
        <v>1039</v>
      </c>
      <c r="F495" s="57">
        <v>17320</v>
      </c>
      <c r="G495" s="57">
        <v>8530</v>
      </c>
      <c r="H495" s="54">
        <f t="shared" si="41"/>
        <v>8790</v>
      </c>
      <c r="I495" s="58">
        <v>2.8</v>
      </c>
      <c r="J495" s="54">
        <f t="shared" si="42"/>
        <v>8543.8799999999992</v>
      </c>
      <c r="K495" s="57">
        <v>3650</v>
      </c>
      <c r="L495" s="54">
        <f t="shared" si="43"/>
        <v>31185161.999999996</v>
      </c>
      <c r="P495" s="139">
        <v>29977000</v>
      </c>
      <c r="Q495" s="139">
        <f t="shared" si="44"/>
        <v>1208161.9999999963</v>
      </c>
    </row>
    <row r="496" spans="1:17" hidden="1" x14ac:dyDescent="0.3">
      <c r="A496" s="54"/>
      <c r="B496" s="210">
        <v>122705280</v>
      </c>
      <c r="C496" s="54"/>
      <c r="D496" s="210" t="s">
        <v>1123</v>
      </c>
      <c r="E496" s="55"/>
      <c r="F496" s="57"/>
      <c r="G496" s="57"/>
      <c r="H496" s="54">
        <f t="shared" si="41"/>
        <v>0</v>
      </c>
      <c r="I496" s="58"/>
      <c r="J496" s="54">
        <f t="shared" si="42"/>
        <v>0</v>
      </c>
      <c r="K496" s="57"/>
      <c r="L496" s="54">
        <f t="shared" si="43"/>
        <v>0</v>
      </c>
      <c r="Q496" s="139">
        <f t="shared" si="44"/>
        <v>0</v>
      </c>
    </row>
    <row r="497" spans="1:17" hidden="1" x14ac:dyDescent="0.3">
      <c r="A497" s="54" t="s">
        <v>1138</v>
      </c>
      <c r="B497" s="54"/>
      <c r="C497" s="54">
        <f>25000*12040</f>
        <v>301000000</v>
      </c>
      <c r="D497" s="54" t="s">
        <v>1139</v>
      </c>
      <c r="E497" s="55" t="s">
        <v>1140</v>
      </c>
      <c r="F497" s="57">
        <v>26260</v>
      </c>
      <c r="G497" s="57">
        <v>13980</v>
      </c>
      <c r="H497" s="54">
        <f t="shared" si="41"/>
        <v>12280</v>
      </c>
      <c r="I497" s="58">
        <v>2.6</v>
      </c>
      <c r="J497" s="54">
        <f t="shared" si="42"/>
        <v>11960.72</v>
      </c>
      <c r="K497" s="57">
        <v>3380</v>
      </c>
      <c r="L497" s="54">
        <f t="shared" si="43"/>
        <v>40427233.600000001</v>
      </c>
      <c r="P497" s="139">
        <v>39485000</v>
      </c>
      <c r="Q497" s="139">
        <f t="shared" si="44"/>
        <v>942233.60000000149</v>
      </c>
    </row>
    <row r="498" spans="1:17" hidden="1" x14ac:dyDescent="0.3">
      <c r="A498" s="54"/>
      <c r="B498" s="54"/>
      <c r="C498" s="54">
        <f>1760*250</f>
        <v>440000</v>
      </c>
      <c r="D498" s="54" t="s">
        <v>1141</v>
      </c>
      <c r="E498" s="55" t="s">
        <v>1142</v>
      </c>
      <c r="F498" s="57">
        <v>23740</v>
      </c>
      <c r="G498" s="57">
        <v>12500</v>
      </c>
      <c r="H498" s="54">
        <f t="shared" si="41"/>
        <v>11240</v>
      </c>
      <c r="I498" s="58">
        <v>1</v>
      </c>
      <c r="J498" s="54">
        <f t="shared" si="42"/>
        <v>11127.6</v>
      </c>
      <c r="K498" s="57">
        <v>3650</v>
      </c>
      <c r="L498" s="54">
        <f t="shared" si="43"/>
        <v>40615740</v>
      </c>
      <c r="P498" s="139">
        <v>38946000</v>
      </c>
      <c r="Q498" s="139">
        <f t="shared" si="44"/>
        <v>1669740</v>
      </c>
    </row>
    <row r="499" spans="1:17" hidden="1" x14ac:dyDescent="0.3">
      <c r="A499" s="54"/>
      <c r="B499" s="54"/>
      <c r="C499" s="54"/>
      <c r="D499" s="54"/>
      <c r="E499" s="55"/>
      <c r="F499" s="57"/>
      <c r="G499" s="57"/>
      <c r="H499" s="54">
        <f t="shared" si="41"/>
        <v>0</v>
      </c>
      <c r="I499" s="58"/>
      <c r="J499" s="54">
        <f t="shared" si="42"/>
        <v>0</v>
      </c>
      <c r="K499" s="57"/>
      <c r="L499" s="54">
        <f t="shared" si="43"/>
        <v>0</v>
      </c>
      <c r="Q499" s="139">
        <f t="shared" si="44"/>
        <v>0</v>
      </c>
    </row>
    <row r="500" spans="1:17" hidden="1" x14ac:dyDescent="0.3">
      <c r="A500" s="54" t="s">
        <v>1146</v>
      </c>
      <c r="B500" s="54"/>
      <c r="C500" s="54">
        <f>7000*12040</f>
        <v>84280000</v>
      </c>
      <c r="D500" s="54" t="s">
        <v>1133</v>
      </c>
      <c r="E500" s="55" t="s">
        <v>1149</v>
      </c>
      <c r="F500" s="57">
        <v>24220</v>
      </c>
      <c r="G500" s="57">
        <v>9530</v>
      </c>
      <c r="H500" s="54">
        <f t="shared" si="41"/>
        <v>14690</v>
      </c>
      <c r="I500" s="58">
        <v>3.8</v>
      </c>
      <c r="J500" s="54">
        <f t="shared" si="42"/>
        <v>14131.78</v>
      </c>
      <c r="K500" s="57">
        <v>3650</v>
      </c>
      <c r="L500" s="54">
        <f t="shared" si="43"/>
        <v>51580997</v>
      </c>
      <c r="P500" s="139">
        <v>52400000</v>
      </c>
      <c r="Q500" s="139">
        <f t="shared" si="44"/>
        <v>-819003</v>
      </c>
    </row>
    <row r="501" spans="1:17" hidden="1" x14ac:dyDescent="0.3">
      <c r="A501" s="54"/>
      <c r="B501" s="54"/>
      <c r="C501" s="54">
        <v>4900000</v>
      </c>
      <c r="D501" s="54" t="s">
        <v>1147</v>
      </c>
      <c r="E501" s="55" t="s">
        <v>1148</v>
      </c>
      <c r="F501" s="57">
        <v>26800</v>
      </c>
      <c r="G501" s="57">
        <v>14780</v>
      </c>
      <c r="H501" s="54">
        <f t="shared" si="41"/>
        <v>12020</v>
      </c>
      <c r="I501" s="58">
        <v>2</v>
      </c>
      <c r="J501" s="54">
        <f t="shared" si="42"/>
        <v>11779.6</v>
      </c>
      <c r="K501" s="57">
        <v>3650</v>
      </c>
      <c r="L501" s="54">
        <f t="shared" si="43"/>
        <v>42995540</v>
      </c>
      <c r="P501" s="139">
        <v>41500000</v>
      </c>
      <c r="Q501" s="139">
        <f t="shared" si="44"/>
        <v>1495540</v>
      </c>
    </row>
    <row r="502" spans="1:17" hidden="1" x14ac:dyDescent="0.3">
      <c r="A502" s="54" t="s">
        <v>1153</v>
      </c>
      <c r="B502" s="54"/>
      <c r="C502" s="54">
        <f>8000*12030</f>
        <v>96240000</v>
      </c>
      <c r="D502" s="54" t="s">
        <v>1154</v>
      </c>
      <c r="E502" s="55" t="s">
        <v>1155</v>
      </c>
      <c r="F502" s="57">
        <v>25070</v>
      </c>
      <c r="G502" s="57">
        <v>12920</v>
      </c>
      <c r="H502" s="54">
        <f t="shared" si="41"/>
        <v>12150</v>
      </c>
      <c r="I502" s="58">
        <v>2</v>
      </c>
      <c r="J502" s="54">
        <f t="shared" si="42"/>
        <v>11907</v>
      </c>
      <c r="K502" s="57">
        <v>3650</v>
      </c>
      <c r="L502" s="54">
        <f t="shared" si="43"/>
        <v>43460550</v>
      </c>
      <c r="P502" s="139">
        <v>41249000</v>
      </c>
      <c r="Q502" s="139">
        <f t="shared" si="44"/>
        <v>2211550</v>
      </c>
    </row>
    <row r="503" spans="1:17" hidden="1" x14ac:dyDescent="0.3">
      <c r="A503" s="54"/>
      <c r="B503" s="54"/>
      <c r="C503" s="54"/>
      <c r="D503" s="54"/>
      <c r="E503" s="55" t="s">
        <v>1156</v>
      </c>
      <c r="F503" s="57">
        <v>20020</v>
      </c>
      <c r="G503" s="57">
        <v>9800</v>
      </c>
      <c r="H503" s="54">
        <f t="shared" si="41"/>
        <v>10220</v>
      </c>
      <c r="I503" s="58">
        <v>2</v>
      </c>
      <c r="J503" s="54">
        <f t="shared" si="42"/>
        <v>10015.6</v>
      </c>
      <c r="K503" s="57">
        <v>3650</v>
      </c>
      <c r="L503" s="54">
        <f t="shared" si="43"/>
        <v>36556940</v>
      </c>
      <c r="P503" s="139">
        <v>35770000</v>
      </c>
      <c r="Q503" s="139">
        <f t="shared" si="44"/>
        <v>786940</v>
      </c>
    </row>
    <row r="504" spans="1:17" hidden="1" x14ac:dyDescent="0.3">
      <c r="A504" s="54"/>
      <c r="B504" s="54"/>
      <c r="C504" s="54"/>
      <c r="D504" s="54"/>
      <c r="E504" s="55"/>
      <c r="F504" s="57"/>
      <c r="G504" s="57"/>
      <c r="H504" s="54">
        <f t="shared" si="41"/>
        <v>0</v>
      </c>
      <c r="I504" s="58"/>
      <c r="J504" s="54">
        <f t="shared" si="42"/>
        <v>0</v>
      </c>
      <c r="K504" s="57"/>
      <c r="L504" s="54">
        <f t="shared" si="43"/>
        <v>0</v>
      </c>
      <c r="Q504" s="139">
        <f t="shared" si="44"/>
        <v>0</v>
      </c>
    </row>
    <row r="505" spans="1:17" hidden="1" x14ac:dyDescent="0.3">
      <c r="A505" s="54" t="s">
        <v>1160</v>
      </c>
      <c r="B505" s="54"/>
      <c r="C505" s="54">
        <f>20000*12075</f>
        <v>241500000</v>
      </c>
      <c r="D505" s="54" t="s">
        <v>1161</v>
      </c>
      <c r="E505" s="55" t="s">
        <v>1162</v>
      </c>
      <c r="F505" s="57">
        <v>25300</v>
      </c>
      <c r="G505" s="57">
        <v>13420</v>
      </c>
      <c r="H505" s="54">
        <f t="shared" si="41"/>
        <v>11880</v>
      </c>
      <c r="I505" s="58">
        <v>2.4</v>
      </c>
      <c r="J505" s="54">
        <f t="shared" si="42"/>
        <v>11594.88</v>
      </c>
      <c r="K505" s="57">
        <v>3380</v>
      </c>
      <c r="L505" s="54">
        <f t="shared" si="43"/>
        <v>39190694.399999999</v>
      </c>
      <c r="P505" s="139">
        <v>38050000</v>
      </c>
      <c r="Q505" s="139">
        <f t="shared" si="44"/>
        <v>1140694.3999999985</v>
      </c>
    </row>
    <row r="506" spans="1:17" hidden="1" x14ac:dyDescent="0.3">
      <c r="A506" s="54"/>
      <c r="B506" s="54"/>
      <c r="C506" s="54"/>
      <c r="D506" s="54"/>
      <c r="E506" s="55" t="s">
        <v>1163</v>
      </c>
      <c r="F506" s="57">
        <v>25330</v>
      </c>
      <c r="G506" s="57">
        <v>14090</v>
      </c>
      <c r="H506" s="54">
        <f t="shared" si="41"/>
        <v>11240</v>
      </c>
      <c r="I506" s="58">
        <v>2</v>
      </c>
      <c r="J506" s="54">
        <f t="shared" si="42"/>
        <v>11015.2</v>
      </c>
      <c r="K506" s="57">
        <v>3650</v>
      </c>
      <c r="L506" s="54">
        <f t="shared" si="43"/>
        <v>40205480</v>
      </c>
      <c r="N506">
        <v>0</v>
      </c>
      <c r="P506" s="139">
        <v>40205480</v>
      </c>
      <c r="Q506" s="139">
        <f t="shared" si="44"/>
        <v>0</v>
      </c>
    </row>
    <row r="507" spans="1:17" hidden="1" x14ac:dyDescent="0.3">
      <c r="A507" s="54"/>
      <c r="B507" s="54"/>
      <c r="C507" s="54"/>
      <c r="D507" s="54"/>
      <c r="E507" s="55" t="s">
        <v>1164</v>
      </c>
      <c r="F507" s="57">
        <v>27840</v>
      </c>
      <c r="G507" s="57">
        <v>14980</v>
      </c>
      <c r="H507" s="54">
        <f t="shared" si="41"/>
        <v>12860</v>
      </c>
      <c r="I507" s="58">
        <v>2.8</v>
      </c>
      <c r="J507" s="54">
        <f t="shared" si="42"/>
        <v>12499.92</v>
      </c>
      <c r="K507" s="57">
        <v>3380</v>
      </c>
      <c r="L507" s="54">
        <f t="shared" si="43"/>
        <v>42249729.600000001</v>
      </c>
      <c r="P507" s="139">
        <v>41679000</v>
      </c>
      <c r="Q507" s="139">
        <f t="shared" si="44"/>
        <v>570729.60000000149</v>
      </c>
    </row>
    <row r="508" spans="1:17" hidden="1" x14ac:dyDescent="0.3">
      <c r="A508" s="54"/>
      <c r="B508" s="54"/>
      <c r="C508" s="54">
        <f>830*250</f>
        <v>207500</v>
      </c>
      <c r="D508" s="54" t="s">
        <v>1165</v>
      </c>
      <c r="E508" s="55" t="s">
        <v>1166</v>
      </c>
      <c r="F508" s="57">
        <v>24650</v>
      </c>
      <c r="G508" s="57">
        <v>13020</v>
      </c>
      <c r="H508" s="54">
        <f t="shared" si="41"/>
        <v>11630</v>
      </c>
      <c r="I508" s="58">
        <v>2.9</v>
      </c>
      <c r="J508" s="54">
        <f t="shared" si="42"/>
        <v>11292.73</v>
      </c>
      <c r="K508" s="57">
        <v>3650</v>
      </c>
      <c r="L508" s="54">
        <f t="shared" si="43"/>
        <v>41218464.5</v>
      </c>
      <c r="P508" s="139">
        <v>39620000</v>
      </c>
      <c r="Q508" s="139">
        <f t="shared" si="44"/>
        <v>1598464.5</v>
      </c>
    </row>
    <row r="509" spans="1:17" hidden="1" x14ac:dyDescent="0.3">
      <c r="A509" s="54"/>
      <c r="B509" s="54"/>
      <c r="C509" s="54"/>
      <c r="D509" s="54"/>
      <c r="E509" s="55" t="s">
        <v>1167</v>
      </c>
      <c r="F509" s="57">
        <v>18560</v>
      </c>
      <c r="G509" s="57">
        <v>13040</v>
      </c>
      <c r="H509" s="54">
        <f t="shared" si="41"/>
        <v>5520</v>
      </c>
      <c r="I509" s="58">
        <v>4</v>
      </c>
      <c r="J509" s="54">
        <f t="shared" si="42"/>
        <v>5299.2</v>
      </c>
      <c r="K509" s="57">
        <v>3450</v>
      </c>
      <c r="L509" s="54">
        <f t="shared" si="43"/>
        <v>18282240</v>
      </c>
      <c r="N509">
        <v>0</v>
      </c>
      <c r="P509" s="139">
        <v>18282240</v>
      </c>
      <c r="Q509" s="139">
        <f t="shared" si="44"/>
        <v>0</v>
      </c>
    </row>
    <row r="510" spans="1:17" hidden="1" x14ac:dyDescent="0.3">
      <c r="A510" s="54" t="s">
        <v>1171</v>
      </c>
      <c r="B510" s="54"/>
      <c r="C510" s="54">
        <f>13000*12070</f>
        <v>156910000</v>
      </c>
      <c r="D510" s="54" t="s">
        <v>1172</v>
      </c>
      <c r="E510" s="55" t="s">
        <v>1173</v>
      </c>
      <c r="F510" s="57">
        <v>22170</v>
      </c>
      <c r="G510" s="57">
        <v>10090</v>
      </c>
      <c r="H510" s="54">
        <f t="shared" si="41"/>
        <v>12080</v>
      </c>
      <c r="I510" s="58">
        <v>4</v>
      </c>
      <c r="J510" s="54">
        <f t="shared" si="42"/>
        <v>11596.8</v>
      </c>
      <c r="K510" s="57">
        <v>3550</v>
      </c>
      <c r="L510" s="54">
        <f t="shared" si="43"/>
        <v>41168640</v>
      </c>
      <c r="P510" s="139">
        <f>12000*3500</f>
        <v>42000000</v>
      </c>
      <c r="Q510" s="139">
        <f t="shared" si="44"/>
        <v>-831360</v>
      </c>
    </row>
    <row r="511" spans="1:17" hidden="1" x14ac:dyDescent="0.3">
      <c r="A511" s="54"/>
      <c r="B511" s="54"/>
      <c r="C511" s="54">
        <v>150000</v>
      </c>
      <c r="D511" s="54" t="s">
        <v>1176</v>
      </c>
      <c r="E511" s="55" t="s">
        <v>1204</v>
      </c>
      <c r="F511" s="57">
        <v>24360</v>
      </c>
      <c r="G511" s="57">
        <v>13120</v>
      </c>
      <c r="H511" s="54">
        <f t="shared" si="41"/>
        <v>11240</v>
      </c>
      <c r="I511" s="58">
        <v>3</v>
      </c>
      <c r="J511" s="54">
        <f t="shared" si="42"/>
        <v>10902.8</v>
      </c>
      <c r="K511" s="57">
        <v>3380</v>
      </c>
      <c r="L511" s="54">
        <f t="shared" si="43"/>
        <v>36851464</v>
      </c>
      <c r="P511" s="139">
        <v>35960000</v>
      </c>
      <c r="Q511" s="139">
        <f t="shared" si="44"/>
        <v>891464</v>
      </c>
    </row>
    <row r="512" spans="1:17" hidden="1" x14ac:dyDescent="0.3">
      <c r="A512" s="54"/>
      <c r="B512" s="54"/>
      <c r="C512" s="54"/>
      <c r="D512" s="54" t="s">
        <v>1188</v>
      </c>
      <c r="E512" s="55"/>
      <c r="F512" s="57"/>
      <c r="G512" s="57"/>
      <c r="H512" s="54">
        <f t="shared" si="41"/>
        <v>0</v>
      </c>
      <c r="I512" s="58"/>
      <c r="J512" s="54">
        <f t="shared" si="42"/>
        <v>0</v>
      </c>
      <c r="K512" s="57"/>
      <c r="L512" s="54">
        <f t="shared" si="43"/>
        <v>0</v>
      </c>
      <c r="Q512" s="139">
        <f t="shared" si="44"/>
        <v>0</v>
      </c>
    </row>
    <row r="513" spans="1:17" hidden="1" x14ac:dyDescent="0.3">
      <c r="A513" s="54"/>
      <c r="B513" s="54"/>
      <c r="C513" s="54"/>
      <c r="D513" s="54"/>
      <c r="E513" s="55"/>
      <c r="F513" s="57"/>
      <c r="G513" s="57"/>
      <c r="H513" s="54">
        <f t="shared" si="41"/>
        <v>0</v>
      </c>
      <c r="I513" s="58"/>
      <c r="J513" s="54">
        <f t="shared" si="42"/>
        <v>0</v>
      </c>
      <c r="K513" s="57"/>
      <c r="L513" s="54">
        <f t="shared" si="43"/>
        <v>0</v>
      </c>
      <c r="Q513" s="139">
        <f t="shared" si="44"/>
        <v>0</v>
      </c>
    </row>
    <row r="514" spans="1:17" hidden="1" x14ac:dyDescent="0.3">
      <c r="A514" s="54"/>
      <c r="B514" s="54"/>
      <c r="C514" s="54"/>
      <c r="D514" s="54"/>
      <c r="E514" s="55"/>
      <c r="F514" s="57"/>
      <c r="G514" s="57"/>
      <c r="H514" s="54">
        <f t="shared" si="41"/>
        <v>0</v>
      </c>
      <c r="I514" s="58"/>
      <c r="J514" s="54">
        <f t="shared" si="42"/>
        <v>0</v>
      </c>
      <c r="K514" s="57"/>
      <c r="L514" s="54">
        <f t="shared" si="43"/>
        <v>0</v>
      </c>
      <c r="Q514" s="139">
        <f t="shared" si="44"/>
        <v>0</v>
      </c>
    </row>
    <row r="515" spans="1:17" hidden="1" x14ac:dyDescent="0.3">
      <c r="A515" s="54" t="s">
        <v>1179</v>
      </c>
      <c r="B515" s="54"/>
      <c r="C515" s="54">
        <f>12000*12000</f>
        <v>144000000</v>
      </c>
      <c r="D515" s="54" t="s">
        <v>1180</v>
      </c>
      <c r="E515" s="55" t="s">
        <v>1181</v>
      </c>
      <c r="F515" s="57">
        <v>18370</v>
      </c>
      <c r="G515" s="57">
        <v>10750</v>
      </c>
      <c r="H515" s="54">
        <f t="shared" si="41"/>
        <v>7620</v>
      </c>
      <c r="I515" s="58">
        <v>3</v>
      </c>
      <c r="J515" s="54">
        <f t="shared" si="42"/>
        <v>7391.4</v>
      </c>
      <c r="K515" s="57">
        <v>3650</v>
      </c>
      <c r="L515" s="54">
        <f t="shared" si="43"/>
        <v>26978610</v>
      </c>
      <c r="P515" s="139">
        <f>28780000-480000</f>
        <v>28300000</v>
      </c>
      <c r="Q515" s="139">
        <f t="shared" si="44"/>
        <v>-1321390</v>
      </c>
    </row>
    <row r="516" spans="1:17" hidden="1" x14ac:dyDescent="0.3">
      <c r="A516" s="54"/>
      <c r="B516" s="54"/>
      <c r="C516" s="54"/>
      <c r="D516" s="54"/>
      <c r="E516" s="55" t="s">
        <v>1039</v>
      </c>
      <c r="F516" s="57">
        <v>17980</v>
      </c>
      <c r="G516" s="57">
        <v>8610</v>
      </c>
      <c r="H516" s="54">
        <f t="shared" si="41"/>
        <v>9370</v>
      </c>
      <c r="I516" s="58">
        <v>2.8</v>
      </c>
      <c r="J516" s="54">
        <f t="shared" si="42"/>
        <v>9107.64</v>
      </c>
      <c r="K516" s="57">
        <v>3650</v>
      </c>
      <c r="L516" s="54">
        <f t="shared" si="43"/>
        <v>33242885.999999996</v>
      </c>
      <c r="P516" s="139">
        <v>32575000</v>
      </c>
      <c r="Q516" s="139">
        <f t="shared" si="44"/>
        <v>667885.99999999627</v>
      </c>
    </row>
    <row r="517" spans="1:17" hidden="1" x14ac:dyDescent="0.3">
      <c r="A517" s="54"/>
      <c r="B517" s="54"/>
      <c r="C517" s="54">
        <v>250000</v>
      </c>
      <c r="D517" s="177" t="s">
        <v>1105</v>
      </c>
      <c r="E517" s="55" t="s">
        <v>1184</v>
      </c>
      <c r="F517" s="57">
        <v>21200</v>
      </c>
      <c r="G517" s="57">
        <v>13780</v>
      </c>
      <c r="H517" s="54">
        <f t="shared" si="41"/>
        <v>7420</v>
      </c>
      <c r="I517" s="58">
        <v>3</v>
      </c>
      <c r="J517" s="54">
        <f t="shared" si="42"/>
        <v>7197.4</v>
      </c>
      <c r="K517" s="57">
        <v>3380</v>
      </c>
      <c r="L517" s="54">
        <f t="shared" si="43"/>
        <v>24327212</v>
      </c>
      <c r="P517" s="139">
        <v>23928000</v>
      </c>
      <c r="Q517" s="139">
        <f t="shared" si="44"/>
        <v>399212</v>
      </c>
    </row>
    <row r="518" spans="1:17" hidden="1" x14ac:dyDescent="0.3">
      <c r="A518" s="54"/>
      <c r="B518" s="180" t="s">
        <v>1183</v>
      </c>
      <c r="C518" s="180">
        <v>4300000</v>
      </c>
      <c r="D518" s="180" t="s">
        <v>1185</v>
      </c>
      <c r="E518" s="55" t="s">
        <v>1182</v>
      </c>
      <c r="F518" s="57">
        <v>41880</v>
      </c>
      <c r="G518" s="57">
        <v>18890</v>
      </c>
      <c r="H518" s="54">
        <f t="shared" si="41"/>
        <v>22990</v>
      </c>
      <c r="I518" s="58">
        <v>2</v>
      </c>
      <c r="J518" s="54">
        <f t="shared" si="42"/>
        <v>22530.2</v>
      </c>
      <c r="K518" s="57">
        <v>3930</v>
      </c>
      <c r="L518" s="54">
        <f t="shared" si="43"/>
        <v>88543686</v>
      </c>
      <c r="P518" s="139">
        <f>80150000+4300000</f>
        <v>84450000</v>
      </c>
      <c r="Q518" s="139">
        <f t="shared" si="44"/>
        <v>4093686</v>
      </c>
    </row>
    <row r="519" spans="1:17" hidden="1" x14ac:dyDescent="0.3">
      <c r="A519" s="54"/>
      <c r="B519" s="54"/>
      <c r="C519" s="54"/>
      <c r="D519" s="54"/>
      <c r="E519" s="55" t="s">
        <v>1186</v>
      </c>
      <c r="F519" s="57">
        <v>11320</v>
      </c>
      <c r="G519" s="57">
        <v>4960</v>
      </c>
      <c r="H519" s="54">
        <f t="shared" si="41"/>
        <v>6360</v>
      </c>
      <c r="I519" s="58">
        <v>2</v>
      </c>
      <c r="J519" s="54">
        <f t="shared" si="42"/>
        <v>6232.8</v>
      </c>
      <c r="K519" s="57">
        <v>3630</v>
      </c>
      <c r="L519" s="54">
        <f t="shared" si="43"/>
        <v>22625064</v>
      </c>
      <c r="P519" s="139">
        <v>22100000</v>
      </c>
      <c r="Q519" s="139">
        <f t="shared" si="44"/>
        <v>525064</v>
      </c>
    </row>
    <row r="520" spans="1:17" hidden="1" x14ac:dyDescent="0.3">
      <c r="A520" s="54"/>
      <c r="B520" s="180">
        <v>3500000</v>
      </c>
      <c r="C520" s="54"/>
      <c r="D520" s="180" t="s">
        <v>357</v>
      </c>
      <c r="E520" s="55"/>
      <c r="F520" s="57"/>
      <c r="G520" s="57"/>
      <c r="H520" s="54"/>
      <c r="I520" s="58"/>
      <c r="J520" s="54">
        <f t="shared" ref="J520" si="45">+H520-H520*I520/100</f>
        <v>0</v>
      </c>
      <c r="K520" s="57"/>
      <c r="L520" s="54">
        <f t="shared" ref="L520" si="46">+J520*K520</f>
        <v>0</v>
      </c>
    </row>
    <row r="521" spans="1:17" hidden="1" x14ac:dyDescent="0.3">
      <c r="A521" s="54"/>
      <c r="B521" s="54"/>
      <c r="C521" s="54"/>
      <c r="D521" s="54"/>
      <c r="E521" s="55" t="s">
        <v>1187</v>
      </c>
      <c r="F521" s="57">
        <v>12840</v>
      </c>
      <c r="G521" s="57">
        <v>9160</v>
      </c>
      <c r="H521" s="54">
        <f t="shared" si="41"/>
        <v>3680</v>
      </c>
      <c r="I521" s="58">
        <v>3</v>
      </c>
      <c r="J521" s="54">
        <f t="shared" si="42"/>
        <v>3569.6</v>
      </c>
      <c r="K521" s="57">
        <v>3630</v>
      </c>
      <c r="L521" s="54">
        <f t="shared" si="43"/>
        <v>12957648</v>
      </c>
      <c r="P521" s="139">
        <v>12957648</v>
      </c>
      <c r="Q521" s="139">
        <f t="shared" si="44"/>
        <v>0</v>
      </c>
    </row>
    <row r="522" spans="1:17" hidden="1" x14ac:dyDescent="0.3">
      <c r="A522" s="54"/>
      <c r="B522" s="54"/>
      <c r="C522" s="54"/>
      <c r="D522" s="54"/>
      <c r="E522" s="55"/>
      <c r="F522" s="57"/>
      <c r="G522" s="57"/>
      <c r="H522" s="54">
        <f t="shared" si="41"/>
        <v>0</v>
      </c>
      <c r="I522" s="58"/>
      <c r="J522" s="54">
        <f t="shared" si="42"/>
        <v>0</v>
      </c>
      <c r="K522" s="57"/>
      <c r="L522" s="54">
        <f t="shared" si="43"/>
        <v>0</v>
      </c>
      <c r="Q522" s="139">
        <f t="shared" si="44"/>
        <v>0</v>
      </c>
    </row>
    <row r="523" spans="1:17" hidden="1" x14ac:dyDescent="0.3">
      <c r="A523" s="54"/>
      <c r="B523" s="54"/>
      <c r="C523" s="54"/>
      <c r="D523" s="54"/>
      <c r="E523" s="55"/>
      <c r="F523" s="57"/>
      <c r="G523" s="57"/>
      <c r="H523" s="54">
        <f t="shared" si="41"/>
        <v>0</v>
      </c>
      <c r="I523" s="58"/>
      <c r="J523" s="54">
        <f t="shared" si="42"/>
        <v>0</v>
      </c>
      <c r="K523" s="57"/>
      <c r="L523" s="54">
        <f t="shared" si="43"/>
        <v>0</v>
      </c>
      <c r="Q523" s="139">
        <f t="shared" si="44"/>
        <v>0</v>
      </c>
    </row>
    <row r="524" spans="1:17" hidden="1" x14ac:dyDescent="0.3">
      <c r="A524" s="54" t="s">
        <v>1193</v>
      </c>
      <c r="B524" s="54"/>
      <c r="C524" s="54">
        <f>7060*12000</f>
        <v>84720000</v>
      </c>
      <c r="D524" s="54" t="s">
        <v>1194</v>
      </c>
      <c r="E524" s="55"/>
      <c r="F524" s="57"/>
      <c r="G524" s="57"/>
      <c r="H524" s="54">
        <f t="shared" si="41"/>
        <v>0</v>
      </c>
      <c r="I524" s="58"/>
      <c r="J524" s="54">
        <f t="shared" si="42"/>
        <v>0</v>
      </c>
      <c r="K524" s="57"/>
      <c r="L524" s="54">
        <f t="shared" si="43"/>
        <v>0</v>
      </c>
      <c r="Q524" s="139">
        <f t="shared" si="44"/>
        <v>0</v>
      </c>
    </row>
    <row r="525" spans="1:17" hidden="1" x14ac:dyDescent="0.3">
      <c r="A525" s="54"/>
      <c r="B525" s="54"/>
      <c r="C525" s="54"/>
      <c r="D525" s="180" t="s">
        <v>831</v>
      </c>
      <c r="E525" s="55" t="s">
        <v>1196</v>
      </c>
      <c r="F525" s="57">
        <v>25980</v>
      </c>
      <c r="G525" s="57">
        <v>9350</v>
      </c>
      <c r="H525" s="54">
        <f t="shared" si="41"/>
        <v>16630</v>
      </c>
      <c r="I525" s="58">
        <v>1</v>
      </c>
      <c r="J525" s="54">
        <f t="shared" si="42"/>
        <v>16463.7</v>
      </c>
      <c r="K525" s="57">
        <v>3650</v>
      </c>
      <c r="L525" s="54">
        <f t="shared" si="43"/>
        <v>60092505</v>
      </c>
      <c r="P525" s="139">
        <f>16600*3550</f>
        <v>58930000</v>
      </c>
      <c r="Q525" s="139">
        <f t="shared" si="44"/>
        <v>1162505</v>
      </c>
    </row>
    <row r="526" spans="1:17" hidden="1" x14ac:dyDescent="0.3">
      <c r="A526" s="54"/>
      <c r="B526" s="54"/>
      <c r="C526" s="54"/>
      <c r="D526" s="54"/>
      <c r="E526" s="55" t="s">
        <v>1197</v>
      </c>
      <c r="F526" s="57">
        <v>24120</v>
      </c>
      <c r="G526" s="57">
        <v>9920</v>
      </c>
      <c r="H526" s="54">
        <f t="shared" si="41"/>
        <v>14200</v>
      </c>
      <c r="I526" s="58">
        <v>3.6</v>
      </c>
      <c r="J526" s="54">
        <f t="shared" si="42"/>
        <v>13688.8</v>
      </c>
      <c r="K526" s="57">
        <v>3600</v>
      </c>
      <c r="L526" s="54">
        <f t="shared" si="43"/>
        <v>49279680</v>
      </c>
      <c r="P526" s="139">
        <v>48650000</v>
      </c>
      <c r="Q526" s="139">
        <f t="shared" si="44"/>
        <v>629680</v>
      </c>
    </row>
    <row r="527" spans="1:17" hidden="1" x14ac:dyDescent="0.3">
      <c r="A527" s="54"/>
      <c r="B527" s="54"/>
      <c r="C527" s="54"/>
      <c r="D527" s="54"/>
      <c r="E527" s="55" t="s">
        <v>1198</v>
      </c>
      <c r="F527" s="57">
        <v>25730</v>
      </c>
      <c r="G527" s="57">
        <v>12100</v>
      </c>
      <c r="H527" s="54">
        <f t="shared" si="41"/>
        <v>13630</v>
      </c>
      <c r="I527" s="58">
        <v>2</v>
      </c>
      <c r="J527" s="54">
        <f t="shared" si="42"/>
        <v>13357.4</v>
      </c>
      <c r="K527" s="57">
        <v>3380</v>
      </c>
      <c r="L527" s="54">
        <f t="shared" si="43"/>
        <v>45148012</v>
      </c>
      <c r="P527" s="139">
        <v>43629000</v>
      </c>
      <c r="Q527" s="139">
        <f t="shared" si="44"/>
        <v>1519012</v>
      </c>
    </row>
    <row r="528" spans="1:17" hidden="1" x14ac:dyDescent="0.3">
      <c r="A528" s="54"/>
      <c r="B528" s="54"/>
      <c r="C528" s="180">
        <v>3300000</v>
      </c>
      <c r="D528" s="180" t="s">
        <v>1199</v>
      </c>
      <c r="E528" s="55" t="s">
        <v>1200</v>
      </c>
      <c r="F528" s="57">
        <v>38240</v>
      </c>
      <c r="G528" s="57">
        <v>17870</v>
      </c>
      <c r="H528" s="54">
        <f t="shared" si="41"/>
        <v>20370</v>
      </c>
      <c r="I528" s="58">
        <v>1</v>
      </c>
      <c r="J528" s="54">
        <f t="shared" si="42"/>
        <v>20166.3</v>
      </c>
      <c r="K528" s="57">
        <v>3930</v>
      </c>
      <c r="L528" s="54">
        <f t="shared" si="43"/>
        <v>79253559</v>
      </c>
      <c r="P528" s="139">
        <v>75120000</v>
      </c>
      <c r="Q528" s="139">
        <f t="shared" si="44"/>
        <v>4133559</v>
      </c>
    </row>
    <row r="529" spans="1:17" hidden="1" x14ac:dyDescent="0.3">
      <c r="A529" s="54"/>
      <c r="B529" s="54"/>
      <c r="C529" s="54"/>
      <c r="D529" s="180" t="s">
        <v>831</v>
      </c>
      <c r="E529" s="55" t="s">
        <v>1201</v>
      </c>
      <c r="F529" s="57">
        <v>24730</v>
      </c>
      <c r="G529" s="57">
        <v>13170</v>
      </c>
      <c r="H529" s="54">
        <f t="shared" si="41"/>
        <v>11560</v>
      </c>
      <c r="I529" s="58">
        <v>1</v>
      </c>
      <c r="J529" s="54">
        <f t="shared" si="42"/>
        <v>11444.4</v>
      </c>
      <c r="K529" s="57">
        <v>3650</v>
      </c>
      <c r="L529" s="54">
        <f t="shared" si="43"/>
        <v>41772060</v>
      </c>
      <c r="P529" s="139">
        <f>11500*3550</f>
        <v>40825000</v>
      </c>
      <c r="Q529" s="139">
        <f t="shared" si="44"/>
        <v>947060</v>
      </c>
    </row>
    <row r="530" spans="1:17" hidden="1" x14ac:dyDescent="0.3">
      <c r="A530" s="54"/>
      <c r="B530" s="54"/>
      <c r="C530" s="54">
        <f>5000*12010</f>
        <v>60050000</v>
      </c>
      <c r="D530" s="54" t="s">
        <v>638</v>
      </c>
      <c r="E530" s="55"/>
      <c r="F530" s="57"/>
      <c r="G530" s="57"/>
      <c r="H530" s="54">
        <f t="shared" si="41"/>
        <v>0</v>
      </c>
      <c r="I530" s="58"/>
      <c r="J530" s="54">
        <f t="shared" si="42"/>
        <v>0</v>
      </c>
      <c r="K530" s="57"/>
      <c r="L530" s="54">
        <f t="shared" si="43"/>
        <v>0</v>
      </c>
      <c r="Q530" s="139">
        <f t="shared" si="44"/>
        <v>0</v>
      </c>
    </row>
    <row r="531" spans="1:17" hidden="1" x14ac:dyDescent="0.3">
      <c r="A531" s="54" t="s">
        <v>1206</v>
      </c>
      <c r="B531" s="54"/>
      <c r="C531" s="54"/>
      <c r="D531" s="54"/>
      <c r="E531" s="55" t="s">
        <v>1121</v>
      </c>
      <c r="F531" s="57">
        <v>24840</v>
      </c>
      <c r="G531" s="57">
        <v>12940</v>
      </c>
      <c r="H531" s="54">
        <f t="shared" si="41"/>
        <v>11900</v>
      </c>
      <c r="I531" s="58">
        <v>2</v>
      </c>
      <c r="J531" s="54">
        <f t="shared" si="42"/>
        <v>11662</v>
      </c>
      <c r="K531" s="57">
        <v>3380</v>
      </c>
      <c r="L531" s="54">
        <f t="shared" si="43"/>
        <v>39417560</v>
      </c>
      <c r="P531" s="139">
        <v>38091000</v>
      </c>
      <c r="Q531" s="139">
        <f t="shared" si="44"/>
        <v>1326560</v>
      </c>
    </row>
    <row r="532" spans="1:17" hidden="1" x14ac:dyDescent="0.3">
      <c r="A532" s="54" t="s">
        <v>1207</v>
      </c>
      <c r="B532" s="54">
        <v>1000000</v>
      </c>
      <c r="C532" s="54"/>
      <c r="D532" s="54" t="s">
        <v>1208</v>
      </c>
      <c r="E532" s="55"/>
      <c r="F532" s="57"/>
      <c r="G532" s="57"/>
      <c r="H532" s="54">
        <f t="shared" si="41"/>
        <v>0</v>
      </c>
      <c r="I532" s="58"/>
      <c r="J532" s="54">
        <f t="shared" si="42"/>
        <v>0</v>
      </c>
      <c r="K532" s="57"/>
      <c r="L532" s="54">
        <f t="shared" si="43"/>
        <v>0</v>
      </c>
      <c r="Q532" s="139">
        <f t="shared" si="44"/>
        <v>0</v>
      </c>
    </row>
    <row r="533" spans="1:17" hidden="1" x14ac:dyDescent="0.3">
      <c r="A533" s="54"/>
      <c r="B533" s="54"/>
      <c r="C533" s="54">
        <f>15000*12000</f>
        <v>180000000</v>
      </c>
      <c r="D533" s="54" t="s">
        <v>569</v>
      </c>
      <c r="E533" s="55" t="s">
        <v>1209</v>
      </c>
      <c r="F533" s="57">
        <v>26170</v>
      </c>
      <c r="G533" s="57">
        <v>14830</v>
      </c>
      <c r="H533" s="54">
        <f t="shared" si="41"/>
        <v>11340</v>
      </c>
      <c r="I533" s="58">
        <v>3.9</v>
      </c>
      <c r="J533" s="54">
        <f t="shared" si="42"/>
        <v>10897.74</v>
      </c>
      <c r="K533" s="57">
        <v>3600</v>
      </c>
      <c r="L533" s="54">
        <f t="shared" si="43"/>
        <v>39231864</v>
      </c>
      <c r="M533" t="s">
        <v>759</v>
      </c>
      <c r="P533" s="139">
        <v>38646000</v>
      </c>
      <c r="Q533" s="139">
        <f t="shared" si="44"/>
        <v>585864</v>
      </c>
    </row>
    <row r="534" spans="1:17" hidden="1" x14ac:dyDescent="0.3">
      <c r="A534" s="54"/>
      <c r="B534" s="54"/>
      <c r="C534" s="54">
        <v>500000</v>
      </c>
      <c r="D534" s="54" t="s">
        <v>1210</v>
      </c>
      <c r="E534" s="55" t="s">
        <v>1211</v>
      </c>
      <c r="F534" s="57">
        <v>20960</v>
      </c>
      <c r="G534" s="57">
        <v>11060</v>
      </c>
      <c r="H534" s="54">
        <f t="shared" si="41"/>
        <v>9900</v>
      </c>
      <c r="I534" s="58">
        <v>2</v>
      </c>
      <c r="J534" s="54">
        <f t="shared" si="42"/>
        <v>9702</v>
      </c>
      <c r="K534" s="57">
        <v>3650</v>
      </c>
      <c r="L534" s="54">
        <f t="shared" si="43"/>
        <v>35412300</v>
      </c>
      <c r="P534" s="139">
        <v>33520000</v>
      </c>
      <c r="Q534" s="139">
        <f t="shared" si="44"/>
        <v>1892300</v>
      </c>
    </row>
    <row r="535" spans="1:17" hidden="1" x14ac:dyDescent="0.3">
      <c r="A535" s="54"/>
      <c r="B535" s="54"/>
      <c r="C535" s="54"/>
      <c r="D535" s="54"/>
      <c r="E535" s="55" t="s">
        <v>1212</v>
      </c>
      <c r="F535" s="57">
        <v>21190</v>
      </c>
      <c r="G535" s="57">
        <v>9440</v>
      </c>
      <c r="H535" s="54">
        <f t="shared" si="41"/>
        <v>11750</v>
      </c>
      <c r="I535" s="58">
        <v>2.4</v>
      </c>
      <c r="J535" s="54">
        <f t="shared" si="42"/>
        <v>11468</v>
      </c>
      <c r="K535" s="57">
        <v>3550</v>
      </c>
      <c r="L535" s="54">
        <f t="shared" si="43"/>
        <v>40711400</v>
      </c>
      <c r="P535" s="139">
        <v>41405000</v>
      </c>
      <c r="Q535" s="139">
        <f t="shared" si="44"/>
        <v>-693600</v>
      </c>
    </row>
    <row r="536" spans="1:17" hidden="1" x14ac:dyDescent="0.3">
      <c r="A536" s="54"/>
      <c r="B536" s="54"/>
      <c r="C536" s="54"/>
      <c r="D536" s="54"/>
      <c r="E536" s="55"/>
      <c r="F536" s="57"/>
      <c r="G536" s="57"/>
      <c r="H536" s="54">
        <f t="shared" si="41"/>
        <v>0</v>
      </c>
      <c r="I536" s="58"/>
      <c r="J536" s="54">
        <f t="shared" si="42"/>
        <v>0</v>
      </c>
      <c r="K536" s="57"/>
      <c r="L536" s="54">
        <f t="shared" si="43"/>
        <v>0</v>
      </c>
      <c r="Q536" s="139">
        <f t="shared" si="44"/>
        <v>0</v>
      </c>
    </row>
    <row r="537" spans="1:17" hidden="1" x14ac:dyDescent="0.3">
      <c r="A537" s="54"/>
      <c r="B537" s="54"/>
      <c r="C537" s="54"/>
      <c r="D537" s="54"/>
      <c r="E537" s="55"/>
      <c r="F537" s="57"/>
      <c r="G537" s="57"/>
      <c r="H537" s="54">
        <f t="shared" si="41"/>
        <v>0</v>
      </c>
      <c r="I537" s="58"/>
      <c r="J537" s="54">
        <f t="shared" si="42"/>
        <v>0</v>
      </c>
      <c r="K537" s="57"/>
      <c r="L537" s="54">
        <f t="shared" si="43"/>
        <v>0</v>
      </c>
      <c r="Q537" s="139">
        <f t="shared" si="44"/>
        <v>0</v>
      </c>
    </row>
    <row r="538" spans="1:17" hidden="1" x14ac:dyDescent="0.3">
      <c r="A538" s="54"/>
      <c r="B538" s="54"/>
      <c r="C538" s="54"/>
      <c r="D538" s="54"/>
      <c r="E538" s="55"/>
      <c r="F538" s="57"/>
      <c r="G538" s="57"/>
      <c r="H538" s="54">
        <f t="shared" si="41"/>
        <v>0</v>
      </c>
      <c r="I538" s="58"/>
      <c r="J538" s="54">
        <f t="shared" si="42"/>
        <v>0</v>
      </c>
      <c r="K538" s="57"/>
      <c r="L538" s="54">
        <f t="shared" si="43"/>
        <v>0</v>
      </c>
      <c r="Q538" s="139">
        <f t="shared" si="44"/>
        <v>0</v>
      </c>
    </row>
    <row r="539" spans="1:17" hidden="1" x14ac:dyDescent="0.3">
      <c r="A539" s="54"/>
      <c r="B539" s="54"/>
      <c r="C539" s="54"/>
      <c r="D539" s="54"/>
      <c r="E539" s="55"/>
      <c r="F539" s="57"/>
      <c r="G539" s="57"/>
      <c r="H539" s="54">
        <f t="shared" ref="H539:H602" si="47">+F539-G539</f>
        <v>0</v>
      </c>
      <c r="I539" s="58"/>
      <c r="J539" s="54">
        <f t="shared" ref="J539:J602" si="48">+H539-H539*I539/100</f>
        <v>0</v>
      </c>
      <c r="K539" s="57"/>
      <c r="L539" s="54">
        <f t="shared" ref="L539:L602" si="49">+J539*K539</f>
        <v>0</v>
      </c>
      <c r="Q539" s="139">
        <f t="shared" si="44"/>
        <v>0</v>
      </c>
    </row>
    <row r="540" spans="1:17" hidden="1" x14ac:dyDescent="0.3">
      <c r="A540" s="54"/>
      <c r="B540" s="54"/>
      <c r="C540" s="54"/>
      <c r="D540" s="54"/>
      <c r="E540" s="55"/>
      <c r="F540" s="57"/>
      <c r="G540" s="57"/>
      <c r="H540" s="54">
        <f t="shared" si="47"/>
        <v>0</v>
      </c>
      <c r="I540" s="58"/>
      <c r="J540" s="54">
        <f t="shared" si="48"/>
        <v>0</v>
      </c>
      <c r="K540" s="57"/>
      <c r="L540" s="54">
        <f t="shared" si="49"/>
        <v>0</v>
      </c>
      <c r="Q540" s="139">
        <f t="shared" ref="Q540:Q603" si="50">+L540-P540</f>
        <v>0</v>
      </c>
    </row>
    <row r="541" spans="1:17" hidden="1" x14ac:dyDescent="0.3">
      <c r="A541" s="54" t="s">
        <v>1224</v>
      </c>
      <c r="B541" s="54"/>
      <c r="C541" s="54">
        <v>600000</v>
      </c>
      <c r="D541" s="54" t="s">
        <v>1115</v>
      </c>
      <c r="E541" s="55" t="s">
        <v>1225</v>
      </c>
      <c r="F541" s="57">
        <v>17580</v>
      </c>
      <c r="G541" s="57">
        <v>10045</v>
      </c>
      <c r="H541" s="54">
        <f t="shared" si="47"/>
        <v>7535</v>
      </c>
      <c r="I541" s="58">
        <v>2</v>
      </c>
      <c r="J541" s="54">
        <f t="shared" si="48"/>
        <v>7384.3</v>
      </c>
      <c r="K541" s="57">
        <v>3650</v>
      </c>
      <c r="L541" s="54">
        <f t="shared" si="49"/>
        <v>26952695</v>
      </c>
      <c r="P541" s="139">
        <v>26700000</v>
      </c>
      <c r="Q541" s="139">
        <f t="shared" si="50"/>
        <v>252695</v>
      </c>
    </row>
    <row r="542" spans="1:17" hidden="1" x14ac:dyDescent="0.3">
      <c r="A542" s="54" t="s">
        <v>1226</v>
      </c>
      <c r="B542" s="54"/>
      <c r="C542" s="54">
        <f>13000*12010</f>
        <v>156130000</v>
      </c>
      <c r="D542" s="54" t="s">
        <v>803</v>
      </c>
      <c r="E542" s="55" t="s">
        <v>1241</v>
      </c>
      <c r="F542" s="57">
        <v>21370</v>
      </c>
      <c r="G542" s="57">
        <v>9840</v>
      </c>
      <c r="H542" s="54">
        <f t="shared" si="47"/>
        <v>11530</v>
      </c>
      <c r="I542" s="58">
        <v>2.9</v>
      </c>
      <c r="J542" s="54">
        <f t="shared" si="48"/>
        <v>11195.63</v>
      </c>
      <c r="K542" s="57">
        <v>3650</v>
      </c>
      <c r="L542" s="54">
        <f t="shared" si="49"/>
        <v>40864049.5</v>
      </c>
      <c r="P542" s="139">
        <v>40050000</v>
      </c>
      <c r="Q542" s="139">
        <f t="shared" si="50"/>
        <v>814049.5</v>
      </c>
    </row>
    <row r="543" spans="1:17" hidden="1" x14ac:dyDescent="0.3">
      <c r="A543" s="9" t="s">
        <v>1229</v>
      </c>
      <c r="B543" s="54"/>
      <c r="C543" s="54">
        <v>1000000</v>
      </c>
      <c r="D543" s="54" t="s">
        <v>1230</v>
      </c>
      <c r="E543" s="55" t="s">
        <v>1231</v>
      </c>
      <c r="F543" s="57">
        <v>20620</v>
      </c>
      <c r="G543" s="57">
        <v>10020</v>
      </c>
      <c r="H543" s="54">
        <f t="shared" si="47"/>
        <v>10600</v>
      </c>
      <c r="I543" s="58">
        <v>3.7</v>
      </c>
      <c r="J543" s="54">
        <f t="shared" si="48"/>
        <v>10207.799999999999</v>
      </c>
      <c r="K543" s="57">
        <v>3380</v>
      </c>
      <c r="L543" s="54">
        <f t="shared" si="49"/>
        <v>34502364</v>
      </c>
      <c r="P543" s="139">
        <v>34053000</v>
      </c>
      <c r="Q543" s="139">
        <f t="shared" si="50"/>
        <v>449364</v>
      </c>
    </row>
    <row r="544" spans="1:17" hidden="1" x14ac:dyDescent="0.3">
      <c r="A544" s="54"/>
      <c r="B544" s="54"/>
      <c r="C544" s="54"/>
      <c r="D544" s="54" t="s">
        <v>437</v>
      </c>
      <c r="E544" s="55"/>
      <c r="F544" s="57"/>
      <c r="G544" s="57"/>
      <c r="H544" s="54">
        <f t="shared" si="47"/>
        <v>0</v>
      </c>
      <c r="I544" s="58"/>
      <c r="J544" s="54">
        <f t="shared" si="48"/>
        <v>0</v>
      </c>
      <c r="K544" s="57"/>
      <c r="L544" s="54">
        <f t="shared" si="49"/>
        <v>0</v>
      </c>
      <c r="Q544" s="139">
        <f t="shared" si="50"/>
        <v>0</v>
      </c>
    </row>
    <row r="545" spans="1:17" hidden="1" x14ac:dyDescent="0.3">
      <c r="A545" s="54" t="s">
        <v>1232</v>
      </c>
      <c r="B545" s="180">
        <v>24000000</v>
      </c>
      <c r="C545" s="54"/>
      <c r="D545" s="180" t="s">
        <v>1233</v>
      </c>
      <c r="E545" s="55" t="s">
        <v>1234</v>
      </c>
      <c r="F545" s="57">
        <v>17480</v>
      </c>
      <c r="G545" s="57">
        <v>8530</v>
      </c>
      <c r="H545" s="54">
        <f t="shared" si="47"/>
        <v>8950</v>
      </c>
      <c r="I545" s="58">
        <v>2.7</v>
      </c>
      <c r="J545" s="54">
        <f t="shared" si="48"/>
        <v>8708.35</v>
      </c>
      <c r="K545" s="57">
        <v>3650</v>
      </c>
      <c r="L545" s="54">
        <f t="shared" si="49"/>
        <v>31785477.5</v>
      </c>
      <c r="P545" s="139">
        <v>30922000</v>
      </c>
      <c r="Q545" s="139">
        <f t="shared" si="50"/>
        <v>863477.5</v>
      </c>
    </row>
    <row r="546" spans="1:17" hidden="1" x14ac:dyDescent="0.3">
      <c r="A546" s="54"/>
      <c r="B546" s="54"/>
      <c r="C546" s="54">
        <v>1000000</v>
      </c>
      <c r="D546" s="54" t="s">
        <v>1238</v>
      </c>
      <c r="E546" s="55" t="s">
        <v>1235</v>
      </c>
      <c r="F546" s="57">
        <v>19700</v>
      </c>
      <c r="G546" s="57">
        <v>12980</v>
      </c>
      <c r="H546" s="54">
        <f t="shared" si="47"/>
        <v>6720</v>
      </c>
      <c r="I546" s="58">
        <v>3</v>
      </c>
      <c r="J546" s="54">
        <f t="shared" si="48"/>
        <v>6518.4</v>
      </c>
      <c r="K546" s="57">
        <v>3380</v>
      </c>
      <c r="L546" s="54">
        <f t="shared" si="49"/>
        <v>22032192</v>
      </c>
      <c r="P546" s="139">
        <v>20460000</v>
      </c>
      <c r="Q546" s="139">
        <f t="shared" si="50"/>
        <v>1572192</v>
      </c>
    </row>
    <row r="547" spans="1:17" hidden="1" x14ac:dyDescent="0.3">
      <c r="A547" s="54"/>
      <c r="B547" s="54"/>
      <c r="C547" s="54">
        <v>400000</v>
      </c>
      <c r="D547" s="54" t="s">
        <v>1237</v>
      </c>
      <c r="E547" s="55" t="s">
        <v>1236</v>
      </c>
      <c r="F547" s="57">
        <v>24660</v>
      </c>
      <c r="G547" s="57">
        <v>14040</v>
      </c>
      <c r="H547" s="54">
        <f t="shared" si="47"/>
        <v>10620</v>
      </c>
      <c r="I547" s="58">
        <v>1</v>
      </c>
      <c r="J547" s="54">
        <f t="shared" si="48"/>
        <v>10513.8</v>
      </c>
      <c r="K547" s="57">
        <v>3650</v>
      </c>
      <c r="L547" s="54">
        <f t="shared" si="49"/>
        <v>38375370</v>
      </c>
      <c r="P547" s="139">
        <v>37170000</v>
      </c>
      <c r="Q547" s="139">
        <f t="shared" si="50"/>
        <v>1205370</v>
      </c>
    </row>
    <row r="548" spans="1:17" hidden="1" x14ac:dyDescent="0.3">
      <c r="A548" s="54"/>
      <c r="B548" s="54"/>
      <c r="C548" s="54"/>
      <c r="D548" s="210" t="s">
        <v>831</v>
      </c>
      <c r="E548" s="55" t="s">
        <v>1239</v>
      </c>
      <c r="F548" s="57">
        <v>11490</v>
      </c>
      <c r="G548" s="57">
        <v>4880</v>
      </c>
      <c r="H548" s="54">
        <f t="shared" si="47"/>
        <v>6610</v>
      </c>
      <c r="I548" s="58">
        <v>3</v>
      </c>
      <c r="J548" s="54">
        <f t="shared" si="48"/>
        <v>6411.7</v>
      </c>
      <c r="K548" s="57">
        <v>3900</v>
      </c>
      <c r="L548" s="54">
        <f t="shared" si="49"/>
        <v>25005630</v>
      </c>
      <c r="P548" s="139">
        <v>24685000</v>
      </c>
      <c r="Q548" s="139">
        <f t="shared" si="50"/>
        <v>320630</v>
      </c>
    </row>
    <row r="549" spans="1:17" hidden="1" x14ac:dyDescent="0.3">
      <c r="A549" s="54"/>
      <c r="B549" s="54"/>
      <c r="C549" s="54"/>
      <c r="D549" s="210" t="s">
        <v>831</v>
      </c>
      <c r="E549" s="55" t="s">
        <v>1240</v>
      </c>
      <c r="F549" s="57">
        <v>10840</v>
      </c>
      <c r="G549" s="57">
        <v>4910</v>
      </c>
      <c r="H549" s="54">
        <f t="shared" si="47"/>
        <v>5930</v>
      </c>
      <c r="I549" s="58">
        <v>2.8</v>
      </c>
      <c r="J549" s="54">
        <f t="shared" si="48"/>
        <v>5763.96</v>
      </c>
      <c r="K549" s="57">
        <v>3900</v>
      </c>
      <c r="L549" s="54">
        <f t="shared" si="49"/>
        <v>22479444</v>
      </c>
      <c r="P549" s="139">
        <v>22191000</v>
      </c>
      <c r="Q549" s="139">
        <f t="shared" si="50"/>
        <v>288444</v>
      </c>
    </row>
    <row r="550" spans="1:17" x14ac:dyDescent="0.3">
      <c r="A550" s="54"/>
      <c r="B550" s="54"/>
      <c r="C550" s="54"/>
      <c r="D550" s="54"/>
      <c r="E550" s="55"/>
      <c r="F550" s="57"/>
      <c r="G550" s="57"/>
      <c r="H550" s="54">
        <f t="shared" si="47"/>
        <v>0</v>
      </c>
      <c r="I550" s="58"/>
      <c r="J550" s="54">
        <f t="shared" si="48"/>
        <v>0</v>
      </c>
      <c r="K550" s="57"/>
      <c r="L550" s="54">
        <f t="shared" si="49"/>
        <v>0</v>
      </c>
      <c r="Q550" s="139">
        <f t="shared" si="50"/>
        <v>0</v>
      </c>
    </row>
    <row r="551" spans="1:17" hidden="1" x14ac:dyDescent="0.3">
      <c r="A551" s="54" t="s">
        <v>1243</v>
      </c>
      <c r="B551" s="54"/>
      <c r="C551" s="54"/>
      <c r="D551" s="54"/>
      <c r="E551" s="55" t="s">
        <v>1244</v>
      </c>
      <c r="F551" s="57">
        <v>25510</v>
      </c>
      <c r="G551" s="57">
        <v>13010</v>
      </c>
      <c r="H551" s="54">
        <f t="shared" si="47"/>
        <v>12500</v>
      </c>
      <c r="I551" s="58">
        <v>2.65</v>
      </c>
      <c r="J551" s="54">
        <f t="shared" si="48"/>
        <v>12168.75</v>
      </c>
      <c r="K551" s="57">
        <v>3650</v>
      </c>
      <c r="L551" s="54">
        <f t="shared" si="49"/>
        <v>44415937.5</v>
      </c>
      <c r="P551" s="139">
        <v>44260000</v>
      </c>
      <c r="Q551" s="139">
        <f t="shared" si="50"/>
        <v>155937.5</v>
      </c>
    </row>
    <row r="552" spans="1:17" hidden="1" x14ac:dyDescent="0.3">
      <c r="A552" s="54"/>
      <c r="B552" s="54"/>
      <c r="C552" s="54"/>
      <c r="D552" s="54"/>
      <c r="E552" s="55" t="s">
        <v>1245</v>
      </c>
      <c r="F552" s="57">
        <v>27480</v>
      </c>
      <c r="G552" s="57">
        <v>14860</v>
      </c>
      <c r="H552" s="54">
        <f t="shared" si="47"/>
        <v>12620</v>
      </c>
      <c r="I552" s="58">
        <v>2.5539999999999998</v>
      </c>
      <c r="J552" s="54">
        <f t="shared" si="48"/>
        <v>12297.6852</v>
      </c>
      <c r="K552" s="57">
        <v>3380</v>
      </c>
      <c r="L552" s="54">
        <f t="shared" si="49"/>
        <v>41566175.975999996</v>
      </c>
      <c r="P552" s="139">
        <v>38800000</v>
      </c>
      <c r="Q552" s="139">
        <f t="shared" si="50"/>
        <v>2766175.9759999961</v>
      </c>
    </row>
    <row r="553" spans="1:17" hidden="1" x14ac:dyDescent="0.3">
      <c r="A553" s="54"/>
      <c r="B553" s="54"/>
      <c r="C553" s="54"/>
      <c r="D553" s="54"/>
      <c r="E553" s="55" t="s">
        <v>1246</v>
      </c>
      <c r="F553" s="57">
        <v>24430</v>
      </c>
      <c r="G553" s="57">
        <v>9580</v>
      </c>
      <c r="H553" s="54">
        <f t="shared" si="47"/>
        <v>14850</v>
      </c>
      <c r="I553" s="58">
        <v>2</v>
      </c>
      <c r="J553" s="54">
        <f t="shared" si="48"/>
        <v>14553</v>
      </c>
      <c r="K553" s="57">
        <v>3650</v>
      </c>
      <c r="L553" s="54">
        <f t="shared" si="49"/>
        <v>53118450</v>
      </c>
      <c r="P553" s="139">
        <v>51975000</v>
      </c>
      <c r="Q553" s="139">
        <f t="shared" si="50"/>
        <v>1143450</v>
      </c>
    </row>
    <row r="554" spans="1:17" hidden="1" x14ac:dyDescent="0.3">
      <c r="A554" s="54"/>
      <c r="B554" s="54"/>
      <c r="C554" s="54"/>
      <c r="D554" s="54"/>
      <c r="E554" s="55" t="s">
        <v>1247</v>
      </c>
      <c r="F554" s="57">
        <v>27340</v>
      </c>
      <c r="G554" s="57">
        <v>11960</v>
      </c>
      <c r="H554" s="54">
        <f t="shared" si="47"/>
        <v>15380</v>
      </c>
      <c r="I554" s="58">
        <v>2</v>
      </c>
      <c r="J554" s="54">
        <f t="shared" si="48"/>
        <v>15072.4</v>
      </c>
      <c r="K554" s="57">
        <v>3630</v>
      </c>
      <c r="L554" s="54">
        <f t="shared" si="49"/>
        <v>54712812</v>
      </c>
      <c r="P554" s="139">
        <v>53334000</v>
      </c>
      <c r="Q554" s="139">
        <f t="shared" si="50"/>
        <v>1378812</v>
      </c>
    </row>
    <row r="555" spans="1:17" ht="15.6" hidden="1" x14ac:dyDescent="0.3">
      <c r="A555" s="54"/>
      <c r="B555" s="54"/>
      <c r="C555" s="220">
        <v>38813767</v>
      </c>
      <c r="D555" s="220" t="s">
        <v>26</v>
      </c>
      <c r="E555" s="55"/>
      <c r="F555" s="57"/>
      <c r="G555" s="57"/>
      <c r="H555" s="54">
        <f t="shared" si="47"/>
        <v>0</v>
      </c>
      <c r="I555" s="58"/>
      <c r="J555" s="54">
        <f t="shared" si="48"/>
        <v>0</v>
      </c>
      <c r="K555" s="57"/>
      <c r="L555" s="54">
        <f t="shared" si="49"/>
        <v>0</v>
      </c>
      <c r="Q555" s="139">
        <f t="shared" si="50"/>
        <v>0</v>
      </c>
    </row>
    <row r="556" spans="1:17" ht="15.6" hidden="1" x14ac:dyDescent="0.3">
      <c r="A556" s="54"/>
      <c r="B556" s="54"/>
      <c r="C556" s="220">
        <f>500*12000</f>
        <v>6000000</v>
      </c>
      <c r="D556" s="220" t="s">
        <v>1248</v>
      </c>
      <c r="E556" s="55"/>
      <c r="F556" s="57"/>
      <c r="G556" s="57"/>
      <c r="H556" s="54">
        <f t="shared" si="47"/>
        <v>0</v>
      </c>
      <c r="I556" s="58"/>
      <c r="J556" s="54">
        <f t="shared" si="48"/>
        <v>0</v>
      </c>
      <c r="K556" s="57"/>
      <c r="L556" s="54">
        <f t="shared" si="49"/>
        <v>0</v>
      </c>
      <c r="Q556" s="139">
        <f t="shared" si="50"/>
        <v>0</v>
      </c>
    </row>
    <row r="557" spans="1:17" ht="15.6" hidden="1" x14ac:dyDescent="0.3">
      <c r="A557" s="54"/>
      <c r="B557" s="54"/>
      <c r="C557" s="220">
        <v>6004350</v>
      </c>
      <c r="D557" s="220" t="s">
        <v>1251</v>
      </c>
      <c r="E557" s="55"/>
      <c r="F557" s="57"/>
      <c r="G557" s="57"/>
      <c r="H557" s="54">
        <f t="shared" si="47"/>
        <v>0</v>
      </c>
      <c r="I557" s="58"/>
      <c r="J557" s="54">
        <f t="shared" si="48"/>
        <v>0</v>
      </c>
      <c r="K557" s="57"/>
      <c r="L557" s="54">
        <f t="shared" si="49"/>
        <v>0</v>
      </c>
      <c r="Q557" s="139">
        <f t="shared" si="50"/>
        <v>0</v>
      </c>
    </row>
    <row r="558" spans="1:17" ht="15.6" hidden="1" x14ac:dyDescent="0.3">
      <c r="A558" s="54"/>
      <c r="B558" s="54">
        <v>4500000</v>
      </c>
      <c r="C558" s="220"/>
      <c r="D558" s="220" t="s">
        <v>988</v>
      </c>
      <c r="E558" s="55"/>
      <c r="F558" s="57"/>
      <c r="G558" s="57"/>
      <c r="H558" s="54">
        <f t="shared" si="47"/>
        <v>0</v>
      </c>
      <c r="I558" s="58"/>
      <c r="J558" s="54">
        <f t="shared" si="48"/>
        <v>0</v>
      </c>
      <c r="K558" s="57"/>
      <c r="L558" s="54">
        <f t="shared" si="49"/>
        <v>0</v>
      </c>
      <c r="Q558" s="139">
        <f t="shared" si="50"/>
        <v>0</v>
      </c>
    </row>
    <row r="559" spans="1:17" ht="15.6" hidden="1" x14ac:dyDescent="0.3">
      <c r="A559" s="54"/>
      <c r="B559" s="54"/>
      <c r="C559" s="220">
        <v>7446900</v>
      </c>
      <c r="D559" s="220" t="s">
        <v>1254</v>
      </c>
      <c r="E559" s="55"/>
      <c r="F559" s="57"/>
      <c r="G559" s="57"/>
      <c r="H559" s="54">
        <f t="shared" si="47"/>
        <v>0</v>
      </c>
      <c r="I559" s="58"/>
      <c r="J559" s="54">
        <f t="shared" si="48"/>
        <v>0</v>
      </c>
      <c r="K559" s="57"/>
      <c r="L559" s="54">
        <f t="shared" si="49"/>
        <v>0</v>
      </c>
      <c r="Q559" s="139">
        <f t="shared" si="50"/>
        <v>0</v>
      </c>
    </row>
    <row r="560" spans="1:17" hidden="1" x14ac:dyDescent="0.3">
      <c r="A560" s="54" t="s">
        <v>1258</v>
      </c>
      <c r="B560" s="54"/>
      <c r="C560" s="54">
        <f>21500*12000</f>
        <v>258000000</v>
      </c>
      <c r="D560" s="54" t="s">
        <v>1263</v>
      </c>
      <c r="E560" s="55"/>
      <c r="F560" s="57"/>
      <c r="G560" s="57"/>
      <c r="H560" s="54">
        <f t="shared" si="47"/>
        <v>0</v>
      </c>
      <c r="I560" s="58"/>
      <c r="J560" s="54">
        <f t="shared" si="48"/>
        <v>0</v>
      </c>
      <c r="K560" s="57"/>
      <c r="L560" s="54">
        <f t="shared" si="49"/>
        <v>0</v>
      </c>
      <c r="Q560" s="139">
        <f t="shared" si="50"/>
        <v>0</v>
      </c>
    </row>
    <row r="561" spans="1:17" hidden="1" x14ac:dyDescent="0.3">
      <c r="A561" s="54"/>
      <c r="B561" s="54"/>
      <c r="C561" s="54">
        <v>250000</v>
      </c>
      <c r="D561" s="54" t="s">
        <v>1264</v>
      </c>
      <c r="E561" s="55" t="s">
        <v>1265</v>
      </c>
      <c r="F561" s="57">
        <v>21150</v>
      </c>
      <c r="G561" s="57">
        <v>11050</v>
      </c>
      <c r="H561" s="54">
        <f t="shared" si="47"/>
        <v>10100</v>
      </c>
      <c r="I561" s="58">
        <v>3.6</v>
      </c>
      <c r="J561" s="54">
        <f t="shared" si="48"/>
        <v>9736.4</v>
      </c>
      <c r="K561" s="57">
        <v>3650</v>
      </c>
      <c r="L561" s="54">
        <f t="shared" si="49"/>
        <v>35537860</v>
      </c>
      <c r="P561" s="139">
        <v>35460000</v>
      </c>
      <c r="Q561" s="139">
        <f t="shared" si="50"/>
        <v>77860</v>
      </c>
    </row>
    <row r="562" spans="1:17" hidden="1" x14ac:dyDescent="0.3">
      <c r="A562" s="54"/>
      <c r="B562" s="54"/>
      <c r="C562" s="54">
        <v>250000</v>
      </c>
      <c r="D562" s="54" t="s">
        <v>1266</v>
      </c>
      <c r="E562" s="55" t="s">
        <v>1267</v>
      </c>
      <c r="F562" s="57">
        <v>17640</v>
      </c>
      <c r="G562" s="57">
        <v>9380</v>
      </c>
      <c r="H562" s="54">
        <f t="shared" si="47"/>
        <v>8260</v>
      </c>
      <c r="I562" s="58">
        <v>2.5</v>
      </c>
      <c r="J562" s="54">
        <f t="shared" si="48"/>
        <v>8053.5</v>
      </c>
      <c r="K562" s="57">
        <v>3380</v>
      </c>
      <c r="L562" s="54">
        <f t="shared" si="49"/>
        <v>27220830</v>
      </c>
      <c r="P562" s="139">
        <v>26234480</v>
      </c>
      <c r="Q562" s="139">
        <f t="shared" si="50"/>
        <v>986350</v>
      </c>
    </row>
    <row r="563" spans="1:17" hidden="1" x14ac:dyDescent="0.3">
      <c r="A563" s="54"/>
      <c r="B563" s="54"/>
      <c r="C563" s="54">
        <v>270000</v>
      </c>
      <c r="D563" s="55" t="s">
        <v>1268</v>
      </c>
      <c r="E563" s="55" t="s">
        <v>1268</v>
      </c>
      <c r="F563" s="57">
        <v>12410</v>
      </c>
      <c r="G563" s="57">
        <v>5080</v>
      </c>
      <c r="H563" s="54">
        <f t="shared" si="47"/>
        <v>7330</v>
      </c>
      <c r="I563" s="58">
        <v>1</v>
      </c>
      <c r="J563" s="54">
        <f t="shared" si="48"/>
        <v>7256.7</v>
      </c>
      <c r="K563" s="57">
        <v>3680</v>
      </c>
      <c r="L563" s="54">
        <f t="shared" si="49"/>
        <v>26704656</v>
      </c>
      <c r="P563" s="139">
        <v>25500000</v>
      </c>
      <c r="Q563" s="139">
        <f t="shared" si="50"/>
        <v>1204656</v>
      </c>
    </row>
    <row r="564" spans="1:17" hidden="1" x14ac:dyDescent="0.3">
      <c r="A564" s="54"/>
      <c r="B564" s="54"/>
      <c r="C564" s="54"/>
      <c r="D564" s="54"/>
      <c r="E564" s="55" t="s">
        <v>336</v>
      </c>
      <c r="F564" s="57">
        <v>18360</v>
      </c>
      <c r="G564" s="57">
        <v>8690</v>
      </c>
      <c r="H564" s="54">
        <f t="shared" si="47"/>
        <v>9670</v>
      </c>
      <c r="I564" s="58">
        <v>3.4</v>
      </c>
      <c r="J564" s="54">
        <f t="shared" si="48"/>
        <v>9341.2199999999993</v>
      </c>
      <c r="K564" s="57">
        <v>3650</v>
      </c>
      <c r="L564" s="54">
        <f t="shared" si="49"/>
        <v>34095453</v>
      </c>
      <c r="P564" s="139">
        <v>33505000</v>
      </c>
      <c r="Q564" s="139">
        <f t="shared" si="50"/>
        <v>590453</v>
      </c>
    </row>
    <row r="565" spans="1:17" hidden="1" x14ac:dyDescent="0.3">
      <c r="A565" s="54" t="s">
        <v>1270</v>
      </c>
      <c r="B565" s="54"/>
      <c r="C565" s="54">
        <f>3000*12000</f>
        <v>36000000</v>
      </c>
      <c r="D565" s="54" t="s">
        <v>1104</v>
      </c>
      <c r="E565" s="55"/>
      <c r="F565" s="57"/>
      <c r="G565" s="57"/>
      <c r="H565" s="54">
        <f t="shared" si="47"/>
        <v>0</v>
      </c>
      <c r="I565" s="58"/>
      <c r="J565" s="54">
        <f t="shared" si="48"/>
        <v>0</v>
      </c>
      <c r="K565" s="57"/>
      <c r="L565" s="54">
        <f t="shared" si="49"/>
        <v>0</v>
      </c>
      <c r="Q565" s="139">
        <f t="shared" si="50"/>
        <v>0</v>
      </c>
    </row>
    <row r="566" spans="1:17" hidden="1" x14ac:dyDescent="0.3">
      <c r="A566" s="54"/>
      <c r="B566" s="54"/>
      <c r="C566" s="54"/>
      <c r="D566" s="54"/>
      <c r="E566" s="55" t="s">
        <v>857</v>
      </c>
      <c r="F566" s="57">
        <v>19400</v>
      </c>
      <c r="G566" s="57">
        <v>9440</v>
      </c>
      <c r="H566" s="54">
        <f t="shared" si="47"/>
        <v>9960</v>
      </c>
      <c r="I566" s="58">
        <v>3</v>
      </c>
      <c r="J566" s="54">
        <f t="shared" si="48"/>
        <v>9661.2000000000007</v>
      </c>
      <c r="K566" s="57">
        <v>3380</v>
      </c>
      <c r="L566" s="54">
        <f t="shared" si="49"/>
        <v>32654856.000000004</v>
      </c>
      <c r="P566" s="139">
        <v>32010000</v>
      </c>
      <c r="Q566" s="139">
        <f t="shared" si="50"/>
        <v>644856.00000000373</v>
      </c>
    </row>
    <row r="567" spans="1:17" hidden="1" x14ac:dyDescent="0.3">
      <c r="A567" s="54"/>
      <c r="B567" s="54"/>
      <c r="C567" s="54">
        <f>320*250</f>
        <v>80000</v>
      </c>
      <c r="D567" s="54" t="s">
        <v>1272</v>
      </c>
      <c r="E567" s="55" t="s">
        <v>1271</v>
      </c>
      <c r="F567" s="57">
        <v>18440</v>
      </c>
      <c r="G567" s="57">
        <v>9220</v>
      </c>
      <c r="H567" s="54">
        <f t="shared" si="47"/>
        <v>9220</v>
      </c>
      <c r="I567" s="58">
        <v>3</v>
      </c>
      <c r="J567" s="54">
        <f t="shared" si="48"/>
        <v>8943.4</v>
      </c>
      <c r="K567" s="57">
        <v>3380</v>
      </c>
      <c r="L567" s="54">
        <f t="shared" si="49"/>
        <v>30228692</v>
      </c>
      <c r="P567" s="139">
        <v>30249000</v>
      </c>
      <c r="Q567" s="139">
        <f t="shared" si="50"/>
        <v>-20308</v>
      </c>
    </row>
    <row r="568" spans="1:17" hidden="1" x14ac:dyDescent="0.3">
      <c r="A568" s="54"/>
      <c r="B568" s="54"/>
      <c r="C568" s="54"/>
      <c r="D568" s="54"/>
      <c r="E568" s="55"/>
      <c r="F568" s="57"/>
      <c r="G568" s="57"/>
      <c r="H568" s="54">
        <f t="shared" si="47"/>
        <v>0</v>
      </c>
      <c r="I568" s="58"/>
      <c r="J568" s="54">
        <f t="shared" si="48"/>
        <v>0</v>
      </c>
      <c r="K568" s="57"/>
      <c r="L568" s="54">
        <f t="shared" si="49"/>
        <v>0</v>
      </c>
      <c r="Q568" s="139">
        <f t="shared" si="50"/>
        <v>0</v>
      </c>
    </row>
    <row r="569" spans="1:17" hidden="1" x14ac:dyDescent="0.3">
      <c r="A569" s="54" t="s">
        <v>1277</v>
      </c>
      <c r="B569" s="54"/>
      <c r="C569" s="54">
        <f>30000*12000</f>
        <v>360000000</v>
      </c>
      <c r="D569" s="54" t="s">
        <v>376</v>
      </c>
      <c r="E569" s="55" t="s">
        <v>1278</v>
      </c>
      <c r="F569" s="57">
        <v>22890</v>
      </c>
      <c r="G569" s="57">
        <v>9730</v>
      </c>
      <c r="H569" s="54">
        <f t="shared" si="47"/>
        <v>13160</v>
      </c>
      <c r="I569" s="58">
        <v>1</v>
      </c>
      <c r="J569" s="54">
        <f t="shared" si="48"/>
        <v>13028.4</v>
      </c>
      <c r="K569" s="57">
        <v>3650</v>
      </c>
      <c r="L569" s="54">
        <f t="shared" si="49"/>
        <v>47553660</v>
      </c>
      <c r="P569" s="139">
        <v>46484000</v>
      </c>
      <c r="Q569" s="139">
        <f t="shared" si="50"/>
        <v>1069660</v>
      </c>
    </row>
    <row r="570" spans="1:17" hidden="1" x14ac:dyDescent="0.3">
      <c r="A570" s="54"/>
      <c r="B570" s="54"/>
      <c r="C570" s="54">
        <v>100000</v>
      </c>
      <c r="D570" s="54" t="s">
        <v>1280</v>
      </c>
      <c r="E570" s="55" t="s">
        <v>1279</v>
      </c>
      <c r="F570" s="57">
        <v>25780</v>
      </c>
      <c r="G570" s="57">
        <v>9260</v>
      </c>
      <c r="H570" s="54">
        <f t="shared" si="47"/>
        <v>16520</v>
      </c>
      <c r="I570" s="58">
        <v>2</v>
      </c>
      <c r="J570" s="54">
        <f t="shared" si="48"/>
        <v>16189.6</v>
      </c>
      <c r="K570" s="57">
        <v>3650</v>
      </c>
      <c r="L570" s="54">
        <f t="shared" si="49"/>
        <v>59092040</v>
      </c>
      <c r="P570" s="139">
        <v>57242000</v>
      </c>
      <c r="Q570" s="139">
        <f t="shared" si="50"/>
        <v>1850040</v>
      </c>
    </row>
    <row r="571" spans="1:17" hidden="1" x14ac:dyDescent="0.3">
      <c r="A571" s="54"/>
      <c r="B571" s="54"/>
      <c r="C571" s="54"/>
      <c r="D571" s="54"/>
      <c r="E571" s="55" t="s">
        <v>1186</v>
      </c>
      <c r="F571" s="57">
        <v>12450</v>
      </c>
      <c r="G571" s="57">
        <v>4870</v>
      </c>
      <c r="H571" s="54">
        <f t="shared" si="47"/>
        <v>7580</v>
      </c>
      <c r="I571" s="58">
        <v>2</v>
      </c>
      <c r="J571" s="54">
        <f t="shared" si="48"/>
        <v>7428.4</v>
      </c>
      <c r="K571" s="57">
        <v>3630</v>
      </c>
      <c r="L571" s="54">
        <f t="shared" si="49"/>
        <v>26965092</v>
      </c>
      <c r="P571" s="139">
        <v>26285000</v>
      </c>
      <c r="Q571" s="139">
        <f t="shared" si="50"/>
        <v>680092</v>
      </c>
    </row>
    <row r="572" spans="1:17" hidden="1" x14ac:dyDescent="0.3">
      <c r="A572" s="54"/>
      <c r="B572" s="54"/>
      <c r="C572" s="54"/>
      <c r="D572" s="54"/>
      <c r="E572" s="55" t="s">
        <v>1281</v>
      </c>
      <c r="F572" s="57">
        <v>10960</v>
      </c>
      <c r="G572" s="57">
        <v>5060</v>
      </c>
      <c r="H572" s="54">
        <f t="shared" si="47"/>
        <v>5900</v>
      </c>
      <c r="I572" s="58">
        <v>2</v>
      </c>
      <c r="J572" s="54">
        <f t="shared" si="48"/>
        <v>5782</v>
      </c>
      <c r="K572" s="57">
        <v>3900</v>
      </c>
      <c r="L572" s="54">
        <f t="shared" si="49"/>
        <v>22549800</v>
      </c>
      <c r="M572" s="206"/>
      <c r="N572" s="206"/>
      <c r="P572" s="139">
        <v>21747000</v>
      </c>
      <c r="Q572" s="139">
        <f t="shared" si="50"/>
        <v>802800</v>
      </c>
    </row>
    <row r="573" spans="1:17" hidden="1" x14ac:dyDescent="0.3">
      <c r="A573" s="54"/>
      <c r="B573" s="54"/>
      <c r="C573" s="54"/>
      <c r="D573" s="54"/>
      <c r="E573" s="55" t="s">
        <v>727</v>
      </c>
      <c r="F573" s="57">
        <v>24640</v>
      </c>
      <c r="G573" s="57">
        <v>9580</v>
      </c>
      <c r="H573" s="54">
        <f t="shared" si="47"/>
        <v>15060</v>
      </c>
      <c r="I573" s="58">
        <v>2</v>
      </c>
      <c r="J573" s="54">
        <f t="shared" si="48"/>
        <v>14758.8</v>
      </c>
      <c r="K573" s="57">
        <v>3650</v>
      </c>
      <c r="L573" s="54">
        <f t="shared" si="49"/>
        <v>53869620</v>
      </c>
      <c r="P573" s="139">
        <v>50600000</v>
      </c>
      <c r="Q573" s="139">
        <f t="shared" si="50"/>
        <v>3269620</v>
      </c>
    </row>
    <row r="574" spans="1:17" hidden="1" x14ac:dyDescent="0.3">
      <c r="A574" s="54"/>
      <c r="B574" s="54"/>
      <c r="C574" s="54"/>
      <c r="D574" s="54"/>
      <c r="E574" s="55"/>
      <c r="F574" s="57"/>
      <c r="G574" s="57"/>
      <c r="H574" s="54">
        <f t="shared" si="47"/>
        <v>0</v>
      </c>
      <c r="I574" s="58"/>
      <c r="J574" s="54">
        <f t="shared" si="48"/>
        <v>0</v>
      </c>
      <c r="K574" s="57"/>
      <c r="L574" s="54">
        <f t="shared" si="49"/>
        <v>0</v>
      </c>
      <c r="Q574" s="139">
        <f t="shared" si="50"/>
        <v>0</v>
      </c>
    </row>
    <row r="575" spans="1:17" hidden="1" x14ac:dyDescent="0.3">
      <c r="A575" s="54" t="s">
        <v>1285</v>
      </c>
      <c r="B575" s="54"/>
      <c r="C575" s="54">
        <f>5100*12000</f>
        <v>61200000</v>
      </c>
      <c r="D575" s="54" t="s">
        <v>1143</v>
      </c>
      <c r="E575" s="55" t="s">
        <v>1286</v>
      </c>
      <c r="F575" s="57">
        <v>26635</v>
      </c>
      <c r="G575" s="57">
        <v>12720</v>
      </c>
      <c r="H575" s="54">
        <f t="shared" si="47"/>
        <v>13915</v>
      </c>
      <c r="I575" s="58">
        <v>4</v>
      </c>
      <c r="J575" s="54">
        <f t="shared" si="48"/>
        <v>13358.4</v>
      </c>
      <c r="K575" s="57">
        <v>3650</v>
      </c>
      <c r="L575" s="54">
        <f t="shared" si="49"/>
        <v>48758160</v>
      </c>
      <c r="P575" s="139">
        <v>48648000</v>
      </c>
      <c r="Q575" s="139">
        <f t="shared" si="50"/>
        <v>110160</v>
      </c>
    </row>
    <row r="576" spans="1:17" hidden="1" x14ac:dyDescent="0.3">
      <c r="A576" s="54"/>
      <c r="B576" s="54"/>
      <c r="C576" s="54"/>
      <c r="D576" s="54"/>
      <c r="E576" s="55" t="s">
        <v>1039</v>
      </c>
      <c r="F576" s="57">
        <v>17550</v>
      </c>
      <c r="G576" s="57">
        <v>8500</v>
      </c>
      <c r="H576" s="54">
        <f t="shared" si="47"/>
        <v>9050</v>
      </c>
      <c r="I576" s="58">
        <v>2.9</v>
      </c>
      <c r="J576" s="54">
        <f t="shared" si="48"/>
        <v>8787.5499999999993</v>
      </c>
      <c r="K576" s="57">
        <v>3550</v>
      </c>
      <c r="L576" s="54">
        <f t="shared" si="49"/>
        <v>31195802.499999996</v>
      </c>
      <c r="P576" s="139">
        <v>31232000</v>
      </c>
      <c r="Q576" s="139">
        <f t="shared" si="50"/>
        <v>-36197.500000003725</v>
      </c>
    </row>
    <row r="577" spans="1:17" hidden="1" x14ac:dyDescent="0.3">
      <c r="A577" s="54"/>
      <c r="B577" s="54"/>
      <c r="C577" s="54">
        <v>250000</v>
      </c>
      <c r="D577" s="54" t="s">
        <v>977</v>
      </c>
      <c r="E577" s="55" t="s">
        <v>1287</v>
      </c>
      <c r="F577" s="57">
        <v>24300</v>
      </c>
      <c r="G577" s="57">
        <v>12390</v>
      </c>
      <c r="H577" s="54">
        <f t="shared" si="47"/>
        <v>11910</v>
      </c>
      <c r="I577" s="58">
        <v>2.7</v>
      </c>
      <c r="J577" s="54">
        <f t="shared" si="48"/>
        <v>11588.43</v>
      </c>
      <c r="K577" s="57">
        <v>3650</v>
      </c>
      <c r="L577" s="54">
        <f t="shared" si="49"/>
        <v>42297769.5</v>
      </c>
      <c r="P577" s="139">
        <v>41184000</v>
      </c>
      <c r="Q577" s="139">
        <f t="shared" si="50"/>
        <v>1113769.5</v>
      </c>
    </row>
    <row r="578" spans="1:17" hidden="1" x14ac:dyDescent="0.3">
      <c r="A578" s="54"/>
      <c r="B578" s="54"/>
      <c r="C578" s="54">
        <f>4700*245</f>
        <v>1151500</v>
      </c>
      <c r="D578" s="54" t="s">
        <v>1289</v>
      </c>
      <c r="E578" s="55" t="s">
        <v>1288</v>
      </c>
      <c r="F578" s="57">
        <v>20260</v>
      </c>
      <c r="G578" s="57">
        <v>12960</v>
      </c>
      <c r="H578" s="54">
        <f t="shared" si="47"/>
        <v>7300</v>
      </c>
      <c r="I578" s="58">
        <v>2</v>
      </c>
      <c r="J578" s="54">
        <f t="shared" si="48"/>
        <v>7154</v>
      </c>
      <c r="K578" s="57">
        <v>3380</v>
      </c>
      <c r="L578" s="54">
        <f t="shared" si="49"/>
        <v>24180520</v>
      </c>
      <c r="P578" s="139">
        <v>23750000</v>
      </c>
      <c r="Q578" s="139">
        <f t="shared" si="50"/>
        <v>430520</v>
      </c>
    </row>
    <row r="579" spans="1:17" hidden="1" x14ac:dyDescent="0.3">
      <c r="A579" s="54"/>
      <c r="B579" s="54"/>
      <c r="C579" s="54">
        <v>250000</v>
      </c>
      <c r="D579" s="54" t="s">
        <v>1290</v>
      </c>
      <c r="E579" s="55" t="s">
        <v>1291</v>
      </c>
      <c r="F579" s="57">
        <v>23140</v>
      </c>
      <c r="G579" s="57">
        <v>12590</v>
      </c>
      <c r="H579" s="54">
        <f t="shared" si="47"/>
        <v>10550</v>
      </c>
      <c r="I579" s="58">
        <v>2.75</v>
      </c>
      <c r="J579" s="54">
        <f t="shared" si="48"/>
        <v>10259.875</v>
      </c>
      <c r="K579" s="57">
        <v>3650</v>
      </c>
      <c r="L579" s="54">
        <f t="shared" si="49"/>
        <v>37448543.75</v>
      </c>
      <c r="P579" s="139">
        <v>36776000</v>
      </c>
      <c r="Q579" s="139">
        <f t="shared" si="50"/>
        <v>672543.75</v>
      </c>
    </row>
    <row r="580" spans="1:17" hidden="1" x14ac:dyDescent="0.3">
      <c r="A580" s="54"/>
      <c r="B580" s="54"/>
      <c r="C580" s="54"/>
      <c r="D580" s="54"/>
      <c r="E580" s="55" t="s">
        <v>1292</v>
      </c>
      <c r="F580" s="57">
        <v>32950</v>
      </c>
      <c r="G580" s="57">
        <v>13800</v>
      </c>
      <c r="H580" s="54">
        <f t="shared" si="47"/>
        <v>19150</v>
      </c>
      <c r="I580" s="58">
        <v>1</v>
      </c>
      <c r="J580" s="54">
        <f t="shared" si="48"/>
        <v>18958.5</v>
      </c>
      <c r="K580" s="57">
        <v>3950</v>
      </c>
      <c r="L580" s="54">
        <f t="shared" si="49"/>
        <v>74886075</v>
      </c>
      <c r="P580" s="139">
        <v>72250000</v>
      </c>
      <c r="Q580" s="139">
        <f t="shared" si="50"/>
        <v>2636075</v>
      </c>
    </row>
    <row r="581" spans="1:17" hidden="1" x14ac:dyDescent="0.3">
      <c r="A581" s="54" t="s">
        <v>1293</v>
      </c>
      <c r="B581" s="54"/>
      <c r="C581" s="54">
        <f>15000*12050</f>
        <v>180750000</v>
      </c>
      <c r="D581" s="54" t="s">
        <v>741</v>
      </c>
      <c r="E581" s="55" t="s">
        <v>1298</v>
      </c>
      <c r="F581" s="57">
        <v>12380</v>
      </c>
      <c r="G581" s="57">
        <v>4920</v>
      </c>
      <c r="H581" s="54">
        <f t="shared" si="47"/>
        <v>7460</v>
      </c>
      <c r="I581" s="58">
        <v>1</v>
      </c>
      <c r="J581" s="54">
        <f t="shared" si="48"/>
        <v>7385.4</v>
      </c>
      <c r="K581" s="57">
        <v>3900</v>
      </c>
      <c r="L581" s="54">
        <f t="shared" si="49"/>
        <v>28803060</v>
      </c>
      <c r="P581" s="139">
        <v>27807000</v>
      </c>
      <c r="Q581" s="139">
        <f t="shared" si="50"/>
        <v>996060</v>
      </c>
    </row>
    <row r="582" spans="1:17" hidden="1" x14ac:dyDescent="0.3">
      <c r="A582" s="54"/>
      <c r="B582" s="54"/>
      <c r="C582" s="54">
        <f>900*12050</f>
        <v>10845000</v>
      </c>
      <c r="D582" s="54" t="s">
        <v>1301</v>
      </c>
      <c r="E582" s="55" t="s">
        <v>1299</v>
      </c>
      <c r="F582" s="57">
        <v>29530</v>
      </c>
      <c r="G582" s="57">
        <v>13015</v>
      </c>
      <c r="H582" s="54">
        <f t="shared" si="47"/>
        <v>16515</v>
      </c>
      <c r="I582" s="58">
        <v>1</v>
      </c>
      <c r="J582" s="54">
        <f t="shared" si="48"/>
        <v>16349.85</v>
      </c>
      <c r="K582" s="57">
        <v>3700</v>
      </c>
      <c r="L582" s="54">
        <f t="shared" si="49"/>
        <v>60494445</v>
      </c>
      <c r="P582" s="139">
        <v>59400000</v>
      </c>
      <c r="Q582" s="139">
        <f t="shared" si="50"/>
        <v>1094445</v>
      </c>
    </row>
    <row r="583" spans="1:17" hidden="1" x14ac:dyDescent="0.3">
      <c r="A583" s="54"/>
      <c r="B583" s="54"/>
      <c r="C583" s="54">
        <f>1340*250</f>
        <v>335000</v>
      </c>
      <c r="D583" s="54"/>
      <c r="E583" s="55" t="s">
        <v>1129</v>
      </c>
      <c r="F583" s="57">
        <v>16255</v>
      </c>
      <c r="G583" s="57">
        <v>9570</v>
      </c>
      <c r="H583" s="54">
        <f t="shared" si="47"/>
        <v>6685</v>
      </c>
      <c r="I583" s="58">
        <v>3</v>
      </c>
      <c r="J583" s="54">
        <f t="shared" si="48"/>
        <v>6484.45</v>
      </c>
      <c r="K583" s="57">
        <v>3650</v>
      </c>
      <c r="L583" s="54">
        <f t="shared" si="49"/>
        <v>23668242.5</v>
      </c>
      <c r="P583" s="139">
        <v>23200000</v>
      </c>
      <c r="Q583" s="139">
        <f t="shared" si="50"/>
        <v>468242.5</v>
      </c>
    </row>
    <row r="584" spans="1:17" hidden="1" x14ac:dyDescent="0.3">
      <c r="A584" s="54"/>
      <c r="B584" s="54"/>
      <c r="C584" s="54">
        <v>800000</v>
      </c>
      <c r="D584" s="54" t="s">
        <v>1068</v>
      </c>
      <c r="E584" s="55" t="s">
        <v>1300</v>
      </c>
      <c r="F584" s="57">
        <v>21090</v>
      </c>
      <c r="G584" s="57">
        <v>10295</v>
      </c>
      <c r="H584" s="54">
        <f t="shared" si="47"/>
        <v>10795</v>
      </c>
      <c r="I584" s="58">
        <v>5</v>
      </c>
      <c r="J584" s="54">
        <f t="shared" si="48"/>
        <v>10255.25</v>
      </c>
      <c r="K584" s="57">
        <v>3600</v>
      </c>
      <c r="L584" s="54">
        <f t="shared" si="49"/>
        <v>36918900</v>
      </c>
      <c r="P584" s="139">
        <f>36558000+800000</f>
        <v>37358000</v>
      </c>
      <c r="Q584" s="139">
        <f t="shared" si="50"/>
        <v>-439100</v>
      </c>
    </row>
    <row r="585" spans="1:17" hidden="1" x14ac:dyDescent="0.3">
      <c r="A585" s="54"/>
      <c r="B585" s="54"/>
      <c r="C585" s="54"/>
      <c r="D585" s="54"/>
      <c r="E585" s="55" t="s">
        <v>1302</v>
      </c>
      <c r="F585" s="57">
        <v>25420</v>
      </c>
      <c r="G585" s="57">
        <v>13370</v>
      </c>
      <c r="H585" s="54">
        <f t="shared" si="47"/>
        <v>12050</v>
      </c>
      <c r="I585" s="58">
        <v>2</v>
      </c>
      <c r="J585" s="54">
        <f t="shared" si="48"/>
        <v>11809</v>
      </c>
      <c r="K585" s="57">
        <v>3380</v>
      </c>
      <c r="L585" s="54">
        <f t="shared" si="49"/>
        <v>39914420</v>
      </c>
      <c r="P585" s="139">
        <v>38572000</v>
      </c>
      <c r="Q585" s="139">
        <f t="shared" si="50"/>
        <v>1342420</v>
      </c>
    </row>
    <row r="586" spans="1:17" hidden="1" x14ac:dyDescent="0.3">
      <c r="A586" s="54"/>
      <c r="B586" s="54"/>
      <c r="C586" s="54">
        <v>4188000</v>
      </c>
      <c r="D586" s="54" t="s">
        <v>1308</v>
      </c>
      <c r="E586" s="55"/>
      <c r="F586" s="57"/>
      <c r="G586" s="57"/>
      <c r="H586" s="54">
        <f t="shared" si="47"/>
        <v>0</v>
      </c>
      <c r="I586" s="58"/>
      <c r="J586" s="54">
        <f t="shared" si="48"/>
        <v>0</v>
      </c>
      <c r="K586" s="57"/>
      <c r="L586" s="54">
        <f t="shared" si="49"/>
        <v>0</v>
      </c>
      <c r="Q586" s="139">
        <f t="shared" si="50"/>
        <v>0</v>
      </c>
    </row>
    <row r="587" spans="1:17" hidden="1" x14ac:dyDescent="0.3">
      <c r="A587" s="54" t="s">
        <v>1309</v>
      </c>
      <c r="B587" s="54"/>
      <c r="C587" s="54"/>
      <c r="D587" s="54"/>
      <c r="E587" s="55" t="s">
        <v>1310</v>
      </c>
      <c r="F587" s="57">
        <v>21940</v>
      </c>
      <c r="G587" s="57">
        <v>10100</v>
      </c>
      <c r="H587" s="54">
        <f t="shared" si="47"/>
        <v>11840</v>
      </c>
      <c r="I587" s="58">
        <v>4</v>
      </c>
      <c r="J587" s="54">
        <f t="shared" si="48"/>
        <v>11366.4</v>
      </c>
      <c r="K587" s="57">
        <v>3650</v>
      </c>
      <c r="L587" s="54">
        <f t="shared" si="49"/>
        <v>41487360</v>
      </c>
      <c r="P587" s="139">
        <v>40234000</v>
      </c>
      <c r="Q587" s="139">
        <f t="shared" si="50"/>
        <v>1253360</v>
      </c>
    </row>
    <row r="588" spans="1:17" hidden="1" x14ac:dyDescent="0.3">
      <c r="A588" s="54"/>
      <c r="B588" s="54"/>
      <c r="C588" s="54">
        <f>15000*12050</f>
        <v>180750000</v>
      </c>
      <c r="D588" s="54" t="s">
        <v>569</v>
      </c>
      <c r="E588" s="55" t="s">
        <v>1023</v>
      </c>
      <c r="F588" s="57">
        <v>19750</v>
      </c>
      <c r="G588" s="57">
        <v>9360</v>
      </c>
      <c r="H588" s="54">
        <f t="shared" si="47"/>
        <v>10390</v>
      </c>
      <c r="I588" s="58">
        <v>3.75</v>
      </c>
      <c r="J588" s="54">
        <f t="shared" si="48"/>
        <v>10000.375</v>
      </c>
      <c r="K588" s="57">
        <v>3600</v>
      </c>
      <c r="L588" s="54">
        <f t="shared" si="49"/>
        <v>36001350</v>
      </c>
      <c r="P588" s="139">
        <v>35443000</v>
      </c>
      <c r="Q588" s="139">
        <f t="shared" si="50"/>
        <v>558350</v>
      </c>
    </row>
    <row r="589" spans="1:17" hidden="1" x14ac:dyDescent="0.3">
      <c r="A589" s="54"/>
      <c r="B589" s="54"/>
      <c r="C589" s="54">
        <v>600000</v>
      </c>
      <c r="D589" s="54" t="s">
        <v>1105</v>
      </c>
      <c r="E589" s="55" t="s">
        <v>1311</v>
      </c>
      <c r="F589" s="57">
        <v>21060</v>
      </c>
      <c r="G589" s="57">
        <v>13860</v>
      </c>
      <c r="H589" s="54">
        <f t="shared" si="47"/>
        <v>7200</v>
      </c>
      <c r="I589" s="58">
        <v>3</v>
      </c>
      <c r="J589" s="54">
        <f t="shared" si="48"/>
        <v>6984</v>
      </c>
      <c r="K589" s="57">
        <v>3380</v>
      </c>
      <c r="L589" s="54">
        <f t="shared" si="49"/>
        <v>23605920</v>
      </c>
      <c r="P589" s="139">
        <v>23167000</v>
      </c>
      <c r="Q589" s="139">
        <f t="shared" si="50"/>
        <v>438920</v>
      </c>
    </row>
    <row r="590" spans="1:17" hidden="1" x14ac:dyDescent="0.3">
      <c r="A590" s="54"/>
      <c r="B590" s="54"/>
      <c r="C590" s="54"/>
      <c r="D590" s="54"/>
      <c r="E590" s="55" t="s">
        <v>1312</v>
      </c>
      <c r="F590" s="57">
        <v>21340</v>
      </c>
      <c r="G590" s="57">
        <v>9930</v>
      </c>
      <c r="H590" s="54">
        <f t="shared" si="47"/>
        <v>11410</v>
      </c>
      <c r="I590" s="58">
        <v>3.7</v>
      </c>
      <c r="J590" s="54">
        <f t="shared" si="48"/>
        <v>10987.83</v>
      </c>
      <c r="K590" s="57">
        <v>3650</v>
      </c>
      <c r="L590" s="54">
        <f t="shared" si="49"/>
        <v>40105579.5</v>
      </c>
      <c r="P590" s="139">
        <v>40900000</v>
      </c>
      <c r="Q590" s="139">
        <f t="shared" si="50"/>
        <v>-794420.5</v>
      </c>
    </row>
    <row r="591" spans="1:17" hidden="1" x14ac:dyDescent="0.3">
      <c r="A591" s="54"/>
      <c r="B591" s="54"/>
      <c r="C591" s="54">
        <v>500000</v>
      </c>
      <c r="D591" s="54" t="s">
        <v>836</v>
      </c>
      <c r="E591" s="55" t="s">
        <v>1313</v>
      </c>
      <c r="F591" s="57">
        <v>23060</v>
      </c>
      <c r="G591" s="57">
        <v>13360</v>
      </c>
      <c r="H591" s="54">
        <f t="shared" si="47"/>
        <v>9700</v>
      </c>
      <c r="I591" s="58">
        <v>3</v>
      </c>
      <c r="J591" s="54">
        <f t="shared" si="48"/>
        <v>9409</v>
      </c>
      <c r="K591" s="57">
        <v>3380</v>
      </c>
      <c r="L591" s="54">
        <f t="shared" si="49"/>
        <v>31802420</v>
      </c>
      <c r="P591" s="139">
        <v>31000000</v>
      </c>
      <c r="Q591" s="139">
        <f t="shared" si="50"/>
        <v>802420</v>
      </c>
    </row>
    <row r="592" spans="1:17" hidden="1" x14ac:dyDescent="0.3">
      <c r="A592" s="54"/>
      <c r="B592" s="54"/>
      <c r="C592" s="54"/>
      <c r="D592" s="54"/>
      <c r="E592" s="55"/>
      <c r="F592" s="57"/>
      <c r="G592" s="57"/>
      <c r="H592" s="54">
        <f t="shared" si="47"/>
        <v>0</v>
      </c>
      <c r="I592" s="58"/>
      <c r="J592" s="54">
        <f t="shared" si="48"/>
        <v>0</v>
      </c>
      <c r="K592" s="57"/>
      <c r="L592" s="54">
        <f t="shared" si="49"/>
        <v>0</v>
      </c>
      <c r="Q592" s="139">
        <f t="shared" si="50"/>
        <v>0</v>
      </c>
    </row>
    <row r="593" spans="1:17" hidden="1" x14ac:dyDescent="0.3">
      <c r="A593" s="54" t="s">
        <v>1320</v>
      </c>
      <c r="B593" s="54"/>
      <c r="C593" s="54"/>
      <c r="D593" s="54"/>
      <c r="E593" s="55" t="s">
        <v>1321</v>
      </c>
      <c r="F593" s="57">
        <v>24420</v>
      </c>
      <c r="G593" s="57">
        <v>9760</v>
      </c>
      <c r="H593" s="54">
        <f t="shared" si="47"/>
        <v>14660</v>
      </c>
      <c r="I593" s="58">
        <v>2</v>
      </c>
      <c r="J593" s="54">
        <f t="shared" si="48"/>
        <v>14366.8</v>
      </c>
      <c r="K593" s="57">
        <v>3650</v>
      </c>
      <c r="L593" s="54">
        <f t="shared" si="49"/>
        <v>52438820</v>
      </c>
      <c r="P593" s="139">
        <v>50796000</v>
      </c>
      <c r="Q593" s="139">
        <f t="shared" si="50"/>
        <v>1642820</v>
      </c>
    </row>
    <row r="594" spans="1:17" hidden="1" x14ac:dyDescent="0.3">
      <c r="A594" s="54"/>
      <c r="B594" s="54"/>
      <c r="C594" s="54"/>
      <c r="D594" s="54"/>
      <c r="E594" s="55" t="s">
        <v>1322</v>
      </c>
      <c r="F594" s="57">
        <v>22250</v>
      </c>
      <c r="G594" s="57">
        <v>10320</v>
      </c>
      <c r="H594" s="54">
        <f t="shared" si="47"/>
        <v>11930</v>
      </c>
      <c r="I594" s="58">
        <v>2</v>
      </c>
      <c r="J594" s="54">
        <f t="shared" si="48"/>
        <v>11691.4</v>
      </c>
      <c r="K594" s="57">
        <v>3650</v>
      </c>
      <c r="L594" s="54">
        <f t="shared" si="49"/>
        <v>42673610</v>
      </c>
      <c r="P594" s="139">
        <v>41080000</v>
      </c>
      <c r="Q594" s="139">
        <f t="shared" si="50"/>
        <v>1593610</v>
      </c>
    </row>
    <row r="595" spans="1:17" hidden="1" x14ac:dyDescent="0.3">
      <c r="A595" s="54"/>
      <c r="B595" s="54"/>
      <c r="C595" s="54">
        <v>130000</v>
      </c>
      <c r="D595" s="54" t="s">
        <v>1323</v>
      </c>
      <c r="E595" s="55" t="s">
        <v>1337</v>
      </c>
      <c r="F595" s="57">
        <v>24380</v>
      </c>
      <c r="G595" s="57">
        <v>13000</v>
      </c>
      <c r="H595" s="54">
        <f t="shared" si="47"/>
        <v>11380</v>
      </c>
      <c r="I595" s="58">
        <v>2.4</v>
      </c>
      <c r="J595" s="54">
        <f t="shared" si="48"/>
        <v>11106.88</v>
      </c>
      <c r="K595" s="57">
        <v>3380</v>
      </c>
      <c r="L595" s="54">
        <f t="shared" si="49"/>
        <v>37541254.399999999</v>
      </c>
      <c r="P595" s="139">
        <v>36811000</v>
      </c>
      <c r="Q595" s="139">
        <f t="shared" si="50"/>
        <v>730254.39999999851</v>
      </c>
    </row>
    <row r="596" spans="1:17" hidden="1" x14ac:dyDescent="0.3">
      <c r="A596" s="54"/>
      <c r="B596" s="54"/>
      <c r="C596" s="54"/>
      <c r="D596" s="54"/>
      <c r="E596" s="55" t="s">
        <v>1324</v>
      </c>
      <c r="F596" s="57">
        <v>11540</v>
      </c>
      <c r="G596" s="57">
        <v>4860</v>
      </c>
      <c r="H596" s="54">
        <f t="shared" si="47"/>
        <v>6680</v>
      </c>
      <c r="I596" s="58">
        <v>2</v>
      </c>
      <c r="J596" s="54">
        <f t="shared" si="48"/>
        <v>6546.4</v>
      </c>
      <c r="K596" s="57">
        <v>3900</v>
      </c>
      <c r="L596" s="54">
        <f t="shared" si="49"/>
        <v>25530960</v>
      </c>
      <c r="P596" s="139">
        <v>24946000</v>
      </c>
      <c r="Q596" s="139">
        <f t="shared" si="50"/>
        <v>584960</v>
      </c>
    </row>
    <row r="597" spans="1:17" hidden="1" x14ac:dyDescent="0.3">
      <c r="A597" s="54"/>
      <c r="B597" s="54"/>
      <c r="C597" s="54"/>
      <c r="D597" s="54"/>
      <c r="E597" s="55" t="s">
        <v>1325</v>
      </c>
      <c r="F597" s="57">
        <v>9960</v>
      </c>
      <c r="G597" s="57">
        <v>4560</v>
      </c>
      <c r="H597" s="54">
        <f t="shared" si="47"/>
        <v>5400</v>
      </c>
      <c r="I597" s="58">
        <v>2.4</v>
      </c>
      <c r="J597" s="54">
        <f t="shared" si="48"/>
        <v>5270.4</v>
      </c>
      <c r="K597" s="57">
        <v>3630</v>
      </c>
      <c r="L597" s="54">
        <f t="shared" si="49"/>
        <v>19131552</v>
      </c>
      <c r="P597" s="139">
        <v>18841000</v>
      </c>
      <c r="Q597" s="139">
        <f t="shared" si="50"/>
        <v>290552</v>
      </c>
    </row>
    <row r="598" spans="1:17" hidden="1" x14ac:dyDescent="0.3">
      <c r="A598" s="54"/>
      <c r="B598" s="54"/>
      <c r="C598" s="54"/>
      <c r="D598" s="54"/>
      <c r="E598" s="55"/>
      <c r="F598" s="57"/>
      <c r="G598" s="57"/>
      <c r="H598" s="54">
        <f t="shared" si="47"/>
        <v>0</v>
      </c>
      <c r="I598" s="58"/>
      <c r="J598" s="54">
        <f t="shared" si="48"/>
        <v>0</v>
      </c>
      <c r="K598" s="57"/>
      <c r="L598" s="54">
        <f t="shared" si="49"/>
        <v>0</v>
      </c>
      <c r="Q598" s="139">
        <f t="shared" si="50"/>
        <v>0</v>
      </c>
    </row>
    <row r="599" spans="1:17" hidden="1" x14ac:dyDescent="0.3">
      <c r="A599" s="54" t="s">
        <v>1326</v>
      </c>
      <c r="B599" s="54"/>
      <c r="C599" s="54">
        <f>25000*12030</f>
        <v>300750000</v>
      </c>
      <c r="D599" s="54" t="s">
        <v>1139</v>
      </c>
      <c r="E599" s="55"/>
      <c r="F599" s="57"/>
      <c r="G599" s="57"/>
      <c r="H599" s="54">
        <f t="shared" si="47"/>
        <v>0</v>
      </c>
      <c r="I599" s="58"/>
      <c r="J599" s="54">
        <f t="shared" si="48"/>
        <v>0</v>
      </c>
      <c r="K599" s="57"/>
      <c r="L599" s="54">
        <f t="shared" si="49"/>
        <v>0</v>
      </c>
      <c r="Q599" s="139">
        <f t="shared" si="50"/>
        <v>0</v>
      </c>
    </row>
    <row r="600" spans="1:17" hidden="1" x14ac:dyDescent="0.3">
      <c r="A600" s="54"/>
      <c r="B600" s="54"/>
      <c r="C600" s="54"/>
      <c r="D600" s="54"/>
      <c r="E600" s="55" t="s">
        <v>1327</v>
      </c>
      <c r="F600" s="57">
        <v>24600</v>
      </c>
      <c r="G600" s="57">
        <v>10950</v>
      </c>
      <c r="H600" s="54">
        <f t="shared" si="47"/>
        <v>13650</v>
      </c>
      <c r="I600" s="58">
        <v>2</v>
      </c>
      <c r="J600" s="54">
        <f t="shared" si="48"/>
        <v>13377</v>
      </c>
      <c r="K600" s="57">
        <v>3700</v>
      </c>
      <c r="L600" s="54">
        <f t="shared" si="49"/>
        <v>49494900</v>
      </c>
      <c r="P600" s="139">
        <v>47300000</v>
      </c>
      <c r="Q600" s="139">
        <f t="shared" si="50"/>
        <v>2194900</v>
      </c>
    </row>
    <row r="601" spans="1:17" hidden="1" x14ac:dyDescent="0.3">
      <c r="A601" s="54"/>
      <c r="B601" s="54"/>
      <c r="C601" s="54">
        <v>250000</v>
      </c>
      <c r="D601" s="54" t="s">
        <v>1328</v>
      </c>
      <c r="E601" s="55" t="s">
        <v>1291</v>
      </c>
      <c r="F601" s="57">
        <v>22880</v>
      </c>
      <c r="G601" s="57">
        <v>12150</v>
      </c>
      <c r="H601" s="54">
        <f t="shared" si="47"/>
        <v>10730</v>
      </c>
      <c r="I601" s="58">
        <v>2</v>
      </c>
      <c r="J601" s="54">
        <f t="shared" si="48"/>
        <v>10515.4</v>
      </c>
      <c r="K601" s="57">
        <v>3650</v>
      </c>
      <c r="L601" s="54">
        <f t="shared" si="49"/>
        <v>38381210</v>
      </c>
      <c r="P601" s="139">
        <v>36811000</v>
      </c>
      <c r="Q601" s="139">
        <f t="shared" si="50"/>
        <v>1570210</v>
      </c>
    </row>
    <row r="602" spans="1:17" hidden="1" x14ac:dyDescent="0.3">
      <c r="A602" s="54"/>
      <c r="B602" s="54"/>
      <c r="C602" s="54"/>
      <c r="D602" s="54"/>
      <c r="E602" s="55" t="s">
        <v>1329</v>
      </c>
      <c r="F602" s="57">
        <v>20740</v>
      </c>
      <c r="G602" s="57">
        <v>9560</v>
      </c>
      <c r="H602" s="54">
        <f t="shared" si="47"/>
        <v>11180</v>
      </c>
      <c r="I602" s="58">
        <v>3</v>
      </c>
      <c r="J602" s="54">
        <f t="shared" si="48"/>
        <v>10844.6</v>
      </c>
      <c r="K602" s="57">
        <v>3380</v>
      </c>
      <c r="L602" s="54">
        <f t="shared" si="49"/>
        <v>36654748</v>
      </c>
      <c r="P602" s="139">
        <v>35735000</v>
      </c>
      <c r="Q602" s="139">
        <f t="shared" si="50"/>
        <v>919748</v>
      </c>
    </row>
    <row r="603" spans="1:17" hidden="1" x14ac:dyDescent="0.3">
      <c r="A603" s="54"/>
      <c r="B603" s="54"/>
      <c r="C603" s="54"/>
      <c r="D603" s="54"/>
      <c r="E603" s="55"/>
      <c r="F603" s="57"/>
      <c r="G603" s="57"/>
      <c r="H603" s="54">
        <f t="shared" ref="H603:H666" si="51">+F603-G603</f>
        <v>0</v>
      </c>
      <c r="I603" s="58"/>
      <c r="J603" s="54">
        <f t="shared" ref="J603:J666" si="52">+H603-H603*I603/100</f>
        <v>0</v>
      </c>
      <c r="K603" s="57"/>
      <c r="L603" s="54">
        <f t="shared" ref="L603:L666" si="53">+J603*K603</f>
        <v>0</v>
      </c>
      <c r="Q603" s="139">
        <f t="shared" si="50"/>
        <v>0</v>
      </c>
    </row>
    <row r="604" spans="1:17" hidden="1" x14ac:dyDescent="0.3">
      <c r="A604" s="54" t="s">
        <v>1334</v>
      </c>
      <c r="B604" s="54"/>
      <c r="C604" s="54">
        <v>2000000</v>
      </c>
      <c r="D604" s="54" t="s">
        <v>1335</v>
      </c>
      <c r="E604" s="55" t="s">
        <v>1336</v>
      </c>
      <c r="F604" s="57">
        <v>17890</v>
      </c>
      <c r="G604" s="57">
        <v>8480</v>
      </c>
      <c r="H604" s="54">
        <f t="shared" si="51"/>
        <v>9410</v>
      </c>
      <c r="I604" s="58">
        <v>2</v>
      </c>
      <c r="J604" s="54">
        <f t="shared" si="52"/>
        <v>9221.7999999999993</v>
      </c>
      <c r="K604" s="57">
        <v>3650</v>
      </c>
      <c r="L604" s="54">
        <f t="shared" si="53"/>
        <v>33659570</v>
      </c>
      <c r="P604" s="139">
        <v>32400000</v>
      </c>
      <c r="Q604" s="139">
        <f t="shared" ref="Q604:Q667" si="54">+L604-P604</f>
        <v>1259570</v>
      </c>
    </row>
    <row r="605" spans="1:17" hidden="1" x14ac:dyDescent="0.3">
      <c r="A605" s="54"/>
      <c r="B605" s="54"/>
      <c r="C605" s="54">
        <f>2500*250</f>
        <v>625000</v>
      </c>
      <c r="D605" s="54" t="s">
        <v>955</v>
      </c>
      <c r="E605" s="55" t="s">
        <v>1086</v>
      </c>
      <c r="F605" s="57">
        <v>17120</v>
      </c>
      <c r="G605" s="57">
        <v>9620</v>
      </c>
      <c r="H605" s="54">
        <f t="shared" si="51"/>
        <v>7500</v>
      </c>
      <c r="I605" s="58">
        <v>3</v>
      </c>
      <c r="J605" s="54">
        <f t="shared" si="52"/>
        <v>7275</v>
      </c>
      <c r="K605" s="57">
        <v>3380</v>
      </c>
      <c r="L605" s="54">
        <f t="shared" si="53"/>
        <v>24589500</v>
      </c>
      <c r="P605" s="139">
        <v>23663000</v>
      </c>
      <c r="Q605" s="139">
        <f t="shared" si="54"/>
        <v>926500</v>
      </c>
    </row>
    <row r="606" spans="1:17" hidden="1" x14ac:dyDescent="0.3">
      <c r="A606" s="54"/>
      <c r="B606" s="54"/>
      <c r="C606" s="210">
        <v>2000000</v>
      </c>
      <c r="D606" s="210" t="s">
        <v>1342</v>
      </c>
      <c r="E606" s="55"/>
      <c r="F606" s="57"/>
      <c r="G606" s="57"/>
      <c r="H606" s="54">
        <f t="shared" si="51"/>
        <v>0</v>
      </c>
      <c r="I606" s="58"/>
      <c r="J606" s="54">
        <f t="shared" si="52"/>
        <v>0</v>
      </c>
      <c r="K606" s="57"/>
      <c r="L606" s="54">
        <f t="shared" si="53"/>
        <v>0</v>
      </c>
      <c r="Q606" s="139">
        <f t="shared" si="54"/>
        <v>0</v>
      </c>
    </row>
    <row r="607" spans="1:17" hidden="1" x14ac:dyDescent="0.3">
      <c r="A607" s="54"/>
      <c r="B607" s="54"/>
      <c r="C607" s="54"/>
      <c r="D607" s="54"/>
      <c r="E607" s="55"/>
      <c r="F607" s="57"/>
      <c r="G607" s="57"/>
      <c r="H607" s="54">
        <f t="shared" si="51"/>
        <v>0</v>
      </c>
      <c r="I607" s="58"/>
      <c r="J607" s="54">
        <f t="shared" si="52"/>
        <v>0</v>
      </c>
      <c r="K607" s="57"/>
      <c r="L607" s="54">
        <f t="shared" si="53"/>
        <v>0</v>
      </c>
      <c r="Q607" s="139">
        <f t="shared" si="54"/>
        <v>0</v>
      </c>
    </row>
    <row r="608" spans="1:17" hidden="1" x14ac:dyDescent="0.3">
      <c r="A608" s="54" t="s">
        <v>1343</v>
      </c>
      <c r="B608" s="54"/>
      <c r="C608" s="54">
        <f>14900*12060</f>
        <v>179694000</v>
      </c>
      <c r="D608" s="54" t="s">
        <v>1344</v>
      </c>
      <c r="E608" s="55" t="s">
        <v>1371</v>
      </c>
      <c r="F608" s="57">
        <v>21065</v>
      </c>
      <c r="G608" s="57">
        <v>10075</v>
      </c>
      <c r="H608" s="54">
        <f t="shared" si="51"/>
        <v>10990</v>
      </c>
      <c r="I608" s="58">
        <v>5</v>
      </c>
      <c r="J608" s="54">
        <f t="shared" si="52"/>
        <v>10440.5</v>
      </c>
      <c r="K608" s="57">
        <v>3650</v>
      </c>
      <c r="L608" s="54">
        <f t="shared" si="53"/>
        <v>38107825</v>
      </c>
      <c r="P608" s="139">
        <v>37718000</v>
      </c>
      <c r="Q608" s="139">
        <f t="shared" si="54"/>
        <v>389825</v>
      </c>
    </row>
    <row r="609" spans="1:17" hidden="1" x14ac:dyDescent="0.3">
      <c r="A609" s="54"/>
      <c r="B609" s="54"/>
      <c r="C609" s="54">
        <v>250000</v>
      </c>
      <c r="D609" s="54" t="s">
        <v>1346</v>
      </c>
      <c r="E609" s="55" t="s">
        <v>1345</v>
      </c>
      <c r="F609" s="57">
        <v>24880</v>
      </c>
      <c r="G609" s="57">
        <v>13860</v>
      </c>
      <c r="H609" s="54">
        <f t="shared" si="51"/>
        <v>11020</v>
      </c>
      <c r="I609" s="58">
        <v>1</v>
      </c>
      <c r="J609" s="54">
        <f t="shared" si="52"/>
        <v>10909.8</v>
      </c>
      <c r="K609" s="57">
        <v>3650</v>
      </c>
      <c r="L609" s="54">
        <f t="shared" si="53"/>
        <v>39820770</v>
      </c>
      <c r="P609" s="139">
        <f>38825000+100000</f>
        <v>38925000</v>
      </c>
      <c r="Q609" s="139">
        <f t="shared" si="54"/>
        <v>895770</v>
      </c>
    </row>
    <row r="610" spans="1:17" hidden="1" x14ac:dyDescent="0.3">
      <c r="A610" s="54"/>
      <c r="B610" s="54"/>
      <c r="C610" s="54"/>
      <c r="D610" s="54"/>
      <c r="E610" s="55"/>
      <c r="F610" s="57"/>
      <c r="G610" s="57"/>
      <c r="H610" s="54">
        <f t="shared" si="51"/>
        <v>0</v>
      </c>
      <c r="I610" s="58"/>
      <c r="J610" s="54">
        <f t="shared" si="52"/>
        <v>0</v>
      </c>
      <c r="K610" s="57"/>
      <c r="L610" s="54">
        <f t="shared" si="53"/>
        <v>0</v>
      </c>
      <c r="Q610" s="139">
        <f t="shared" si="54"/>
        <v>0</v>
      </c>
    </row>
    <row r="611" spans="1:17" hidden="1" x14ac:dyDescent="0.3">
      <c r="A611" s="54" t="s">
        <v>1351</v>
      </c>
      <c r="B611" s="54"/>
      <c r="C611" s="54"/>
      <c r="D611" s="180" t="s">
        <v>831</v>
      </c>
      <c r="E611" s="55" t="s">
        <v>1352</v>
      </c>
      <c r="F611" s="57">
        <v>26760</v>
      </c>
      <c r="G611" s="57">
        <v>14860</v>
      </c>
      <c r="H611" s="54">
        <f t="shared" si="51"/>
        <v>11900</v>
      </c>
      <c r="I611" s="58">
        <v>2</v>
      </c>
      <c r="J611" s="54">
        <f t="shared" si="52"/>
        <v>11662</v>
      </c>
      <c r="K611" s="57">
        <v>3730</v>
      </c>
      <c r="L611" s="54">
        <f t="shared" si="53"/>
        <v>43499260</v>
      </c>
      <c r="P611" s="139">
        <v>41860000</v>
      </c>
      <c r="Q611" s="139">
        <f t="shared" si="54"/>
        <v>1639260</v>
      </c>
    </row>
    <row r="612" spans="1:17" hidden="1" x14ac:dyDescent="0.3">
      <c r="A612" s="54"/>
      <c r="B612" s="54"/>
      <c r="C612" s="54"/>
      <c r="D612" s="54"/>
      <c r="E612" s="55" t="s">
        <v>1121</v>
      </c>
      <c r="F612" s="57">
        <v>24320</v>
      </c>
      <c r="G612" s="57">
        <v>13040</v>
      </c>
      <c r="H612" s="54">
        <f t="shared" si="51"/>
        <v>11280</v>
      </c>
      <c r="I612" s="58">
        <v>3</v>
      </c>
      <c r="J612" s="54">
        <f t="shared" si="52"/>
        <v>10941.6</v>
      </c>
      <c r="K612" s="57">
        <v>3380</v>
      </c>
      <c r="L612" s="54">
        <f t="shared" si="53"/>
        <v>36982608</v>
      </c>
      <c r="P612" s="139">
        <v>36500000</v>
      </c>
      <c r="Q612" s="139">
        <f t="shared" si="54"/>
        <v>482608</v>
      </c>
    </row>
    <row r="613" spans="1:17" hidden="1" x14ac:dyDescent="0.3">
      <c r="A613" s="54"/>
      <c r="B613" s="54"/>
      <c r="C613" s="54"/>
      <c r="D613" s="54"/>
      <c r="E613" s="55" t="s">
        <v>1353</v>
      </c>
      <c r="F613" s="57">
        <v>26700</v>
      </c>
      <c r="G613" s="57">
        <v>14750</v>
      </c>
      <c r="H613" s="54">
        <f t="shared" si="51"/>
        <v>11950</v>
      </c>
      <c r="I613" s="58">
        <v>1</v>
      </c>
      <c r="J613" s="54">
        <f t="shared" si="52"/>
        <v>11830.5</v>
      </c>
      <c r="K613" s="57">
        <v>3650</v>
      </c>
      <c r="L613" s="54">
        <f t="shared" si="53"/>
        <v>43181325</v>
      </c>
      <c r="P613" s="139">
        <v>41390000</v>
      </c>
      <c r="Q613" s="139">
        <f t="shared" si="54"/>
        <v>1791325</v>
      </c>
    </row>
    <row r="614" spans="1:17" hidden="1" x14ac:dyDescent="0.3">
      <c r="A614" s="54"/>
      <c r="B614" s="54"/>
      <c r="C614" s="54"/>
      <c r="D614" s="54"/>
      <c r="E614" s="55"/>
      <c r="F614" s="57"/>
      <c r="G614" s="57"/>
      <c r="H614" s="54">
        <f t="shared" si="51"/>
        <v>0</v>
      </c>
      <c r="I614" s="58"/>
      <c r="J614" s="54">
        <f t="shared" si="52"/>
        <v>0</v>
      </c>
      <c r="K614" s="57"/>
      <c r="L614" s="54">
        <f t="shared" si="53"/>
        <v>0</v>
      </c>
      <c r="Q614" s="139">
        <f t="shared" si="54"/>
        <v>0</v>
      </c>
    </row>
    <row r="615" spans="1:17" hidden="1" x14ac:dyDescent="0.3">
      <c r="A615" s="54" t="s">
        <v>1357</v>
      </c>
      <c r="B615" s="54"/>
      <c r="C615" s="54">
        <f>25000*12000</f>
        <v>300000000</v>
      </c>
      <c r="D615" s="54" t="s">
        <v>1139</v>
      </c>
      <c r="E615" s="55"/>
      <c r="F615" s="57"/>
      <c r="G615" s="57"/>
      <c r="H615" s="54">
        <f t="shared" si="51"/>
        <v>0</v>
      </c>
      <c r="I615" s="58"/>
      <c r="J615" s="54">
        <f t="shared" si="52"/>
        <v>0</v>
      </c>
      <c r="K615" s="57"/>
      <c r="L615" s="54">
        <f t="shared" si="53"/>
        <v>0</v>
      </c>
      <c r="Q615" s="139">
        <f t="shared" si="54"/>
        <v>0</v>
      </c>
    </row>
    <row r="616" spans="1:17" hidden="1" x14ac:dyDescent="0.3">
      <c r="A616" s="54"/>
      <c r="B616" s="54"/>
      <c r="C616" s="54">
        <v>600000</v>
      </c>
      <c r="D616" s="54" t="s">
        <v>1175</v>
      </c>
      <c r="E616" s="55" t="s">
        <v>1358</v>
      </c>
      <c r="F616" s="57">
        <v>20180</v>
      </c>
      <c r="G616" s="57">
        <v>9340</v>
      </c>
      <c r="H616" s="54">
        <f t="shared" si="51"/>
        <v>10840</v>
      </c>
      <c r="I616" s="58">
        <v>2.65</v>
      </c>
      <c r="J616" s="54">
        <f t="shared" si="52"/>
        <v>10552.74</v>
      </c>
      <c r="K616" s="57">
        <v>3600</v>
      </c>
      <c r="L616" s="54">
        <f t="shared" si="53"/>
        <v>37989864</v>
      </c>
      <c r="P616" s="139">
        <v>37000000</v>
      </c>
      <c r="Q616" s="139">
        <f t="shared" si="54"/>
        <v>989864</v>
      </c>
    </row>
    <row r="617" spans="1:17" hidden="1" x14ac:dyDescent="0.3">
      <c r="A617" s="54"/>
      <c r="B617" s="54"/>
      <c r="C617" s="54"/>
      <c r="D617" s="54"/>
      <c r="E617" s="55"/>
      <c r="F617" s="57"/>
      <c r="G617" s="57"/>
      <c r="H617" s="54">
        <f t="shared" si="51"/>
        <v>0</v>
      </c>
      <c r="I617" s="58"/>
      <c r="J617" s="54">
        <f t="shared" si="52"/>
        <v>0</v>
      </c>
      <c r="K617" s="57"/>
      <c r="L617" s="54">
        <f t="shared" si="53"/>
        <v>0</v>
      </c>
      <c r="Q617" s="139">
        <f t="shared" si="54"/>
        <v>0</v>
      </c>
    </row>
    <row r="618" spans="1:17" hidden="1" x14ac:dyDescent="0.3">
      <c r="A618" s="54"/>
      <c r="B618" s="54"/>
      <c r="C618" s="54"/>
      <c r="D618" s="54"/>
      <c r="E618" s="55"/>
      <c r="F618" s="57"/>
      <c r="G618" s="57"/>
      <c r="H618" s="54">
        <f t="shared" si="51"/>
        <v>0</v>
      </c>
      <c r="I618" s="58"/>
      <c r="J618" s="54">
        <f t="shared" si="52"/>
        <v>0</v>
      </c>
      <c r="K618" s="57"/>
      <c r="L618" s="54">
        <f t="shared" si="53"/>
        <v>0</v>
      </c>
      <c r="Q618" s="139">
        <f t="shared" si="54"/>
        <v>0</v>
      </c>
    </row>
    <row r="619" spans="1:17" hidden="1" x14ac:dyDescent="0.3">
      <c r="A619" s="54" t="s">
        <v>1362</v>
      </c>
      <c r="B619" s="54"/>
      <c r="C619" s="54">
        <f>5000*12025</f>
        <v>60125000</v>
      </c>
      <c r="D619" s="54" t="s">
        <v>638</v>
      </c>
      <c r="E619" s="55" t="s">
        <v>1336</v>
      </c>
      <c r="F619" s="57">
        <v>17680</v>
      </c>
      <c r="G619" s="57">
        <v>8540</v>
      </c>
      <c r="H619" s="54">
        <f t="shared" si="51"/>
        <v>9140</v>
      </c>
      <c r="I619" s="58">
        <v>2</v>
      </c>
      <c r="J619" s="54">
        <f t="shared" si="52"/>
        <v>8957.2000000000007</v>
      </c>
      <c r="K619" s="57">
        <v>3650</v>
      </c>
      <c r="L619" s="54">
        <f t="shared" si="53"/>
        <v>32693780.000000004</v>
      </c>
      <c r="P619" s="139">
        <v>31611000</v>
      </c>
      <c r="Q619" s="139">
        <f t="shared" si="54"/>
        <v>1082780.0000000037</v>
      </c>
    </row>
    <row r="620" spans="1:17" hidden="1" x14ac:dyDescent="0.3">
      <c r="A620" s="54"/>
      <c r="B620" s="54"/>
      <c r="C620" s="54"/>
      <c r="D620" s="54"/>
      <c r="E620" s="55" t="s">
        <v>1364</v>
      </c>
      <c r="F620" s="57">
        <v>24770</v>
      </c>
      <c r="G620" s="57">
        <v>9740</v>
      </c>
      <c r="H620" s="54">
        <f t="shared" si="51"/>
        <v>15030</v>
      </c>
      <c r="I620" s="58"/>
      <c r="J620" s="54">
        <f t="shared" si="52"/>
        <v>15030</v>
      </c>
      <c r="K620" s="57">
        <v>3650</v>
      </c>
      <c r="L620" s="54">
        <f t="shared" si="53"/>
        <v>54859500</v>
      </c>
      <c r="P620" s="139">
        <v>53945000</v>
      </c>
      <c r="Q620" s="139">
        <f t="shared" si="54"/>
        <v>914500</v>
      </c>
    </row>
    <row r="621" spans="1:17" hidden="1" x14ac:dyDescent="0.3">
      <c r="A621" s="54"/>
      <c r="B621" s="54"/>
      <c r="C621" s="54"/>
      <c r="D621" s="54"/>
      <c r="E621" s="55" t="s">
        <v>1363</v>
      </c>
      <c r="F621" s="57">
        <v>26630</v>
      </c>
      <c r="G621" s="57">
        <v>9940</v>
      </c>
      <c r="H621" s="54">
        <f t="shared" si="51"/>
        <v>16690</v>
      </c>
      <c r="I621" s="58"/>
      <c r="J621" s="54">
        <f t="shared" si="52"/>
        <v>16690</v>
      </c>
      <c r="K621" s="57">
        <v>3650</v>
      </c>
      <c r="L621" s="54">
        <f t="shared" si="53"/>
        <v>60918500</v>
      </c>
      <c r="P621" s="139">
        <v>59903000</v>
      </c>
      <c r="Q621" s="139">
        <f t="shared" si="54"/>
        <v>1015500</v>
      </c>
    </row>
    <row r="622" spans="1:17" hidden="1" x14ac:dyDescent="0.3">
      <c r="A622" s="54"/>
      <c r="B622" s="54"/>
      <c r="C622" s="180">
        <v>500000</v>
      </c>
      <c r="D622" s="180" t="s">
        <v>1346</v>
      </c>
      <c r="E622" s="55"/>
      <c r="F622" s="57"/>
      <c r="G622" s="57"/>
      <c r="H622" s="54">
        <f t="shared" si="51"/>
        <v>0</v>
      </c>
      <c r="I622" s="58"/>
      <c r="J622" s="54">
        <f t="shared" si="52"/>
        <v>0</v>
      </c>
      <c r="K622" s="57"/>
      <c r="L622" s="54">
        <f t="shared" si="53"/>
        <v>0</v>
      </c>
      <c r="Q622" s="139">
        <f t="shared" si="54"/>
        <v>0</v>
      </c>
    </row>
    <row r="623" spans="1:17" hidden="1" x14ac:dyDescent="0.3">
      <c r="A623" s="54"/>
      <c r="B623" s="54"/>
      <c r="C623" s="54"/>
      <c r="D623" s="54"/>
      <c r="E623" s="55"/>
      <c r="F623" s="57"/>
      <c r="G623" s="57"/>
      <c r="H623" s="54">
        <f t="shared" si="51"/>
        <v>0</v>
      </c>
      <c r="I623" s="58"/>
      <c r="J623" s="54">
        <f t="shared" si="52"/>
        <v>0</v>
      </c>
      <c r="K623" s="57"/>
      <c r="L623" s="54">
        <f t="shared" si="53"/>
        <v>0</v>
      </c>
      <c r="Q623" s="139">
        <f t="shared" si="54"/>
        <v>0</v>
      </c>
    </row>
    <row r="624" spans="1:17" hidden="1" x14ac:dyDescent="0.3">
      <c r="A624" s="54"/>
      <c r="B624" s="54"/>
      <c r="C624" s="54"/>
      <c r="D624" s="54"/>
      <c r="E624" s="55"/>
      <c r="F624" s="57"/>
      <c r="G624" s="57"/>
      <c r="H624" s="54">
        <f t="shared" si="51"/>
        <v>0</v>
      </c>
      <c r="I624" s="58"/>
      <c r="J624" s="54">
        <f t="shared" si="52"/>
        <v>0</v>
      </c>
      <c r="K624" s="57"/>
      <c r="L624" s="54">
        <f t="shared" si="53"/>
        <v>0</v>
      </c>
      <c r="Q624" s="139">
        <f t="shared" si="54"/>
        <v>0</v>
      </c>
    </row>
    <row r="625" spans="1:17" hidden="1" x14ac:dyDescent="0.3">
      <c r="A625" s="54"/>
      <c r="B625" s="54"/>
      <c r="C625" s="54"/>
      <c r="D625" s="54"/>
      <c r="E625" s="55"/>
      <c r="F625" s="57"/>
      <c r="G625" s="57"/>
      <c r="H625" s="54">
        <f t="shared" si="51"/>
        <v>0</v>
      </c>
      <c r="I625" s="58"/>
      <c r="J625" s="54">
        <f t="shared" si="52"/>
        <v>0</v>
      </c>
      <c r="K625" s="57"/>
      <c r="L625" s="54">
        <f t="shared" si="53"/>
        <v>0</v>
      </c>
      <c r="Q625" s="139">
        <f t="shared" si="54"/>
        <v>0</v>
      </c>
    </row>
    <row r="626" spans="1:17" hidden="1" x14ac:dyDescent="0.3">
      <c r="A626" s="54"/>
      <c r="B626" s="54"/>
      <c r="C626" s="54"/>
      <c r="D626" s="54"/>
      <c r="E626" s="55"/>
      <c r="F626" s="57"/>
      <c r="G626" s="57"/>
      <c r="H626" s="54">
        <f t="shared" si="51"/>
        <v>0</v>
      </c>
      <c r="I626" s="58"/>
      <c r="J626" s="54">
        <f t="shared" si="52"/>
        <v>0</v>
      </c>
      <c r="K626" s="57"/>
      <c r="L626" s="54">
        <f t="shared" si="53"/>
        <v>0</v>
      </c>
      <c r="Q626" s="139">
        <f t="shared" si="54"/>
        <v>0</v>
      </c>
    </row>
    <row r="627" spans="1:17" hidden="1" x14ac:dyDescent="0.3">
      <c r="A627" s="54"/>
      <c r="B627" s="54"/>
      <c r="C627" s="54"/>
      <c r="D627" s="54"/>
      <c r="E627" s="55"/>
      <c r="F627" s="57"/>
      <c r="G627" s="57"/>
      <c r="H627" s="54">
        <f t="shared" si="51"/>
        <v>0</v>
      </c>
      <c r="I627" s="58"/>
      <c r="J627" s="54">
        <f t="shared" si="52"/>
        <v>0</v>
      </c>
      <c r="K627" s="57"/>
      <c r="L627" s="54">
        <f t="shared" si="53"/>
        <v>0</v>
      </c>
      <c r="Q627" s="139">
        <f t="shared" si="54"/>
        <v>0</v>
      </c>
    </row>
    <row r="628" spans="1:17" hidden="1" x14ac:dyDescent="0.3">
      <c r="A628" s="54" t="s">
        <v>1372</v>
      </c>
      <c r="B628" s="54"/>
      <c r="C628" s="54"/>
      <c r="D628" s="54"/>
      <c r="E628" s="55" t="s">
        <v>1379</v>
      </c>
      <c r="F628" s="57">
        <v>25920</v>
      </c>
      <c r="G628" s="57">
        <v>12700</v>
      </c>
      <c r="H628" s="54">
        <f t="shared" si="51"/>
        <v>13220</v>
      </c>
      <c r="I628" s="58">
        <v>2.2000000000000002</v>
      </c>
      <c r="J628" s="54">
        <f t="shared" si="52"/>
        <v>12929.16</v>
      </c>
      <c r="K628" s="57">
        <v>3380</v>
      </c>
      <c r="L628" s="54">
        <f t="shared" si="53"/>
        <v>43700560.799999997</v>
      </c>
      <c r="P628" s="139">
        <v>42606000</v>
      </c>
      <c r="Q628" s="139">
        <f t="shared" si="54"/>
        <v>1094560.799999997</v>
      </c>
    </row>
    <row r="629" spans="1:17" hidden="1" x14ac:dyDescent="0.3">
      <c r="A629" s="54"/>
      <c r="B629" s="54"/>
      <c r="C629" s="54"/>
      <c r="D629" s="54"/>
      <c r="E629" s="55" t="s">
        <v>1373</v>
      </c>
      <c r="F629" s="57">
        <v>25660</v>
      </c>
      <c r="G629" s="57">
        <v>13080</v>
      </c>
      <c r="H629" s="54">
        <f t="shared" si="51"/>
        <v>12580</v>
      </c>
      <c r="I629" s="58">
        <v>2</v>
      </c>
      <c r="J629" s="54">
        <f t="shared" si="52"/>
        <v>12328.4</v>
      </c>
      <c r="K629" s="57">
        <v>3380</v>
      </c>
      <c r="L629" s="54">
        <f t="shared" si="53"/>
        <v>41669992</v>
      </c>
      <c r="P629" s="139">
        <v>40490000</v>
      </c>
      <c r="Q629" s="139">
        <f t="shared" si="54"/>
        <v>1179992</v>
      </c>
    </row>
    <row r="630" spans="1:17" hidden="1" x14ac:dyDescent="0.3">
      <c r="A630" s="54"/>
      <c r="B630" s="54"/>
      <c r="C630" s="54"/>
      <c r="D630" s="54"/>
      <c r="E630" s="55"/>
      <c r="F630" s="57"/>
      <c r="G630" s="57"/>
      <c r="H630" s="54">
        <f t="shared" si="51"/>
        <v>0</v>
      </c>
      <c r="I630" s="58"/>
      <c r="J630" s="54">
        <f t="shared" si="52"/>
        <v>0</v>
      </c>
      <c r="K630" s="57"/>
      <c r="L630" s="54">
        <f t="shared" si="53"/>
        <v>0</v>
      </c>
      <c r="Q630" s="139">
        <f t="shared" si="54"/>
        <v>0</v>
      </c>
    </row>
    <row r="631" spans="1:17" hidden="1" x14ac:dyDescent="0.3">
      <c r="A631" s="54" t="s">
        <v>1376</v>
      </c>
      <c r="B631" s="54"/>
      <c r="C631" s="54">
        <v>247500000</v>
      </c>
      <c r="D631" s="54" t="s">
        <v>123</v>
      </c>
      <c r="E631" s="55" t="s">
        <v>1377</v>
      </c>
      <c r="F631" s="57">
        <v>37730</v>
      </c>
      <c r="G631" s="57">
        <v>14250</v>
      </c>
      <c r="H631" s="54">
        <f t="shared" si="51"/>
        <v>23480</v>
      </c>
      <c r="I631" s="58">
        <v>1</v>
      </c>
      <c r="J631" s="54">
        <f t="shared" si="52"/>
        <v>23245.200000000001</v>
      </c>
      <c r="K631" s="57">
        <v>3670</v>
      </c>
      <c r="L631" s="54">
        <f t="shared" si="53"/>
        <v>85309884</v>
      </c>
      <c r="P631" s="139">
        <v>83600000</v>
      </c>
      <c r="Q631" s="139">
        <f t="shared" si="54"/>
        <v>1709884</v>
      </c>
    </row>
    <row r="632" spans="1:17" hidden="1" x14ac:dyDescent="0.3">
      <c r="A632" s="54"/>
      <c r="B632" s="180">
        <v>6000000</v>
      </c>
      <c r="C632" s="54"/>
      <c r="D632" s="180" t="s">
        <v>1128</v>
      </c>
      <c r="E632" s="55" t="s">
        <v>1378</v>
      </c>
      <c r="F632" s="57">
        <v>26700</v>
      </c>
      <c r="G632" s="57">
        <v>14780</v>
      </c>
      <c r="H632" s="54">
        <f t="shared" si="51"/>
        <v>11920</v>
      </c>
      <c r="I632" s="58">
        <v>1</v>
      </c>
      <c r="J632" s="54">
        <f t="shared" si="52"/>
        <v>11800.8</v>
      </c>
      <c r="K632" s="57">
        <v>3650</v>
      </c>
      <c r="L632" s="54">
        <f t="shared" si="53"/>
        <v>43072920</v>
      </c>
      <c r="P632" s="139">
        <f>11920*3500</f>
        <v>41720000</v>
      </c>
      <c r="Q632" s="139">
        <f t="shared" si="54"/>
        <v>1352920</v>
      </c>
    </row>
    <row r="633" spans="1:17" hidden="1" x14ac:dyDescent="0.3">
      <c r="A633" s="54"/>
      <c r="B633" s="54"/>
      <c r="C633" s="54"/>
      <c r="D633" s="54"/>
      <c r="E633" s="55"/>
      <c r="F633" s="57"/>
      <c r="G633" s="57"/>
      <c r="H633" s="54">
        <f t="shared" si="51"/>
        <v>0</v>
      </c>
      <c r="I633" s="58"/>
      <c r="J633" s="54">
        <f t="shared" si="52"/>
        <v>0</v>
      </c>
      <c r="K633" s="57"/>
      <c r="L633" s="54">
        <f t="shared" si="53"/>
        <v>0</v>
      </c>
      <c r="Q633" s="139">
        <f t="shared" si="54"/>
        <v>0</v>
      </c>
    </row>
    <row r="634" spans="1:17" hidden="1" x14ac:dyDescent="0.3">
      <c r="A634" s="54"/>
      <c r="B634" s="54"/>
      <c r="C634" s="54"/>
      <c r="D634" s="54"/>
      <c r="E634" s="55"/>
      <c r="F634" s="57"/>
      <c r="G634" s="57"/>
      <c r="H634" s="54">
        <f t="shared" si="51"/>
        <v>0</v>
      </c>
      <c r="I634" s="58"/>
      <c r="J634" s="54">
        <f t="shared" si="52"/>
        <v>0</v>
      </c>
      <c r="K634" s="57"/>
      <c r="L634" s="54">
        <f t="shared" si="53"/>
        <v>0</v>
      </c>
      <c r="Q634" s="139">
        <f t="shared" si="54"/>
        <v>0</v>
      </c>
    </row>
    <row r="635" spans="1:17" hidden="1" x14ac:dyDescent="0.3">
      <c r="A635" s="54"/>
      <c r="B635" s="54"/>
      <c r="C635" s="54"/>
      <c r="D635" s="54"/>
      <c r="E635" s="55"/>
      <c r="F635" s="57"/>
      <c r="G635" s="57"/>
      <c r="H635" s="54">
        <f t="shared" si="51"/>
        <v>0</v>
      </c>
      <c r="I635" s="58"/>
      <c r="J635" s="54">
        <f t="shared" si="52"/>
        <v>0</v>
      </c>
      <c r="K635" s="57"/>
      <c r="L635" s="54">
        <f t="shared" si="53"/>
        <v>0</v>
      </c>
      <c r="Q635" s="139">
        <f t="shared" si="54"/>
        <v>0</v>
      </c>
    </row>
    <row r="636" spans="1:17" hidden="1" x14ac:dyDescent="0.3">
      <c r="A636" s="54" t="s">
        <v>1384</v>
      </c>
      <c r="B636" s="54"/>
      <c r="C636" s="54">
        <f>7000*12040</f>
        <v>84280000</v>
      </c>
      <c r="D636" s="54" t="s">
        <v>1385</v>
      </c>
      <c r="E636" s="55" t="s">
        <v>1291</v>
      </c>
      <c r="F636" s="57">
        <v>25100</v>
      </c>
      <c r="G636" s="57">
        <v>12250</v>
      </c>
      <c r="H636" s="54">
        <f t="shared" si="51"/>
        <v>12850</v>
      </c>
      <c r="I636" s="58">
        <v>3.8</v>
      </c>
      <c r="J636" s="54">
        <f t="shared" si="52"/>
        <v>12361.7</v>
      </c>
      <c r="K636" s="57">
        <v>3650</v>
      </c>
      <c r="L636" s="54">
        <f t="shared" si="53"/>
        <v>45120205</v>
      </c>
      <c r="P636" s="139">
        <v>44937000</v>
      </c>
      <c r="Q636" s="139">
        <f t="shared" si="54"/>
        <v>183205</v>
      </c>
    </row>
    <row r="637" spans="1:17" hidden="1" x14ac:dyDescent="0.3">
      <c r="A637" s="54"/>
      <c r="B637" s="54"/>
      <c r="C637" s="54"/>
      <c r="D637" s="54"/>
      <c r="E637" s="55"/>
      <c r="F637" s="57"/>
      <c r="G637" s="57"/>
      <c r="H637" s="54">
        <f t="shared" si="51"/>
        <v>0</v>
      </c>
      <c r="I637" s="58"/>
      <c r="J637" s="54">
        <f t="shared" si="52"/>
        <v>0</v>
      </c>
      <c r="K637" s="57"/>
      <c r="L637" s="54">
        <f t="shared" si="53"/>
        <v>0</v>
      </c>
      <c r="Q637" s="139">
        <f t="shared" si="54"/>
        <v>0</v>
      </c>
    </row>
    <row r="638" spans="1:17" hidden="1" x14ac:dyDescent="0.3">
      <c r="A638" s="54"/>
      <c r="B638" s="54"/>
      <c r="C638" s="54"/>
      <c r="D638" s="54"/>
      <c r="E638" s="55"/>
      <c r="F638" s="57"/>
      <c r="G638" s="57"/>
      <c r="H638" s="54">
        <f t="shared" si="51"/>
        <v>0</v>
      </c>
      <c r="I638" s="58"/>
      <c r="J638" s="54">
        <f t="shared" si="52"/>
        <v>0</v>
      </c>
      <c r="K638" s="57"/>
      <c r="L638" s="54">
        <f t="shared" si="53"/>
        <v>0</v>
      </c>
      <c r="Q638" s="139">
        <f t="shared" si="54"/>
        <v>0</v>
      </c>
    </row>
    <row r="639" spans="1:17" hidden="1" x14ac:dyDescent="0.3">
      <c r="A639" s="54" t="s">
        <v>1389</v>
      </c>
      <c r="B639" s="54"/>
      <c r="C639" s="54">
        <v>166436000</v>
      </c>
      <c r="D639" s="54" t="s">
        <v>1390</v>
      </c>
      <c r="E639" s="55" t="s">
        <v>1391</v>
      </c>
      <c r="F639" s="57">
        <v>30390</v>
      </c>
      <c r="G639" s="57">
        <v>14695</v>
      </c>
      <c r="H639" s="54">
        <f t="shared" si="51"/>
        <v>15695</v>
      </c>
      <c r="I639" s="58">
        <v>3</v>
      </c>
      <c r="J639" s="54">
        <f t="shared" si="52"/>
        <v>15224.15</v>
      </c>
      <c r="K639" s="57">
        <v>3650</v>
      </c>
      <c r="L639" s="54">
        <f t="shared" si="53"/>
        <v>55568147.5</v>
      </c>
      <c r="P639" s="139">
        <v>54880000</v>
      </c>
      <c r="Q639" s="139">
        <f t="shared" si="54"/>
        <v>688147.5</v>
      </c>
    </row>
    <row r="640" spans="1:17" hidden="1" x14ac:dyDescent="0.3">
      <c r="A640" s="54"/>
      <c r="B640" s="54"/>
      <c r="C640" s="54"/>
      <c r="D640" s="54"/>
      <c r="E640" s="55" t="s">
        <v>1039</v>
      </c>
      <c r="F640" s="57">
        <v>17820</v>
      </c>
      <c r="G640" s="57">
        <v>8470</v>
      </c>
      <c r="H640" s="54">
        <f t="shared" si="51"/>
        <v>9350</v>
      </c>
      <c r="I640" s="58">
        <v>2</v>
      </c>
      <c r="J640" s="54">
        <f t="shared" si="52"/>
        <v>9163</v>
      </c>
      <c r="K640" s="57">
        <v>3650</v>
      </c>
      <c r="L640" s="54">
        <f t="shared" si="53"/>
        <v>33444950</v>
      </c>
      <c r="P640" s="139">
        <v>32162000</v>
      </c>
      <c r="Q640" s="139">
        <f t="shared" si="54"/>
        <v>1282950</v>
      </c>
    </row>
    <row r="641" spans="1:17" hidden="1" x14ac:dyDescent="0.3">
      <c r="A641" s="54"/>
      <c r="B641" s="54"/>
      <c r="C641" s="54"/>
      <c r="D641" s="54"/>
      <c r="E641" s="55" t="s">
        <v>1392</v>
      </c>
      <c r="F641" s="57">
        <v>22660</v>
      </c>
      <c r="G641" s="57">
        <v>10400</v>
      </c>
      <c r="H641" s="54">
        <f t="shared" si="51"/>
        <v>12260</v>
      </c>
      <c r="I641" s="58">
        <v>2.5</v>
      </c>
      <c r="J641" s="54">
        <f t="shared" si="52"/>
        <v>11953.5</v>
      </c>
      <c r="K641" s="57">
        <v>3380</v>
      </c>
      <c r="L641" s="54">
        <f t="shared" si="53"/>
        <v>40402830</v>
      </c>
      <c r="P641" s="139">
        <v>40009000</v>
      </c>
      <c r="Q641" s="139">
        <f t="shared" si="54"/>
        <v>393830</v>
      </c>
    </row>
    <row r="642" spans="1:17" hidden="1" x14ac:dyDescent="0.3">
      <c r="A642" s="54"/>
      <c r="B642" s="54"/>
      <c r="C642" s="54"/>
      <c r="D642" s="54"/>
      <c r="E642" s="55"/>
      <c r="F642" s="57"/>
      <c r="G642" s="57"/>
      <c r="H642" s="54"/>
      <c r="I642" s="58"/>
      <c r="J642" s="54"/>
      <c r="K642" s="57"/>
      <c r="L642" s="54"/>
      <c r="Q642" s="139">
        <f t="shared" si="54"/>
        <v>0</v>
      </c>
    </row>
    <row r="643" spans="1:17" hidden="1" x14ac:dyDescent="0.3">
      <c r="A643" s="54"/>
      <c r="B643" s="54"/>
      <c r="C643" s="54">
        <f>3000*12060</f>
        <v>36180000</v>
      </c>
      <c r="D643" s="180" t="s">
        <v>1394</v>
      </c>
      <c r="E643" s="55"/>
      <c r="F643" s="57"/>
      <c r="G643" s="57"/>
      <c r="H643" s="54">
        <f t="shared" si="51"/>
        <v>0</v>
      </c>
      <c r="I643" s="58"/>
      <c r="J643" s="54">
        <f t="shared" si="52"/>
        <v>0</v>
      </c>
      <c r="K643" s="57"/>
      <c r="L643" s="54">
        <f t="shared" si="53"/>
        <v>0</v>
      </c>
      <c r="Q643" s="139">
        <f t="shared" si="54"/>
        <v>0</v>
      </c>
    </row>
    <row r="644" spans="1:17" hidden="1" x14ac:dyDescent="0.3">
      <c r="A644" s="54" t="s">
        <v>1396</v>
      </c>
      <c r="B644" s="54"/>
      <c r="C644" s="54">
        <f>15000*12060</f>
        <v>180900000</v>
      </c>
      <c r="D644" s="54" t="s">
        <v>569</v>
      </c>
      <c r="E644" s="55"/>
      <c r="F644" s="57"/>
      <c r="G644" s="57"/>
      <c r="H644" s="54">
        <f t="shared" si="51"/>
        <v>0</v>
      </c>
      <c r="I644" s="58"/>
      <c r="J644" s="54">
        <f t="shared" si="52"/>
        <v>0</v>
      </c>
      <c r="K644" s="57"/>
      <c r="L644" s="54">
        <f t="shared" si="53"/>
        <v>0</v>
      </c>
      <c r="Q644" s="139">
        <f t="shared" si="54"/>
        <v>0</v>
      </c>
    </row>
    <row r="645" spans="1:17" hidden="1" x14ac:dyDescent="0.3">
      <c r="A645" s="54"/>
      <c r="B645" s="54"/>
      <c r="C645" s="54">
        <v>20600000</v>
      </c>
      <c r="D645" s="54" t="s">
        <v>1397</v>
      </c>
      <c r="E645" s="55" t="s">
        <v>1393</v>
      </c>
      <c r="F645" s="57">
        <v>18970</v>
      </c>
      <c r="G645" s="57">
        <v>10240</v>
      </c>
      <c r="H645" s="54">
        <f t="shared" si="51"/>
        <v>8730</v>
      </c>
      <c r="I645" s="58">
        <v>3.8</v>
      </c>
      <c r="J645" s="54">
        <f t="shared" si="52"/>
        <v>8398.26</v>
      </c>
      <c r="K645" s="57">
        <v>3650</v>
      </c>
      <c r="L645" s="54">
        <f t="shared" si="53"/>
        <v>30653649</v>
      </c>
      <c r="P645" s="139">
        <v>30653649</v>
      </c>
      <c r="Q645" s="139">
        <f t="shared" si="54"/>
        <v>0</v>
      </c>
    </row>
    <row r="646" spans="1:17" hidden="1" x14ac:dyDescent="0.3">
      <c r="A646" s="54"/>
      <c r="B646" s="54"/>
      <c r="C646" s="54"/>
      <c r="D646" s="54"/>
      <c r="E646" s="55" t="s">
        <v>1398</v>
      </c>
      <c r="F646" s="57">
        <v>20940</v>
      </c>
      <c r="G646" s="57">
        <v>9920</v>
      </c>
      <c r="H646" s="54">
        <f t="shared" si="51"/>
        <v>11020</v>
      </c>
      <c r="I646" s="58">
        <v>3.7</v>
      </c>
      <c r="J646" s="54">
        <f t="shared" si="52"/>
        <v>10612.26</v>
      </c>
      <c r="K646" s="57">
        <v>3650</v>
      </c>
      <c r="L646" s="54">
        <f t="shared" si="53"/>
        <v>38734749</v>
      </c>
      <c r="P646" s="139">
        <v>38468000</v>
      </c>
      <c r="Q646" s="139">
        <f t="shared" si="54"/>
        <v>266749</v>
      </c>
    </row>
    <row r="647" spans="1:17" hidden="1" x14ac:dyDescent="0.3">
      <c r="A647" s="54"/>
      <c r="B647" s="54"/>
      <c r="C647" s="54"/>
      <c r="D647" s="54"/>
      <c r="E647" s="55" t="s">
        <v>1400</v>
      </c>
      <c r="F647" s="57">
        <v>21280</v>
      </c>
      <c r="G647" s="57">
        <v>9660</v>
      </c>
      <c r="H647" s="54">
        <f t="shared" si="51"/>
        <v>11620</v>
      </c>
      <c r="I647" s="58">
        <v>4.0999999999999996</v>
      </c>
      <c r="J647" s="54">
        <f t="shared" si="52"/>
        <v>11143.58</v>
      </c>
      <c r="K647" s="57">
        <v>3380</v>
      </c>
      <c r="L647" s="54">
        <f t="shared" si="53"/>
        <v>37665300.399999999</v>
      </c>
      <c r="P647" s="139">
        <f>25000000+12606000</f>
        <v>37606000</v>
      </c>
      <c r="Q647" s="139">
        <f t="shared" si="54"/>
        <v>59300.39999999851</v>
      </c>
    </row>
    <row r="648" spans="1:17" hidden="1" x14ac:dyDescent="0.3">
      <c r="A648" s="54"/>
      <c r="B648" s="54"/>
      <c r="C648" s="54"/>
      <c r="D648" s="54"/>
      <c r="E648" s="55" t="s">
        <v>1399</v>
      </c>
      <c r="F648" s="57">
        <v>23800</v>
      </c>
      <c r="G648" s="57">
        <v>13020</v>
      </c>
      <c r="H648" s="54">
        <f t="shared" si="51"/>
        <v>10780</v>
      </c>
      <c r="I648" s="58">
        <v>2</v>
      </c>
      <c r="J648" s="54">
        <f t="shared" si="52"/>
        <v>10564.4</v>
      </c>
      <c r="K648" s="57">
        <v>3380</v>
      </c>
      <c r="L648" s="54">
        <f t="shared" si="53"/>
        <v>35707672</v>
      </c>
      <c r="P648" s="139">
        <v>34890000</v>
      </c>
      <c r="Q648" s="139">
        <f t="shared" si="54"/>
        <v>817672</v>
      </c>
    </row>
    <row r="649" spans="1:17" hidden="1" x14ac:dyDescent="0.3">
      <c r="A649" s="54"/>
      <c r="B649" s="54"/>
      <c r="C649" s="180">
        <v>654000</v>
      </c>
      <c r="D649" s="180" t="s">
        <v>1397</v>
      </c>
      <c r="E649" s="55"/>
      <c r="F649" s="57"/>
      <c r="G649" s="57"/>
      <c r="H649" s="54">
        <f t="shared" si="51"/>
        <v>0</v>
      </c>
      <c r="I649" s="58"/>
      <c r="J649" s="54">
        <f t="shared" si="52"/>
        <v>0</v>
      </c>
      <c r="K649" s="57"/>
      <c r="L649" s="54">
        <f t="shared" si="53"/>
        <v>0</v>
      </c>
      <c r="Q649" s="139">
        <f t="shared" si="54"/>
        <v>0</v>
      </c>
    </row>
    <row r="650" spans="1:17" hidden="1" x14ac:dyDescent="0.3">
      <c r="A650" s="54" t="s">
        <v>1402</v>
      </c>
      <c r="B650" s="54"/>
      <c r="C650" s="54"/>
      <c r="D650" s="54"/>
      <c r="E650" s="55" t="s">
        <v>1403</v>
      </c>
      <c r="F650" s="57">
        <v>10510</v>
      </c>
      <c r="G650" s="57">
        <v>4880</v>
      </c>
      <c r="H650" s="54">
        <f t="shared" si="51"/>
        <v>5630</v>
      </c>
      <c r="I650" s="58">
        <v>2</v>
      </c>
      <c r="J650" s="54">
        <f t="shared" si="52"/>
        <v>5517.4</v>
      </c>
      <c r="K650" s="57">
        <v>3900</v>
      </c>
      <c r="L650" s="54">
        <f t="shared" si="53"/>
        <v>21517860</v>
      </c>
      <c r="P650" s="139">
        <v>20916000</v>
      </c>
      <c r="Q650" s="139">
        <f t="shared" si="54"/>
        <v>601860</v>
      </c>
    </row>
    <row r="651" spans="1:17" hidden="1" x14ac:dyDescent="0.3">
      <c r="A651" s="54"/>
      <c r="B651" s="54"/>
      <c r="C651" s="54"/>
      <c r="D651" s="54"/>
      <c r="E651" s="55"/>
      <c r="F651" s="57"/>
      <c r="G651" s="57"/>
      <c r="H651" s="54">
        <f t="shared" si="51"/>
        <v>0</v>
      </c>
      <c r="I651" s="58"/>
      <c r="J651" s="54">
        <f t="shared" si="52"/>
        <v>0</v>
      </c>
      <c r="K651" s="57"/>
      <c r="L651" s="54">
        <f t="shared" si="53"/>
        <v>0</v>
      </c>
      <c r="Q651" s="139">
        <f t="shared" si="54"/>
        <v>0</v>
      </c>
    </row>
    <row r="652" spans="1:17" hidden="1" x14ac:dyDescent="0.3">
      <c r="A652" s="54"/>
      <c r="B652" s="54"/>
      <c r="C652" s="54"/>
      <c r="D652" s="54"/>
      <c r="E652" s="55"/>
      <c r="F652" s="57"/>
      <c r="G652" s="57"/>
      <c r="H652" s="54">
        <f t="shared" si="51"/>
        <v>0</v>
      </c>
      <c r="I652" s="58"/>
      <c r="J652" s="54">
        <f t="shared" si="52"/>
        <v>0</v>
      </c>
      <c r="K652" s="57"/>
      <c r="L652" s="54">
        <f t="shared" si="53"/>
        <v>0</v>
      </c>
      <c r="Q652" s="139">
        <f t="shared" si="54"/>
        <v>0</v>
      </c>
    </row>
    <row r="653" spans="1:17" hidden="1" x14ac:dyDescent="0.3">
      <c r="A653" s="54"/>
      <c r="B653" s="54"/>
      <c r="C653" s="54"/>
      <c r="D653" s="54"/>
      <c r="E653" s="55"/>
      <c r="F653" s="57"/>
      <c r="G653" s="57"/>
      <c r="H653" s="54">
        <f t="shared" si="51"/>
        <v>0</v>
      </c>
      <c r="I653" s="58"/>
      <c r="J653" s="54">
        <f t="shared" si="52"/>
        <v>0</v>
      </c>
      <c r="K653" s="57"/>
      <c r="L653" s="54">
        <f t="shared" si="53"/>
        <v>0</v>
      </c>
      <c r="Q653" s="139">
        <f t="shared" si="54"/>
        <v>0</v>
      </c>
    </row>
    <row r="654" spans="1:17" hidden="1" x14ac:dyDescent="0.3">
      <c r="A654" s="54" t="s">
        <v>1409</v>
      </c>
      <c r="B654" s="54"/>
      <c r="C654" s="54">
        <v>120700000</v>
      </c>
      <c r="D654" s="54" t="s">
        <v>610</v>
      </c>
      <c r="E654" s="55" t="s">
        <v>1413</v>
      </c>
      <c r="F654" s="57">
        <v>24880</v>
      </c>
      <c r="G654" s="57">
        <v>13210</v>
      </c>
      <c r="H654" s="54">
        <f t="shared" si="51"/>
        <v>11670</v>
      </c>
      <c r="I654" s="58">
        <v>2.9</v>
      </c>
      <c r="J654" s="54">
        <f t="shared" si="52"/>
        <v>11331.57</v>
      </c>
      <c r="K654" s="57">
        <v>3650</v>
      </c>
      <c r="L654" s="54">
        <f t="shared" si="53"/>
        <v>41360230.5</v>
      </c>
      <c r="P654" s="139">
        <v>40750000</v>
      </c>
      <c r="Q654" s="139">
        <f t="shared" si="54"/>
        <v>610230.5</v>
      </c>
    </row>
    <row r="655" spans="1:17" hidden="1" x14ac:dyDescent="0.3">
      <c r="A655" s="54"/>
      <c r="B655" s="54"/>
      <c r="C655" s="54"/>
      <c r="D655" s="54"/>
      <c r="E655" s="55"/>
      <c r="F655" s="57"/>
      <c r="G655" s="57"/>
      <c r="H655" s="54">
        <f t="shared" si="51"/>
        <v>0</v>
      </c>
      <c r="I655" s="58"/>
      <c r="J655" s="54">
        <f t="shared" si="52"/>
        <v>0</v>
      </c>
      <c r="K655" s="57"/>
      <c r="L655" s="54">
        <f t="shared" si="53"/>
        <v>0</v>
      </c>
      <c r="Q655" s="139">
        <f t="shared" si="54"/>
        <v>0</v>
      </c>
    </row>
    <row r="656" spans="1:17" hidden="1" x14ac:dyDescent="0.3">
      <c r="A656" s="54"/>
      <c r="B656" s="54"/>
      <c r="C656" s="54"/>
      <c r="D656" s="54"/>
      <c r="E656" s="55"/>
      <c r="F656" s="57"/>
      <c r="G656" s="57"/>
      <c r="H656" s="54">
        <f t="shared" si="51"/>
        <v>0</v>
      </c>
      <c r="I656" s="58"/>
      <c r="J656" s="54">
        <f t="shared" si="52"/>
        <v>0</v>
      </c>
      <c r="K656" s="57"/>
      <c r="L656" s="54">
        <f t="shared" si="53"/>
        <v>0</v>
      </c>
      <c r="Q656" s="139">
        <f t="shared" si="54"/>
        <v>0</v>
      </c>
    </row>
    <row r="657" spans="1:17" hidden="1" x14ac:dyDescent="0.3">
      <c r="A657" s="54"/>
      <c r="B657" s="54"/>
      <c r="C657" s="54"/>
      <c r="D657" s="54"/>
      <c r="E657" s="55"/>
      <c r="F657" s="57"/>
      <c r="G657" s="57"/>
      <c r="H657" s="54">
        <f t="shared" si="51"/>
        <v>0</v>
      </c>
      <c r="I657" s="58"/>
      <c r="J657" s="54">
        <f t="shared" si="52"/>
        <v>0</v>
      </c>
      <c r="K657" s="57"/>
      <c r="L657" s="54">
        <f t="shared" si="53"/>
        <v>0</v>
      </c>
      <c r="Q657" s="139">
        <f t="shared" si="54"/>
        <v>0</v>
      </c>
    </row>
    <row r="658" spans="1:17" hidden="1" x14ac:dyDescent="0.3">
      <c r="A658" s="54" t="s">
        <v>1417</v>
      </c>
      <c r="B658" s="54"/>
      <c r="C658" s="54"/>
      <c r="D658" s="54"/>
      <c r="E658" s="55" t="s">
        <v>1418</v>
      </c>
      <c r="F658" s="57">
        <v>27800</v>
      </c>
      <c r="G658" s="57">
        <v>13890</v>
      </c>
      <c r="H658" s="54">
        <f t="shared" si="51"/>
        <v>13910</v>
      </c>
      <c r="I658" s="58">
        <v>2</v>
      </c>
      <c r="J658" s="54">
        <f t="shared" si="52"/>
        <v>13631.8</v>
      </c>
      <c r="K658" s="57">
        <v>3650</v>
      </c>
      <c r="L658" s="54">
        <f t="shared" si="53"/>
        <v>49756070</v>
      </c>
      <c r="P658" s="139">
        <v>48531000</v>
      </c>
      <c r="Q658" s="139">
        <f t="shared" si="54"/>
        <v>1225070</v>
      </c>
    </row>
    <row r="659" spans="1:17" hidden="1" x14ac:dyDescent="0.3">
      <c r="A659" s="54"/>
      <c r="B659" s="54"/>
      <c r="C659" s="54"/>
      <c r="D659" s="54"/>
      <c r="E659" s="55"/>
      <c r="F659" s="57"/>
      <c r="G659" s="57"/>
      <c r="H659" s="54">
        <f t="shared" si="51"/>
        <v>0</v>
      </c>
      <c r="I659" s="58"/>
      <c r="J659" s="54">
        <f t="shared" si="52"/>
        <v>0</v>
      </c>
      <c r="K659" s="57"/>
      <c r="L659" s="54">
        <f t="shared" si="53"/>
        <v>0</v>
      </c>
      <c r="Q659" s="139">
        <f t="shared" si="54"/>
        <v>0</v>
      </c>
    </row>
    <row r="660" spans="1:17" hidden="1" x14ac:dyDescent="0.3">
      <c r="A660" s="54"/>
      <c r="B660" s="54"/>
      <c r="C660" s="54"/>
      <c r="D660" s="54"/>
      <c r="E660" s="55"/>
      <c r="F660" s="57"/>
      <c r="G660" s="57"/>
      <c r="H660" s="54">
        <f t="shared" si="51"/>
        <v>0</v>
      </c>
      <c r="I660" s="58"/>
      <c r="J660" s="54">
        <f t="shared" si="52"/>
        <v>0</v>
      </c>
      <c r="K660" s="57"/>
      <c r="L660" s="54">
        <f t="shared" si="53"/>
        <v>0</v>
      </c>
      <c r="Q660" s="139">
        <f t="shared" si="54"/>
        <v>0</v>
      </c>
    </row>
    <row r="661" spans="1:17" hidden="1" x14ac:dyDescent="0.3">
      <c r="A661" s="54"/>
      <c r="B661" s="54"/>
      <c r="C661" s="54"/>
      <c r="D661" s="54"/>
      <c r="E661" s="55"/>
      <c r="F661" s="57"/>
      <c r="G661" s="57"/>
      <c r="H661" s="54">
        <f t="shared" si="51"/>
        <v>0</v>
      </c>
      <c r="I661" s="58"/>
      <c r="J661" s="54">
        <f t="shared" si="52"/>
        <v>0</v>
      </c>
      <c r="K661" s="57"/>
      <c r="L661" s="54">
        <f t="shared" si="53"/>
        <v>0</v>
      </c>
      <c r="Q661" s="139">
        <f t="shared" si="54"/>
        <v>0</v>
      </c>
    </row>
    <row r="662" spans="1:17" hidden="1" x14ac:dyDescent="0.3">
      <c r="A662" s="54" t="s">
        <v>1424</v>
      </c>
      <c r="B662" s="54"/>
      <c r="C662" s="54"/>
      <c r="D662" s="54"/>
      <c r="E662" s="55" t="s">
        <v>1425</v>
      </c>
      <c r="F662" s="57">
        <v>17740</v>
      </c>
      <c r="G662" s="57">
        <v>8550</v>
      </c>
      <c r="H662" s="54">
        <f t="shared" si="51"/>
        <v>9190</v>
      </c>
      <c r="I662" s="58">
        <v>2.9</v>
      </c>
      <c r="J662" s="54">
        <f t="shared" si="52"/>
        <v>8923.49</v>
      </c>
      <c r="K662" s="57">
        <v>3650</v>
      </c>
      <c r="L662" s="54">
        <f t="shared" si="53"/>
        <v>32570738.5</v>
      </c>
      <c r="P662" s="139">
        <v>31780000</v>
      </c>
      <c r="Q662" s="139">
        <f t="shared" si="54"/>
        <v>790738.5</v>
      </c>
    </row>
    <row r="663" spans="1:17" hidden="1" x14ac:dyDescent="0.3">
      <c r="A663" s="54"/>
      <c r="B663" s="54"/>
      <c r="C663" s="54"/>
      <c r="D663" s="54"/>
      <c r="E663" s="55" t="s">
        <v>1112</v>
      </c>
      <c r="F663" s="57">
        <v>20640</v>
      </c>
      <c r="G663" s="57">
        <v>9580</v>
      </c>
      <c r="H663" s="54">
        <f t="shared" si="51"/>
        <v>11060</v>
      </c>
      <c r="I663" s="58">
        <v>2</v>
      </c>
      <c r="J663" s="54">
        <f t="shared" si="52"/>
        <v>10838.8</v>
      </c>
      <c r="K663" s="57">
        <v>3650</v>
      </c>
      <c r="L663" s="54">
        <f t="shared" si="53"/>
        <v>39561620</v>
      </c>
      <c r="P663" s="139">
        <v>37550000</v>
      </c>
      <c r="Q663" s="139">
        <f t="shared" si="54"/>
        <v>2011620</v>
      </c>
    </row>
    <row r="664" spans="1:17" hidden="1" x14ac:dyDescent="0.3">
      <c r="A664" s="54"/>
      <c r="B664" s="54"/>
      <c r="C664" s="54">
        <v>800000</v>
      </c>
      <c r="D664" s="54" t="s">
        <v>334</v>
      </c>
      <c r="E664" s="55" t="s">
        <v>1426</v>
      </c>
      <c r="F664" s="57">
        <v>19340</v>
      </c>
      <c r="G664" s="57">
        <v>9060</v>
      </c>
      <c r="H664" s="54">
        <f t="shared" si="51"/>
        <v>10280</v>
      </c>
      <c r="I664" s="58">
        <v>2.4</v>
      </c>
      <c r="J664" s="54">
        <f t="shared" si="52"/>
        <v>10033.280000000001</v>
      </c>
      <c r="K664" s="57">
        <v>3380</v>
      </c>
      <c r="L664" s="54">
        <f t="shared" si="53"/>
        <v>33912486.399999999</v>
      </c>
      <c r="P664" s="139">
        <v>32300000</v>
      </c>
      <c r="Q664" s="139">
        <f t="shared" si="54"/>
        <v>1612486.3999999985</v>
      </c>
    </row>
    <row r="665" spans="1:17" hidden="1" x14ac:dyDescent="0.3">
      <c r="A665" s="54"/>
      <c r="B665" s="54"/>
      <c r="C665" s="54"/>
      <c r="D665" s="54"/>
      <c r="E665" s="55"/>
      <c r="F665" s="57"/>
      <c r="G665" s="57"/>
      <c r="H665" s="54">
        <f t="shared" si="51"/>
        <v>0</v>
      </c>
      <c r="I665" s="58"/>
      <c r="J665" s="54">
        <f t="shared" si="52"/>
        <v>0</v>
      </c>
      <c r="K665" s="57"/>
      <c r="L665" s="54">
        <f t="shared" si="53"/>
        <v>0</v>
      </c>
      <c r="Q665" s="139">
        <f t="shared" si="54"/>
        <v>0</v>
      </c>
    </row>
    <row r="666" spans="1:17" hidden="1" x14ac:dyDescent="0.3">
      <c r="A666" s="54"/>
      <c r="B666" s="54"/>
      <c r="C666" s="54"/>
      <c r="D666" s="54"/>
      <c r="E666" s="55"/>
      <c r="F666" s="57"/>
      <c r="G666" s="57"/>
      <c r="H666" s="54">
        <f t="shared" si="51"/>
        <v>0</v>
      </c>
      <c r="I666" s="58"/>
      <c r="J666" s="54">
        <f t="shared" si="52"/>
        <v>0</v>
      </c>
      <c r="K666" s="57"/>
      <c r="L666" s="54">
        <f t="shared" si="53"/>
        <v>0</v>
      </c>
      <c r="Q666" s="139">
        <f t="shared" si="54"/>
        <v>0</v>
      </c>
    </row>
    <row r="667" spans="1:17" hidden="1" x14ac:dyDescent="0.3">
      <c r="A667" s="54"/>
      <c r="B667" s="54"/>
      <c r="C667" s="54"/>
      <c r="D667" s="54"/>
      <c r="E667" s="55"/>
      <c r="F667" s="57"/>
      <c r="G667" s="57"/>
      <c r="H667" s="54">
        <f t="shared" ref="H667:H730" si="55">+F667-G667</f>
        <v>0</v>
      </c>
      <c r="I667" s="58"/>
      <c r="J667" s="54">
        <f t="shared" ref="J667:J730" si="56">+H667-H667*I667/100</f>
        <v>0</v>
      </c>
      <c r="K667" s="57"/>
      <c r="L667" s="54">
        <f t="shared" ref="L667:L730" si="57">+J667*K667</f>
        <v>0</v>
      </c>
      <c r="Q667" s="139">
        <f t="shared" si="54"/>
        <v>0</v>
      </c>
    </row>
    <row r="668" spans="1:17" hidden="1" x14ac:dyDescent="0.3">
      <c r="A668" s="54"/>
      <c r="B668" s="54"/>
      <c r="C668" s="54"/>
      <c r="D668" s="54"/>
      <c r="E668" s="55"/>
      <c r="F668" s="57"/>
      <c r="G668" s="57"/>
      <c r="H668" s="54">
        <f t="shared" si="55"/>
        <v>0</v>
      </c>
      <c r="I668" s="58"/>
      <c r="J668" s="54">
        <f t="shared" si="56"/>
        <v>0</v>
      </c>
      <c r="K668" s="57"/>
      <c r="L668" s="54">
        <f t="shared" si="57"/>
        <v>0</v>
      </c>
      <c r="Q668" s="139">
        <f t="shared" ref="Q668:Q731" si="58">+L668-P668</f>
        <v>0</v>
      </c>
    </row>
    <row r="669" spans="1:17" hidden="1" x14ac:dyDescent="0.3">
      <c r="A669" s="54"/>
      <c r="B669" s="54"/>
      <c r="C669" s="54"/>
      <c r="D669" s="54"/>
      <c r="E669" s="55"/>
      <c r="F669" s="57"/>
      <c r="G669" s="57"/>
      <c r="H669" s="54">
        <f t="shared" si="55"/>
        <v>0</v>
      </c>
      <c r="I669" s="58"/>
      <c r="J669" s="54">
        <f t="shared" si="56"/>
        <v>0</v>
      </c>
      <c r="K669" s="57"/>
      <c r="L669" s="54">
        <f t="shared" si="57"/>
        <v>0</v>
      </c>
      <c r="Q669" s="139">
        <f t="shared" si="58"/>
        <v>0</v>
      </c>
    </row>
    <row r="670" spans="1:17" hidden="1" x14ac:dyDescent="0.3">
      <c r="A670" s="54" t="s">
        <v>1433</v>
      </c>
      <c r="B670" s="54"/>
      <c r="C670" s="54">
        <f>15000*12040</f>
        <v>180600000</v>
      </c>
      <c r="D670" s="54" t="s">
        <v>569</v>
      </c>
      <c r="E670" s="55" t="s">
        <v>1434</v>
      </c>
      <c r="F670" s="57">
        <v>25480</v>
      </c>
      <c r="G670" s="57">
        <v>12980</v>
      </c>
      <c r="H670" s="54">
        <f t="shared" si="55"/>
        <v>12500</v>
      </c>
      <c r="I670" s="58">
        <v>2.1</v>
      </c>
      <c r="J670" s="54">
        <f t="shared" si="56"/>
        <v>12237.5</v>
      </c>
      <c r="K670" s="57">
        <v>3380</v>
      </c>
      <c r="L670" s="54">
        <f t="shared" si="57"/>
        <v>41362750</v>
      </c>
      <c r="P670" s="139">
        <v>40044000</v>
      </c>
      <c r="Q670" s="139">
        <f t="shared" si="58"/>
        <v>1318750</v>
      </c>
    </row>
    <row r="671" spans="1:17" hidden="1" x14ac:dyDescent="0.3">
      <c r="A671" s="54"/>
      <c r="B671" s="54"/>
      <c r="C671" s="54"/>
      <c r="D671" s="54"/>
      <c r="E671" s="55"/>
      <c r="F671" s="57"/>
      <c r="G671" s="57"/>
      <c r="H671" s="54">
        <f t="shared" si="55"/>
        <v>0</v>
      </c>
      <c r="I671" s="58"/>
      <c r="J671" s="54">
        <f t="shared" si="56"/>
        <v>0</v>
      </c>
      <c r="K671" s="57"/>
      <c r="L671" s="54">
        <f t="shared" si="57"/>
        <v>0</v>
      </c>
      <c r="Q671" s="139">
        <f t="shared" si="58"/>
        <v>0</v>
      </c>
    </row>
    <row r="672" spans="1:17" hidden="1" x14ac:dyDescent="0.3">
      <c r="A672" s="54"/>
      <c r="B672" s="54"/>
      <c r="C672" s="54"/>
      <c r="D672" s="54"/>
      <c r="E672" s="55"/>
      <c r="F672" s="57"/>
      <c r="G672" s="57"/>
      <c r="H672" s="54">
        <f t="shared" si="55"/>
        <v>0</v>
      </c>
      <c r="I672" s="58"/>
      <c r="J672" s="54">
        <f t="shared" si="56"/>
        <v>0</v>
      </c>
      <c r="K672" s="57"/>
      <c r="L672" s="54">
        <f t="shared" si="57"/>
        <v>0</v>
      </c>
      <c r="Q672" s="139">
        <f t="shared" si="58"/>
        <v>0</v>
      </c>
    </row>
    <row r="673" spans="1:17" hidden="1" x14ac:dyDescent="0.3">
      <c r="A673" s="54"/>
      <c r="B673" s="54"/>
      <c r="C673" s="54"/>
      <c r="D673" s="54"/>
      <c r="E673" s="55"/>
      <c r="F673" s="57"/>
      <c r="G673" s="57"/>
      <c r="H673" s="54">
        <f t="shared" si="55"/>
        <v>0</v>
      </c>
      <c r="I673" s="58"/>
      <c r="J673" s="54">
        <f t="shared" si="56"/>
        <v>0</v>
      </c>
      <c r="K673" s="57"/>
      <c r="L673" s="54">
        <f t="shared" si="57"/>
        <v>0</v>
      </c>
      <c r="Q673" s="139">
        <f t="shared" si="58"/>
        <v>0</v>
      </c>
    </row>
    <row r="674" spans="1:17" hidden="1" x14ac:dyDescent="0.3">
      <c r="A674" s="54"/>
      <c r="B674" s="54"/>
      <c r="C674" s="54"/>
      <c r="D674" s="54"/>
      <c r="E674" s="55"/>
      <c r="F674" s="57"/>
      <c r="G674" s="57"/>
      <c r="H674" s="54">
        <f t="shared" si="55"/>
        <v>0</v>
      </c>
      <c r="I674" s="58"/>
      <c r="J674" s="54">
        <f t="shared" si="56"/>
        <v>0</v>
      </c>
      <c r="K674" s="57"/>
      <c r="L674" s="54">
        <f t="shared" si="57"/>
        <v>0</v>
      </c>
      <c r="Q674" s="139">
        <f t="shared" si="58"/>
        <v>0</v>
      </c>
    </row>
    <row r="675" spans="1:17" hidden="1" x14ac:dyDescent="0.3">
      <c r="A675" s="54"/>
      <c r="B675" s="54"/>
      <c r="C675" s="54"/>
      <c r="D675" s="54"/>
      <c r="E675" s="55"/>
      <c r="F675" s="57"/>
      <c r="G675" s="57"/>
      <c r="H675" s="54">
        <f t="shared" si="55"/>
        <v>0</v>
      </c>
      <c r="I675" s="58"/>
      <c r="J675" s="54">
        <f t="shared" si="56"/>
        <v>0</v>
      </c>
      <c r="K675" s="57"/>
      <c r="L675" s="54">
        <f t="shared" si="57"/>
        <v>0</v>
      </c>
      <c r="Q675" s="139">
        <f t="shared" si="58"/>
        <v>0</v>
      </c>
    </row>
    <row r="676" spans="1:17" hidden="1" x14ac:dyDescent="0.3">
      <c r="A676" s="54"/>
      <c r="B676" s="54"/>
      <c r="C676" s="54"/>
      <c r="D676" s="54"/>
      <c r="E676" s="55"/>
      <c r="F676" s="57"/>
      <c r="G676" s="57"/>
      <c r="H676" s="54">
        <f t="shared" si="55"/>
        <v>0</v>
      </c>
      <c r="I676" s="58"/>
      <c r="J676" s="54">
        <f t="shared" si="56"/>
        <v>0</v>
      </c>
      <c r="K676" s="57"/>
      <c r="L676" s="54">
        <f t="shared" si="57"/>
        <v>0</v>
      </c>
      <c r="Q676" s="139">
        <f t="shared" si="58"/>
        <v>0</v>
      </c>
    </row>
    <row r="677" spans="1:17" hidden="1" x14ac:dyDescent="0.3">
      <c r="A677" s="54" t="s">
        <v>1437</v>
      </c>
      <c r="B677" s="54"/>
      <c r="C677" s="54">
        <f>7000*12070</f>
        <v>84490000</v>
      </c>
      <c r="D677" s="54" t="s">
        <v>1133</v>
      </c>
      <c r="E677" s="55" t="s">
        <v>1438</v>
      </c>
      <c r="F677" s="57">
        <v>26450</v>
      </c>
      <c r="G677" s="57">
        <v>13900</v>
      </c>
      <c r="H677" s="54">
        <f t="shared" si="55"/>
        <v>12550</v>
      </c>
      <c r="I677" s="58">
        <v>2</v>
      </c>
      <c r="J677" s="54">
        <f t="shared" si="56"/>
        <v>12299</v>
      </c>
      <c r="K677" s="57">
        <v>3650</v>
      </c>
      <c r="L677" s="54">
        <f t="shared" si="57"/>
        <v>44891350</v>
      </c>
      <c r="P677" s="139">
        <v>43215000</v>
      </c>
      <c r="Q677" s="139">
        <f t="shared" si="58"/>
        <v>1676350</v>
      </c>
    </row>
    <row r="678" spans="1:17" hidden="1" x14ac:dyDescent="0.3">
      <c r="A678" s="54"/>
      <c r="B678" s="54"/>
      <c r="C678" s="54"/>
      <c r="D678" s="54"/>
      <c r="E678" s="55"/>
      <c r="F678" s="57"/>
      <c r="G678" s="57"/>
      <c r="H678" s="54">
        <f t="shared" si="55"/>
        <v>0</v>
      </c>
      <c r="I678" s="58"/>
      <c r="J678" s="54">
        <f t="shared" si="56"/>
        <v>0</v>
      </c>
      <c r="K678" s="57"/>
      <c r="L678" s="54">
        <f t="shared" si="57"/>
        <v>0</v>
      </c>
      <c r="Q678" s="139">
        <f t="shared" si="58"/>
        <v>0</v>
      </c>
    </row>
    <row r="679" spans="1:17" hidden="1" x14ac:dyDescent="0.3">
      <c r="A679" s="54"/>
      <c r="B679" s="54"/>
      <c r="C679" s="54"/>
      <c r="D679" s="54"/>
      <c r="E679" s="55"/>
      <c r="F679" s="57"/>
      <c r="G679" s="57"/>
      <c r="H679" s="54">
        <f t="shared" si="55"/>
        <v>0</v>
      </c>
      <c r="I679" s="58"/>
      <c r="J679" s="54">
        <f t="shared" si="56"/>
        <v>0</v>
      </c>
      <c r="K679" s="57"/>
      <c r="L679" s="54">
        <f t="shared" si="57"/>
        <v>0</v>
      </c>
      <c r="Q679" s="139">
        <f t="shared" si="58"/>
        <v>0</v>
      </c>
    </row>
    <row r="680" spans="1:17" hidden="1" x14ac:dyDescent="0.3">
      <c r="A680" s="54" t="s">
        <v>1451</v>
      </c>
      <c r="B680" s="54">
        <v>96725976</v>
      </c>
      <c r="C680" s="54"/>
      <c r="D680" s="54"/>
      <c r="E680" s="55"/>
      <c r="F680" s="57"/>
      <c r="G680" s="57"/>
      <c r="H680" s="54">
        <f t="shared" si="55"/>
        <v>0</v>
      </c>
      <c r="I680" s="58"/>
      <c r="J680" s="54">
        <f t="shared" si="56"/>
        <v>0</v>
      </c>
      <c r="K680" s="57"/>
      <c r="L680" s="54">
        <f t="shared" si="57"/>
        <v>0</v>
      </c>
      <c r="Q680" s="139">
        <f t="shared" si="58"/>
        <v>0</v>
      </c>
    </row>
    <row r="681" spans="1:17" hidden="1" x14ac:dyDescent="0.3">
      <c r="A681" s="54"/>
      <c r="B681" s="54"/>
      <c r="C681" s="54">
        <f>14500*12040</f>
        <v>174580000</v>
      </c>
      <c r="D681" s="54" t="s">
        <v>1452</v>
      </c>
      <c r="E681" s="179" t="s">
        <v>1453</v>
      </c>
      <c r="F681" s="57">
        <v>40750</v>
      </c>
      <c r="G681" s="57">
        <v>19800</v>
      </c>
      <c r="H681" s="54">
        <f t="shared" si="55"/>
        <v>20950</v>
      </c>
      <c r="I681" s="58">
        <v>2</v>
      </c>
      <c r="J681" s="54">
        <f t="shared" si="56"/>
        <v>20531</v>
      </c>
      <c r="K681" s="57">
        <v>3400</v>
      </c>
      <c r="L681" s="54">
        <f t="shared" si="57"/>
        <v>69805400</v>
      </c>
      <c r="P681" s="139">
        <v>69805400</v>
      </c>
      <c r="Q681" s="139">
        <f t="shared" si="58"/>
        <v>0</v>
      </c>
    </row>
    <row r="682" spans="1:17" hidden="1" x14ac:dyDescent="0.3">
      <c r="A682" s="54"/>
      <c r="B682" s="54"/>
      <c r="C682" s="54"/>
      <c r="D682" s="54"/>
      <c r="E682" s="55" t="s">
        <v>1454</v>
      </c>
      <c r="F682" s="57">
        <v>21820</v>
      </c>
      <c r="G682" s="57">
        <v>9610</v>
      </c>
      <c r="H682" s="54">
        <f t="shared" si="55"/>
        <v>12210</v>
      </c>
      <c r="I682" s="58">
        <v>2.85</v>
      </c>
      <c r="J682" s="54">
        <f t="shared" si="56"/>
        <v>11862.014999999999</v>
      </c>
      <c r="K682" s="57">
        <v>3650</v>
      </c>
      <c r="L682" s="54">
        <f t="shared" si="57"/>
        <v>43296354.75</v>
      </c>
      <c r="P682" s="139">
        <v>42240000</v>
      </c>
      <c r="Q682" s="139">
        <f t="shared" si="58"/>
        <v>1056354.75</v>
      </c>
    </row>
    <row r="683" spans="1:17" hidden="1" x14ac:dyDescent="0.3">
      <c r="A683" s="54"/>
      <c r="B683" s="54"/>
      <c r="C683" s="54"/>
      <c r="D683" s="54"/>
      <c r="E683" s="55"/>
      <c r="F683" s="57"/>
      <c r="G683" s="57"/>
      <c r="H683" s="54">
        <f t="shared" si="55"/>
        <v>0</v>
      </c>
      <c r="I683" s="58"/>
      <c r="J683" s="54">
        <f t="shared" si="56"/>
        <v>0</v>
      </c>
      <c r="K683" s="57"/>
      <c r="L683" s="54">
        <f t="shared" si="57"/>
        <v>0</v>
      </c>
      <c r="Q683" s="139">
        <f t="shared" si="58"/>
        <v>0</v>
      </c>
    </row>
    <row r="684" spans="1:17" hidden="1" x14ac:dyDescent="0.3">
      <c r="A684" s="54"/>
      <c r="B684" s="54"/>
      <c r="C684" s="54"/>
      <c r="D684" s="54"/>
      <c r="E684" s="55"/>
      <c r="F684" s="57"/>
      <c r="G684" s="57"/>
      <c r="H684" s="54">
        <f t="shared" si="55"/>
        <v>0</v>
      </c>
      <c r="I684" s="58"/>
      <c r="J684" s="54">
        <f t="shared" si="56"/>
        <v>0</v>
      </c>
      <c r="K684" s="57"/>
      <c r="L684" s="54">
        <f t="shared" si="57"/>
        <v>0</v>
      </c>
      <c r="Q684" s="139">
        <f t="shared" si="58"/>
        <v>0</v>
      </c>
    </row>
    <row r="685" spans="1:17" hidden="1" x14ac:dyDescent="0.3">
      <c r="A685" s="54"/>
      <c r="B685" s="54"/>
      <c r="C685" s="54"/>
      <c r="D685" s="54"/>
      <c r="E685" s="55"/>
      <c r="F685" s="57"/>
      <c r="G685" s="57"/>
      <c r="H685" s="54">
        <f t="shared" si="55"/>
        <v>0</v>
      </c>
      <c r="I685" s="58"/>
      <c r="J685" s="54">
        <f t="shared" si="56"/>
        <v>0</v>
      </c>
      <c r="K685" s="57"/>
      <c r="L685" s="54">
        <f t="shared" si="57"/>
        <v>0</v>
      </c>
      <c r="Q685" s="139">
        <f t="shared" si="58"/>
        <v>0</v>
      </c>
    </row>
    <row r="686" spans="1:17" hidden="1" x14ac:dyDescent="0.3">
      <c r="A686" s="54"/>
      <c r="B686" s="54"/>
      <c r="C686" s="54"/>
      <c r="D686" s="54"/>
      <c r="E686" s="55"/>
      <c r="F686" s="57"/>
      <c r="G686" s="57"/>
      <c r="H686" s="54">
        <f t="shared" si="55"/>
        <v>0</v>
      </c>
      <c r="I686" s="58"/>
      <c r="J686" s="54">
        <f t="shared" si="56"/>
        <v>0</v>
      </c>
      <c r="K686" s="57"/>
      <c r="L686" s="54">
        <f t="shared" si="57"/>
        <v>0</v>
      </c>
      <c r="Q686" s="139">
        <f t="shared" si="58"/>
        <v>0</v>
      </c>
    </row>
    <row r="687" spans="1:17" hidden="1" x14ac:dyDescent="0.3">
      <c r="A687" s="54"/>
      <c r="B687" s="54"/>
      <c r="C687" s="54"/>
      <c r="D687" s="54"/>
      <c r="E687" s="55"/>
      <c r="F687" s="57"/>
      <c r="G687" s="57"/>
      <c r="H687" s="54">
        <f t="shared" si="55"/>
        <v>0</v>
      </c>
      <c r="I687" s="58"/>
      <c r="J687" s="54">
        <f t="shared" si="56"/>
        <v>0</v>
      </c>
      <c r="K687" s="57"/>
      <c r="L687" s="54">
        <f t="shared" si="57"/>
        <v>0</v>
      </c>
      <c r="Q687" s="139">
        <f t="shared" si="58"/>
        <v>0</v>
      </c>
    </row>
    <row r="688" spans="1:17" hidden="1" x14ac:dyDescent="0.3">
      <c r="A688" s="54"/>
      <c r="B688" s="54"/>
      <c r="C688" s="54"/>
      <c r="D688" s="54"/>
      <c r="E688" s="55"/>
      <c r="F688" s="57"/>
      <c r="G688" s="57"/>
      <c r="H688" s="54">
        <f t="shared" si="55"/>
        <v>0</v>
      </c>
      <c r="I688" s="58"/>
      <c r="J688" s="54">
        <f t="shared" si="56"/>
        <v>0</v>
      </c>
      <c r="K688" s="57"/>
      <c r="L688" s="54">
        <f t="shared" si="57"/>
        <v>0</v>
      </c>
      <c r="Q688" s="139">
        <f t="shared" si="58"/>
        <v>0</v>
      </c>
    </row>
    <row r="689" spans="1:17" hidden="1" x14ac:dyDescent="0.3">
      <c r="A689" s="54"/>
      <c r="B689" s="54"/>
      <c r="C689" s="54"/>
      <c r="D689" s="54"/>
      <c r="E689" s="55"/>
      <c r="F689" s="57"/>
      <c r="G689" s="57"/>
      <c r="H689" s="54">
        <f t="shared" si="55"/>
        <v>0</v>
      </c>
      <c r="I689" s="58"/>
      <c r="J689" s="54">
        <f t="shared" si="56"/>
        <v>0</v>
      </c>
      <c r="K689" s="57"/>
      <c r="L689" s="54">
        <f t="shared" si="57"/>
        <v>0</v>
      </c>
      <c r="Q689" s="139">
        <f t="shared" si="58"/>
        <v>0</v>
      </c>
    </row>
    <row r="690" spans="1:17" hidden="1" x14ac:dyDescent="0.3">
      <c r="A690" s="54" t="s">
        <v>1457</v>
      </c>
      <c r="B690" s="54"/>
      <c r="C690" s="54"/>
      <c r="D690" s="54"/>
      <c r="E690" s="55" t="s">
        <v>1336</v>
      </c>
      <c r="F690" s="57">
        <v>17300</v>
      </c>
      <c r="G690" s="57">
        <v>8550</v>
      </c>
      <c r="H690" s="54">
        <f t="shared" si="55"/>
        <v>8750</v>
      </c>
      <c r="I690" s="58">
        <v>3</v>
      </c>
      <c r="J690" s="54">
        <f t="shared" si="56"/>
        <v>8487.5</v>
      </c>
      <c r="K690" s="57">
        <v>3650</v>
      </c>
      <c r="L690" s="54">
        <f t="shared" si="57"/>
        <v>30979375</v>
      </c>
      <c r="P690" s="139">
        <v>30800000</v>
      </c>
      <c r="Q690" s="139">
        <f t="shared" si="58"/>
        <v>179375</v>
      </c>
    </row>
    <row r="691" spans="1:17" hidden="1" x14ac:dyDescent="0.3">
      <c r="A691" s="54"/>
      <c r="B691" s="54"/>
      <c r="C691" s="54"/>
      <c r="D691" s="54"/>
      <c r="E691" s="55"/>
      <c r="F691" s="57"/>
      <c r="G691" s="57"/>
      <c r="H691" s="54">
        <f t="shared" si="55"/>
        <v>0</v>
      </c>
      <c r="I691" s="58"/>
      <c r="J691" s="54">
        <f t="shared" si="56"/>
        <v>0</v>
      </c>
      <c r="K691" s="57"/>
      <c r="L691" s="54">
        <f t="shared" si="57"/>
        <v>0</v>
      </c>
      <c r="Q691" s="139">
        <f t="shared" si="58"/>
        <v>0</v>
      </c>
    </row>
    <row r="692" spans="1:17" hidden="1" x14ac:dyDescent="0.3">
      <c r="A692" s="54" t="s">
        <v>1459</v>
      </c>
      <c r="B692" s="54"/>
      <c r="C692" s="54"/>
      <c r="D692" s="54"/>
      <c r="E692" s="55" t="s">
        <v>1470</v>
      </c>
      <c r="F692" s="57">
        <v>27840</v>
      </c>
      <c r="G692" s="57">
        <v>14040</v>
      </c>
      <c r="H692" s="54">
        <f t="shared" si="55"/>
        <v>13800</v>
      </c>
      <c r="I692" s="58">
        <v>2.4</v>
      </c>
      <c r="J692" s="54">
        <f t="shared" si="56"/>
        <v>13468.8</v>
      </c>
      <c r="K692" s="57">
        <v>3380</v>
      </c>
      <c r="L692" s="54">
        <f t="shared" si="57"/>
        <v>45524544</v>
      </c>
      <c r="P692" s="139">
        <v>43648000</v>
      </c>
      <c r="Q692" s="139">
        <f t="shared" si="58"/>
        <v>1876544</v>
      </c>
    </row>
    <row r="693" spans="1:17" hidden="1" x14ac:dyDescent="0.3">
      <c r="A693" s="54"/>
      <c r="B693" s="54"/>
      <c r="C693" s="54"/>
      <c r="D693" s="54"/>
      <c r="E693" s="55" t="s">
        <v>1460</v>
      </c>
      <c r="F693" s="57">
        <v>26220</v>
      </c>
      <c r="G693" s="57">
        <v>13010</v>
      </c>
      <c r="H693" s="54">
        <f t="shared" si="55"/>
        <v>13210</v>
      </c>
      <c r="I693" s="58">
        <v>3.3</v>
      </c>
      <c r="J693" s="54">
        <f t="shared" si="56"/>
        <v>12774.07</v>
      </c>
      <c r="K693" s="57">
        <v>3650</v>
      </c>
      <c r="L693" s="54">
        <f t="shared" si="57"/>
        <v>46625355.5</v>
      </c>
      <c r="N693" s="206"/>
      <c r="P693" s="139">
        <v>45936000</v>
      </c>
      <c r="Q693" s="139">
        <f t="shared" si="58"/>
        <v>689355.5</v>
      </c>
    </row>
    <row r="694" spans="1:17" hidden="1" x14ac:dyDescent="0.3">
      <c r="A694" s="54"/>
      <c r="B694" s="54"/>
      <c r="C694" s="54"/>
      <c r="D694" s="54"/>
      <c r="E694" s="55" t="s">
        <v>1399</v>
      </c>
      <c r="F694" s="57">
        <v>27440</v>
      </c>
      <c r="G694" s="57">
        <v>12960</v>
      </c>
      <c r="H694" s="54">
        <f t="shared" si="55"/>
        <v>14480</v>
      </c>
      <c r="I694" s="58">
        <v>2</v>
      </c>
      <c r="J694" s="54">
        <f t="shared" si="56"/>
        <v>14190.4</v>
      </c>
      <c r="K694" s="57">
        <v>3380</v>
      </c>
      <c r="L694" s="54">
        <f t="shared" si="57"/>
        <v>47963552</v>
      </c>
      <c r="P694" s="139">
        <v>46446000</v>
      </c>
      <c r="Q694" s="139">
        <f t="shared" si="58"/>
        <v>1517552</v>
      </c>
    </row>
    <row r="695" spans="1:17" hidden="1" x14ac:dyDescent="0.3">
      <c r="A695" s="54"/>
      <c r="B695" s="54"/>
      <c r="C695" s="54"/>
      <c r="D695" s="54"/>
      <c r="E695" s="179" t="s">
        <v>1461</v>
      </c>
      <c r="F695" s="57">
        <v>89180</v>
      </c>
      <c r="G695" s="57">
        <v>29560</v>
      </c>
      <c r="H695" s="54">
        <f t="shared" si="55"/>
        <v>59620</v>
      </c>
      <c r="I695" s="58">
        <v>2</v>
      </c>
      <c r="J695" s="54">
        <f t="shared" si="56"/>
        <v>58427.6</v>
      </c>
      <c r="K695" s="57">
        <v>3620</v>
      </c>
      <c r="L695" s="54">
        <f t="shared" si="57"/>
        <v>211507912</v>
      </c>
      <c r="P695" s="139">
        <v>216403600</v>
      </c>
      <c r="Q695" s="139">
        <f t="shared" si="58"/>
        <v>-4895688</v>
      </c>
    </row>
    <row r="696" spans="1:17" hidden="1" x14ac:dyDescent="0.3">
      <c r="A696" s="54"/>
      <c r="B696" s="54"/>
      <c r="C696" s="54"/>
      <c r="D696" s="54"/>
      <c r="E696" s="55"/>
      <c r="F696" s="57"/>
      <c r="G696" s="57"/>
      <c r="H696" s="54">
        <f t="shared" si="55"/>
        <v>0</v>
      </c>
      <c r="I696" s="58"/>
      <c r="J696" s="54">
        <f t="shared" si="56"/>
        <v>0</v>
      </c>
      <c r="K696" s="57"/>
      <c r="L696" s="54">
        <f t="shared" si="57"/>
        <v>0</v>
      </c>
      <c r="Q696" s="139">
        <f t="shared" si="58"/>
        <v>0</v>
      </c>
    </row>
    <row r="697" spans="1:17" hidden="1" x14ac:dyDescent="0.3">
      <c r="A697" s="54" t="s">
        <v>1466</v>
      </c>
      <c r="B697" s="54"/>
      <c r="C697" s="54">
        <v>120400000</v>
      </c>
      <c r="D697" s="54" t="s">
        <v>1022</v>
      </c>
      <c r="E697" s="55" t="s">
        <v>377</v>
      </c>
      <c r="F697" s="57">
        <v>26450</v>
      </c>
      <c r="G697" s="57">
        <v>14020</v>
      </c>
      <c r="H697" s="54">
        <f t="shared" si="55"/>
        <v>12430</v>
      </c>
      <c r="I697" s="58">
        <v>2.7</v>
      </c>
      <c r="J697" s="54">
        <f t="shared" si="56"/>
        <v>12094.39</v>
      </c>
      <c r="K697" s="57">
        <v>3650</v>
      </c>
      <c r="L697" s="54">
        <f t="shared" si="57"/>
        <v>44144523.5</v>
      </c>
      <c r="P697" s="139">
        <v>43181000</v>
      </c>
      <c r="Q697" s="139">
        <f t="shared" si="58"/>
        <v>963523.5</v>
      </c>
    </row>
    <row r="698" spans="1:17" hidden="1" x14ac:dyDescent="0.3">
      <c r="A698" s="54"/>
      <c r="B698" s="54"/>
      <c r="C698" s="54">
        <v>240000</v>
      </c>
      <c r="D698" s="54" t="s">
        <v>1084</v>
      </c>
      <c r="E698" s="55" t="s">
        <v>1467</v>
      </c>
      <c r="F698" s="57">
        <v>18650</v>
      </c>
      <c r="G698" s="57">
        <v>9590</v>
      </c>
      <c r="H698" s="54">
        <f t="shared" si="55"/>
        <v>9060</v>
      </c>
      <c r="I698" s="58">
        <v>2</v>
      </c>
      <c r="J698" s="54">
        <f t="shared" si="56"/>
        <v>8878.7999999999993</v>
      </c>
      <c r="K698" s="57">
        <v>3380</v>
      </c>
      <c r="L698" s="54">
        <f t="shared" si="57"/>
        <v>30010343.999999996</v>
      </c>
      <c r="P698" s="139">
        <v>29414000</v>
      </c>
      <c r="Q698" s="139">
        <f t="shared" si="58"/>
        <v>596343.99999999627</v>
      </c>
    </row>
    <row r="699" spans="1:17" hidden="1" x14ac:dyDescent="0.3">
      <c r="A699" s="54"/>
      <c r="B699" s="54">
        <v>3660000</v>
      </c>
      <c r="C699" s="54"/>
      <c r="D699" s="54" t="s">
        <v>1416</v>
      </c>
      <c r="E699" s="55"/>
      <c r="F699" s="57"/>
      <c r="G699" s="57"/>
      <c r="H699" s="54">
        <f t="shared" si="55"/>
        <v>0</v>
      </c>
      <c r="I699" s="58"/>
      <c r="J699" s="54">
        <f t="shared" si="56"/>
        <v>0</v>
      </c>
      <c r="K699" s="57"/>
      <c r="L699" s="54">
        <f t="shared" si="57"/>
        <v>0</v>
      </c>
      <c r="Q699" s="139">
        <f t="shared" si="58"/>
        <v>0</v>
      </c>
    </row>
    <row r="700" spans="1:17" hidden="1" x14ac:dyDescent="0.3">
      <c r="A700" s="54"/>
      <c r="B700" s="54"/>
      <c r="C700" s="54"/>
      <c r="D700" s="54"/>
      <c r="E700" s="55"/>
      <c r="F700" s="57"/>
      <c r="G700" s="57"/>
      <c r="H700" s="54">
        <f t="shared" si="55"/>
        <v>0</v>
      </c>
      <c r="I700" s="58"/>
      <c r="J700" s="54">
        <f t="shared" si="56"/>
        <v>0</v>
      </c>
      <c r="K700" s="57"/>
      <c r="L700" s="54">
        <f t="shared" si="57"/>
        <v>0</v>
      </c>
      <c r="Q700" s="139">
        <f t="shared" si="58"/>
        <v>0</v>
      </c>
    </row>
    <row r="701" spans="1:17" hidden="1" x14ac:dyDescent="0.3">
      <c r="A701" s="54" t="s">
        <v>1471</v>
      </c>
      <c r="B701" s="54"/>
      <c r="C701" s="54">
        <v>120500000</v>
      </c>
      <c r="D701" s="54" t="s">
        <v>1474</v>
      </c>
      <c r="E701" s="55" t="s">
        <v>1473</v>
      </c>
      <c r="F701" s="57">
        <v>20680</v>
      </c>
      <c r="G701" s="57">
        <v>9560</v>
      </c>
      <c r="H701" s="54">
        <f t="shared" si="55"/>
        <v>11120</v>
      </c>
      <c r="I701" s="58">
        <v>2.4</v>
      </c>
      <c r="J701" s="54">
        <f t="shared" si="56"/>
        <v>10853.12</v>
      </c>
      <c r="K701" s="57">
        <v>3630</v>
      </c>
      <c r="L701" s="54">
        <f t="shared" si="57"/>
        <v>39396825.600000001</v>
      </c>
      <c r="P701" s="139">
        <v>38528576</v>
      </c>
      <c r="Q701" s="139">
        <f t="shared" si="58"/>
        <v>868249.60000000149</v>
      </c>
    </row>
    <row r="702" spans="1:17" hidden="1" x14ac:dyDescent="0.3">
      <c r="A702" s="54"/>
      <c r="B702" s="54"/>
      <c r="C702" s="54">
        <f>9100*12050</f>
        <v>109655000</v>
      </c>
      <c r="D702" s="54" t="s">
        <v>1475</v>
      </c>
      <c r="E702" s="55" t="s">
        <v>1472</v>
      </c>
      <c r="F702" s="57">
        <v>20040</v>
      </c>
      <c r="G702" s="57">
        <v>9870</v>
      </c>
      <c r="H702" s="54">
        <f t="shared" si="55"/>
        <v>10170</v>
      </c>
      <c r="I702" s="58">
        <v>2</v>
      </c>
      <c r="J702" s="54">
        <f t="shared" si="56"/>
        <v>9966.6</v>
      </c>
      <c r="K702" s="57">
        <v>3650</v>
      </c>
      <c r="L702" s="54">
        <f t="shared" si="57"/>
        <v>36378090</v>
      </c>
      <c r="P702" s="139">
        <v>35020000</v>
      </c>
      <c r="Q702" s="139">
        <f t="shared" si="58"/>
        <v>1358090</v>
      </c>
    </row>
    <row r="703" spans="1:17" hidden="1" x14ac:dyDescent="0.3">
      <c r="A703" s="54"/>
      <c r="B703" s="54"/>
      <c r="C703" s="54"/>
      <c r="D703" s="54"/>
      <c r="E703" s="55" t="s">
        <v>437</v>
      </c>
      <c r="F703" s="57"/>
      <c r="G703" s="57"/>
      <c r="H703" s="54">
        <f t="shared" si="55"/>
        <v>0</v>
      </c>
      <c r="I703" s="58"/>
      <c r="J703" s="54">
        <f t="shared" si="56"/>
        <v>0</v>
      </c>
      <c r="K703" s="57"/>
      <c r="L703" s="54">
        <f t="shared" si="57"/>
        <v>0</v>
      </c>
      <c r="Q703" s="139">
        <f t="shared" si="58"/>
        <v>0</v>
      </c>
    </row>
    <row r="704" spans="1:17" hidden="1" x14ac:dyDescent="0.3">
      <c r="A704" s="54" t="s">
        <v>1476</v>
      </c>
      <c r="B704" s="54">
        <v>500000</v>
      </c>
      <c r="C704" s="210" t="s">
        <v>831</v>
      </c>
      <c r="D704" s="54" t="s">
        <v>1477</v>
      </c>
      <c r="E704" s="55" t="s">
        <v>1478</v>
      </c>
      <c r="F704" s="57">
        <v>35490</v>
      </c>
      <c r="G704" s="57">
        <v>13610</v>
      </c>
      <c r="H704" s="54">
        <f t="shared" si="55"/>
        <v>21880</v>
      </c>
      <c r="I704" s="58">
        <v>1</v>
      </c>
      <c r="J704" s="54">
        <f t="shared" si="56"/>
        <v>21661.200000000001</v>
      </c>
      <c r="K704" s="57">
        <v>3700</v>
      </c>
      <c r="L704" s="54">
        <f t="shared" si="57"/>
        <v>80146440</v>
      </c>
      <c r="P704" s="139">
        <v>80146440</v>
      </c>
      <c r="Q704" s="139">
        <f t="shared" si="58"/>
        <v>0</v>
      </c>
    </row>
    <row r="705" spans="1:17" hidden="1" x14ac:dyDescent="0.3">
      <c r="A705" s="54"/>
      <c r="B705" s="54"/>
      <c r="C705" s="54"/>
      <c r="D705" s="54" t="s">
        <v>1480</v>
      </c>
      <c r="E705" s="55" t="s">
        <v>1481</v>
      </c>
      <c r="F705" s="57">
        <v>33800</v>
      </c>
      <c r="G705" s="57">
        <v>14840</v>
      </c>
      <c r="H705" s="54">
        <f t="shared" si="55"/>
        <v>18960</v>
      </c>
      <c r="I705" s="58">
        <v>1</v>
      </c>
      <c r="J705" s="54">
        <f t="shared" si="56"/>
        <v>18770.400000000001</v>
      </c>
      <c r="K705" s="57">
        <v>3700</v>
      </c>
      <c r="L705" s="54">
        <f t="shared" si="57"/>
        <v>69450480</v>
      </c>
      <c r="P705" s="139">
        <v>69450480</v>
      </c>
      <c r="Q705" s="139">
        <f t="shared" si="58"/>
        <v>0</v>
      </c>
    </row>
    <row r="706" spans="1:17" hidden="1" x14ac:dyDescent="0.3">
      <c r="A706" s="54"/>
      <c r="B706" s="54"/>
      <c r="C706" s="54"/>
      <c r="D706" s="210" t="s">
        <v>831</v>
      </c>
      <c r="E706" s="55" t="s">
        <v>1483</v>
      </c>
      <c r="F706" s="57">
        <v>27660</v>
      </c>
      <c r="G706" s="57">
        <v>13100</v>
      </c>
      <c r="H706" s="54">
        <f t="shared" si="55"/>
        <v>14560</v>
      </c>
      <c r="I706" s="58">
        <v>2</v>
      </c>
      <c r="J706" s="54">
        <f t="shared" si="56"/>
        <v>14268.8</v>
      </c>
      <c r="K706" s="57">
        <v>3400</v>
      </c>
      <c r="L706" s="54">
        <f t="shared" si="57"/>
        <v>48513920</v>
      </c>
      <c r="P706" s="139">
        <v>49413560</v>
      </c>
      <c r="Q706" s="139">
        <f t="shared" si="58"/>
        <v>-899640</v>
      </c>
    </row>
    <row r="707" spans="1:17" hidden="1" x14ac:dyDescent="0.3">
      <c r="A707" s="54"/>
      <c r="B707" s="54"/>
      <c r="C707" s="54"/>
      <c r="D707" s="210" t="s">
        <v>831</v>
      </c>
      <c r="E707" s="55" t="s">
        <v>1482</v>
      </c>
      <c r="F707" s="57">
        <v>21400</v>
      </c>
      <c r="G707" s="57">
        <v>9140</v>
      </c>
      <c r="H707" s="54">
        <f t="shared" si="55"/>
        <v>12260</v>
      </c>
      <c r="I707" s="58">
        <v>2</v>
      </c>
      <c r="J707" s="54">
        <f t="shared" si="56"/>
        <v>12014.8</v>
      </c>
      <c r="K707" s="57">
        <v>3400</v>
      </c>
      <c r="L707" s="54">
        <f t="shared" si="57"/>
        <v>40850320</v>
      </c>
      <c r="P707" s="139">
        <v>40883640</v>
      </c>
      <c r="Q707" s="139">
        <f t="shared" si="58"/>
        <v>-33320</v>
      </c>
    </row>
    <row r="708" spans="1:17" hidden="1" x14ac:dyDescent="0.3">
      <c r="A708" s="54"/>
      <c r="B708" s="54"/>
      <c r="C708" s="54"/>
      <c r="D708" s="54"/>
      <c r="E708" s="55" t="s">
        <v>1506</v>
      </c>
      <c r="F708" s="57">
        <v>14920</v>
      </c>
      <c r="G708" s="57">
        <v>12820</v>
      </c>
      <c r="H708" s="54">
        <f t="shared" si="55"/>
        <v>2100</v>
      </c>
      <c r="I708" s="58">
        <v>3</v>
      </c>
      <c r="J708" s="54">
        <f t="shared" si="56"/>
        <v>2037</v>
      </c>
      <c r="K708" s="57">
        <v>3380</v>
      </c>
      <c r="L708" s="54">
        <f t="shared" si="57"/>
        <v>6885060</v>
      </c>
      <c r="P708" s="139">
        <v>6885060</v>
      </c>
      <c r="Q708" s="139">
        <f t="shared" si="58"/>
        <v>0</v>
      </c>
    </row>
    <row r="709" spans="1:17" hidden="1" x14ac:dyDescent="0.3">
      <c r="A709" s="54"/>
      <c r="B709" s="54"/>
      <c r="C709" s="54"/>
      <c r="D709" s="54"/>
      <c r="E709" s="55"/>
      <c r="F709" s="57"/>
      <c r="G709" s="57"/>
      <c r="H709" s="54">
        <f t="shared" si="55"/>
        <v>0</v>
      </c>
      <c r="I709" s="58"/>
      <c r="J709" s="54">
        <f t="shared" si="56"/>
        <v>0</v>
      </c>
      <c r="K709" s="57"/>
      <c r="L709" s="54">
        <f t="shared" si="57"/>
        <v>0</v>
      </c>
      <c r="Q709" s="139">
        <f t="shared" si="58"/>
        <v>0</v>
      </c>
    </row>
    <row r="710" spans="1:17" hidden="1" x14ac:dyDescent="0.3">
      <c r="A710" s="54"/>
      <c r="B710" s="54"/>
      <c r="C710" s="180">
        <v>83880700</v>
      </c>
      <c r="D710" s="180" t="s">
        <v>131</v>
      </c>
      <c r="E710" s="55"/>
      <c r="F710" s="57"/>
      <c r="G710" s="57"/>
      <c r="H710" s="54">
        <f t="shared" si="55"/>
        <v>0</v>
      </c>
      <c r="I710" s="58"/>
      <c r="J710" s="54">
        <f t="shared" si="56"/>
        <v>0</v>
      </c>
      <c r="K710" s="57"/>
      <c r="L710" s="54">
        <f t="shared" si="57"/>
        <v>0</v>
      </c>
      <c r="Q710" s="139">
        <f t="shared" si="58"/>
        <v>0</v>
      </c>
    </row>
    <row r="711" spans="1:17" hidden="1" x14ac:dyDescent="0.3">
      <c r="A711" s="54"/>
      <c r="B711" s="54"/>
      <c r="C711" s="180">
        <v>6000000</v>
      </c>
      <c r="D711" s="180" t="s">
        <v>1486</v>
      </c>
      <c r="E711" s="55"/>
      <c r="F711" s="57"/>
      <c r="G711" s="57"/>
      <c r="H711" s="54">
        <f t="shared" si="55"/>
        <v>0</v>
      </c>
      <c r="I711" s="58"/>
      <c r="J711" s="54">
        <f t="shared" si="56"/>
        <v>0</v>
      </c>
      <c r="K711" s="57"/>
      <c r="L711" s="54">
        <f t="shared" si="57"/>
        <v>0</v>
      </c>
      <c r="Q711" s="139">
        <f t="shared" si="58"/>
        <v>0</v>
      </c>
    </row>
    <row r="712" spans="1:17" hidden="1" x14ac:dyDescent="0.3">
      <c r="A712" s="54"/>
      <c r="B712" s="54"/>
      <c r="C712" s="180">
        <v>11743000</v>
      </c>
      <c r="D712" s="180" t="s">
        <v>1487</v>
      </c>
      <c r="E712" s="55"/>
      <c r="F712" s="57"/>
      <c r="G712" s="57"/>
      <c r="H712" s="54">
        <f t="shared" si="55"/>
        <v>0</v>
      </c>
      <c r="I712" s="58"/>
      <c r="J712" s="54">
        <f t="shared" si="56"/>
        <v>0</v>
      </c>
      <c r="K712" s="57"/>
      <c r="L712" s="54">
        <f t="shared" si="57"/>
        <v>0</v>
      </c>
      <c r="Q712" s="139">
        <f t="shared" si="58"/>
        <v>0</v>
      </c>
    </row>
    <row r="713" spans="1:17" hidden="1" x14ac:dyDescent="0.3">
      <c r="A713" s="54"/>
      <c r="B713" s="54">
        <v>4500000</v>
      </c>
      <c r="C713" s="180"/>
      <c r="D713" s="180" t="s">
        <v>1488</v>
      </c>
      <c r="E713" s="55"/>
      <c r="F713" s="57"/>
      <c r="G713" s="57"/>
      <c r="H713" s="54">
        <f t="shared" si="55"/>
        <v>0</v>
      </c>
      <c r="I713" s="58"/>
      <c r="J713" s="54">
        <f t="shared" si="56"/>
        <v>0</v>
      </c>
      <c r="K713" s="57"/>
      <c r="L713" s="54">
        <f t="shared" si="57"/>
        <v>0</v>
      </c>
      <c r="Q713" s="139">
        <f t="shared" si="58"/>
        <v>0</v>
      </c>
    </row>
    <row r="714" spans="1:17" hidden="1" x14ac:dyDescent="0.3">
      <c r="A714" s="54"/>
      <c r="B714" s="54"/>
      <c r="C714" s="180">
        <v>5300000</v>
      </c>
      <c r="D714" s="180" t="s">
        <v>130</v>
      </c>
      <c r="E714" s="55"/>
      <c r="F714" s="57"/>
      <c r="G714" s="57"/>
      <c r="H714" s="54">
        <f t="shared" si="55"/>
        <v>0</v>
      </c>
      <c r="I714" s="58"/>
      <c r="J714" s="54">
        <f t="shared" si="56"/>
        <v>0</v>
      </c>
      <c r="K714" s="57"/>
      <c r="L714" s="54">
        <f t="shared" si="57"/>
        <v>0</v>
      </c>
      <c r="Q714" s="139">
        <f t="shared" si="58"/>
        <v>0</v>
      </c>
    </row>
    <row r="715" spans="1:17" hidden="1" x14ac:dyDescent="0.3">
      <c r="A715" s="54"/>
      <c r="B715" s="54"/>
      <c r="C715" s="54"/>
      <c r="D715" s="54"/>
      <c r="E715" s="55"/>
      <c r="F715" s="57"/>
      <c r="G715" s="57"/>
      <c r="H715" s="54">
        <f t="shared" si="55"/>
        <v>0</v>
      </c>
      <c r="I715" s="58"/>
      <c r="J715" s="54">
        <f t="shared" si="56"/>
        <v>0</v>
      </c>
      <c r="K715" s="57"/>
      <c r="L715" s="54">
        <f t="shared" si="57"/>
        <v>0</v>
      </c>
      <c r="Q715" s="139">
        <f t="shared" si="58"/>
        <v>0</v>
      </c>
    </row>
    <row r="716" spans="1:17" hidden="1" x14ac:dyDescent="0.3">
      <c r="A716" s="54"/>
      <c r="B716" s="54"/>
      <c r="C716" s="54"/>
      <c r="D716" s="54"/>
      <c r="E716" s="55"/>
      <c r="F716" s="57"/>
      <c r="G716" s="57"/>
      <c r="H716" s="54">
        <f t="shared" si="55"/>
        <v>0</v>
      </c>
      <c r="I716" s="58"/>
      <c r="J716" s="54">
        <f t="shared" si="56"/>
        <v>0</v>
      </c>
      <c r="K716" s="57"/>
      <c r="L716" s="54">
        <f t="shared" si="57"/>
        <v>0</v>
      </c>
      <c r="Q716" s="139">
        <f t="shared" si="58"/>
        <v>0</v>
      </c>
    </row>
    <row r="717" spans="1:17" hidden="1" x14ac:dyDescent="0.3">
      <c r="A717" s="54" t="s">
        <v>1494</v>
      </c>
      <c r="B717" s="54"/>
      <c r="C717" s="54"/>
      <c r="D717" s="54"/>
      <c r="E717" s="55" t="s">
        <v>1039</v>
      </c>
      <c r="F717" s="57">
        <v>17680</v>
      </c>
      <c r="G717" s="57">
        <v>8540</v>
      </c>
      <c r="H717" s="54">
        <f t="shared" si="55"/>
        <v>9140</v>
      </c>
      <c r="I717" s="58">
        <v>1.7</v>
      </c>
      <c r="J717" s="54">
        <f t="shared" si="56"/>
        <v>8984.6200000000008</v>
      </c>
      <c r="K717" s="57">
        <v>3650</v>
      </c>
      <c r="L717" s="54">
        <f t="shared" si="57"/>
        <v>32793863.000000004</v>
      </c>
      <c r="P717" s="139">
        <v>31645000</v>
      </c>
      <c r="Q717" s="139">
        <f t="shared" si="58"/>
        <v>1148863.0000000037</v>
      </c>
    </row>
    <row r="718" spans="1:17" hidden="1" x14ac:dyDescent="0.3">
      <c r="A718" s="54"/>
      <c r="B718" s="54"/>
      <c r="C718" s="54"/>
      <c r="D718" s="54"/>
      <c r="E718" s="55" t="s">
        <v>1121</v>
      </c>
      <c r="F718" s="57">
        <v>22840</v>
      </c>
      <c r="G718" s="57">
        <v>13040</v>
      </c>
      <c r="H718" s="54">
        <f t="shared" si="55"/>
        <v>9800</v>
      </c>
      <c r="I718" s="58">
        <v>2.1</v>
      </c>
      <c r="J718" s="54">
        <f t="shared" si="56"/>
        <v>9594.2000000000007</v>
      </c>
      <c r="K718" s="57">
        <v>3380</v>
      </c>
      <c r="L718" s="54">
        <f t="shared" si="57"/>
        <v>32428396.000000004</v>
      </c>
      <c r="M718" t="s">
        <v>109</v>
      </c>
      <c r="P718" s="139">
        <v>31593000</v>
      </c>
      <c r="Q718" s="139">
        <f t="shared" si="58"/>
        <v>835396.00000000373</v>
      </c>
    </row>
    <row r="719" spans="1:17" hidden="1" x14ac:dyDescent="0.3">
      <c r="A719" s="54"/>
      <c r="B719" s="54"/>
      <c r="C719" s="54">
        <v>120000000</v>
      </c>
      <c r="D719" s="54" t="s">
        <v>610</v>
      </c>
      <c r="E719" s="55" t="s">
        <v>1399</v>
      </c>
      <c r="F719" s="57">
        <v>26220</v>
      </c>
      <c r="G719" s="57">
        <v>12940</v>
      </c>
      <c r="H719" s="54">
        <f t="shared" si="55"/>
        <v>13280</v>
      </c>
      <c r="I719" s="58">
        <v>2.1</v>
      </c>
      <c r="J719" s="54">
        <f t="shared" si="56"/>
        <v>13001.12</v>
      </c>
      <c r="K719" s="57">
        <v>3380</v>
      </c>
      <c r="L719" s="54">
        <f t="shared" si="57"/>
        <v>43943785.600000001</v>
      </c>
      <c r="P719" s="139">
        <v>42413000</v>
      </c>
      <c r="Q719" s="139">
        <f t="shared" si="58"/>
        <v>1530785.6000000015</v>
      </c>
    </row>
    <row r="720" spans="1:17" hidden="1" x14ac:dyDescent="0.3">
      <c r="A720" s="54"/>
      <c r="B720" s="54"/>
      <c r="C720" s="54"/>
      <c r="D720" s="54"/>
      <c r="E720" s="55"/>
      <c r="F720" s="57"/>
      <c r="G720" s="57"/>
      <c r="H720" s="54">
        <f t="shared" si="55"/>
        <v>0</v>
      </c>
      <c r="I720" s="58"/>
      <c r="J720" s="54">
        <f t="shared" si="56"/>
        <v>0</v>
      </c>
      <c r="K720" s="57"/>
      <c r="L720" s="54">
        <f t="shared" si="57"/>
        <v>0</v>
      </c>
      <c r="Q720" s="139">
        <f t="shared" si="58"/>
        <v>0</v>
      </c>
    </row>
    <row r="721" spans="1:17" hidden="1" x14ac:dyDescent="0.3">
      <c r="A721" s="54"/>
      <c r="B721" s="54"/>
      <c r="C721" s="54"/>
      <c r="D721" s="54"/>
      <c r="E721" s="55"/>
      <c r="F721" s="57"/>
      <c r="G721" s="57"/>
      <c r="H721" s="54">
        <f t="shared" si="55"/>
        <v>0</v>
      </c>
      <c r="I721" s="58"/>
      <c r="J721" s="54">
        <f t="shared" si="56"/>
        <v>0</v>
      </c>
      <c r="K721" s="57"/>
      <c r="L721" s="54">
        <f t="shared" si="57"/>
        <v>0</v>
      </c>
      <c r="Q721" s="139">
        <f t="shared" si="58"/>
        <v>0</v>
      </c>
    </row>
    <row r="722" spans="1:17" hidden="1" x14ac:dyDescent="0.3">
      <c r="A722" s="54" t="s">
        <v>1499</v>
      </c>
      <c r="B722" s="54"/>
      <c r="C722" s="177"/>
      <c r="D722" s="177"/>
      <c r="E722" s="55" t="s">
        <v>1148</v>
      </c>
      <c r="F722" s="57">
        <v>26700</v>
      </c>
      <c r="G722" s="57">
        <v>14490</v>
      </c>
      <c r="H722" s="54">
        <f t="shared" si="55"/>
        <v>12210</v>
      </c>
      <c r="I722" s="58">
        <v>2.75</v>
      </c>
      <c r="J722" s="54">
        <f t="shared" si="56"/>
        <v>11874.225</v>
      </c>
      <c r="K722" s="57">
        <v>3700</v>
      </c>
      <c r="L722" s="54">
        <f t="shared" si="57"/>
        <v>43934632.5</v>
      </c>
      <c r="P722" s="139">
        <v>42637000</v>
      </c>
      <c r="Q722" s="139">
        <f t="shared" si="58"/>
        <v>1297632.5</v>
      </c>
    </row>
    <row r="723" spans="1:17" hidden="1" x14ac:dyDescent="0.3">
      <c r="A723" s="54"/>
      <c r="B723" s="54"/>
      <c r="C723" s="54"/>
      <c r="D723" s="54" t="s">
        <v>1500</v>
      </c>
      <c r="E723" s="55" t="s">
        <v>1501</v>
      </c>
      <c r="F723" s="57">
        <v>24405</v>
      </c>
      <c r="G723" s="57">
        <v>10040</v>
      </c>
      <c r="H723" s="54">
        <f t="shared" si="55"/>
        <v>14365</v>
      </c>
      <c r="I723" s="58">
        <v>3</v>
      </c>
      <c r="J723" s="54">
        <f t="shared" si="56"/>
        <v>13934.05</v>
      </c>
      <c r="K723" s="57">
        <v>3600</v>
      </c>
      <c r="L723" s="54">
        <f t="shared" si="57"/>
        <v>50162580</v>
      </c>
      <c r="P723" s="139">
        <v>50162000</v>
      </c>
      <c r="Q723" s="139">
        <f t="shared" si="58"/>
        <v>580</v>
      </c>
    </row>
    <row r="724" spans="1:17" hidden="1" x14ac:dyDescent="0.3">
      <c r="A724" s="54"/>
      <c r="B724" s="54"/>
      <c r="C724" s="54"/>
      <c r="D724" s="54" t="s">
        <v>1500</v>
      </c>
      <c r="E724" s="55" t="s">
        <v>1502</v>
      </c>
      <c r="F724" s="57">
        <v>26790</v>
      </c>
      <c r="G724" s="57">
        <v>9880</v>
      </c>
      <c r="H724" s="54">
        <f t="shared" si="55"/>
        <v>16910</v>
      </c>
      <c r="I724" s="58">
        <v>2</v>
      </c>
      <c r="J724" s="54">
        <f t="shared" si="56"/>
        <v>16571.8</v>
      </c>
      <c r="K724" s="57">
        <v>3700</v>
      </c>
      <c r="L724" s="54">
        <f t="shared" si="57"/>
        <v>61315660</v>
      </c>
      <c r="P724" s="139">
        <v>61315660</v>
      </c>
      <c r="Q724" s="139">
        <f t="shared" si="58"/>
        <v>0</v>
      </c>
    </row>
    <row r="725" spans="1:17" hidden="1" x14ac:dyDescent="0.3">
      <c r="A725" s="54"/>
      <c r="B725" s="54"/>
      <c r="C725" s="180">
        <v>185000</v>
      </c>
      <c r="D725" s="180" t="s">
        <v>1503</v>
      </c>
      <c r="E725" s="55" t="s">
        <v>1504</v>
      </c>
      <c r="F725" s="57">
        <v>28780</v>
      </c>
      <c r="G725" s="57">
        <v>13670</v>
      </c>
      <c r="H725" s="54">
        <f t="shared" si="55"/>
        <v>15110</v>
      </c>
      <c r="I725" s="58">
        <v>2.85</v>
      </c>
      <c r="J725" s="54">
        <f t="shared" si="56"/>
        <v>14679.365</v>
      </c>
      <c r="K725" s="57">
        <v>3650</v>
      </c>
      <c r="L725" s="54">
        <f t="shared" si="57"/>
        <v>53579682.25</v>
      </c>
      <c r="P725" s="139">
        <v>50755000</v>
      </c>
      <c r="Q725" s="139">
        <f t="shared" si="58"/>
        <v>2824682.25</v>
      </c>
    </row>
    <row r="726" spans="1:17" hidden="1" x14ac:dyDescent="0.3">
      <c r="A726" s="54"/>
      <c r="B726" s="54"/>
      <c r="C726" s="54"/>
      <c r="D726" s="54"/>
      <c r="E726" s="55" t="s">
        <v>1505</v>
      </c>
      <c r="F726" s="57">
        <v>24860</v>
      </c>
      <c r="G726" s="57">
        <v>12450</v>
      </c>
      <c r="H726" s="54">
        <f t="shared" si="55"/>
        <v>12410</v>
      </c>
      <c r="I726" s="58">
        <v>2.9</v>
      </c>
      <c r="J726" s="54">
        <f t="shared" si="56"/>
        <v>12050.11</v>
      </c>
      <c r="K726" s="57">
        <v>3650</v>
      </c>
      <c r="L726" s="54">
        <f t="shared" si="57"/>
        <v>43982901.5</v>
      </c>
      <c r="P726" s="139">
        <v>43457000</v>
      </c>
      <c r="Q726" s="139">
        <f t="shared" si="58"/>
        <v>525901.5</v>
      </c>
    </row>
    <row r="727" spans="1:17" hidden="1" x14ac:dyDescent="0.3">
      <c r="A727" s="54"/>
      <c r="B727" s="54"/>
      <c r="C727" s="54">
        <v>250000</v>
      </c>
      <c r="D727" s="54" t="s">
        <v>125</v>
      </c>
      <c r="E727" s="55"/>
      <c r="F727" s="57"/>
      <c r="G727" s="57"/>
      <c r="H727" s="54">
        <f t="shared" si="55"/>
        <v>0</v>
      </c>
      <c r="I727" s="58"/>
      <c r="J727" s="54">
        <f t="shared" si="56"/>
        <v>0</v>
      </c>
      <c r="K727" s="57"/>
      <c r="L727" s="54">
        <f t="shared" si="57"/>
        <v>0</v>
      </c>
      <c r="Q727" s="139">
        <f t="shared" si="58"/>
        <v>0</v>
      </c>
    </row>
    <row r="728" spans="1:17" hidden="1" x14ac:dyDescent="0.3">
      <c r="A728" s="54"/>
      <c r="B728" s="54"/>
      <c r="C728" s="54"/>
      <c r="D728" s="54"/>
      <c r="E728" s="55"/>
      <c r="F728" s="57"/>
      <c r="G728" s="57"/>
      <c r="H728" s="54">
        <f t="shared" si="55"/>
        <v>0</v>
      </c>
      <c r="I728" s="58"/>
      <c r="J728" s="54">
        <f t="shared" si="56"/>
        <v>0</v>
      </c>
      <c r="K728" s="57"/>
      <c r="L728" s="54">
        <f t="shared" si="57"/>
        <v>0</v>
      </c>
      <c r="Q728" s="139">
        <f t="shared" si="58"/>
        <v>0</v>
      </c>
    </row>
    <row r="729" spans="1:17" hidden="1" x14ac:dyDescent="0.3">
      <c r="A729" s="54" t="s">
        <v>1507</v>
      </c>
      <c r="B729" s="54"/>
      <c r="C729" s="54"/>
      <c r="D729" s="54"/>
      <c r="E729" s="55" t="s">
        <v>1510</v>
      </c>
      <c r="F729" s="57">
        <v>19730</v>
      </c>
      <c r="G729" s="57">
        <v>9400</v>
      </c>
      <c r="H729" s="54">
        <f t="shared" si="55"/>
        <v>10330</v>
      </c>
      <c r="I729" s="58">
        <v>2</v>
      </c>
      <c r="J729" s="54">
        <f t="shared" si="56"/>
        <v>10123.4</v>
      </c>
      <c r="K729" s="57">
        <v>3700</v>
      </c>
      <c r="L729" s="54">
        <f t="shared" si="57"/>
        <v>37456580</v>
      </c>
      <c r="P729" s="139">
        <v>36444000</v>
      </c>
      <c r="Q729" s="139">
        <f t="shared" si="58"/>
        <v>1012580</v>
      </c>
    </row>
    <row r="730" spans="1:17" hidden="1" x14ac:dyDescent="0.3">
      <c r="A730" s="54"/>
      <c r="B730" s="54"/>
      <c r="C730" s="54"/>
      <c r="D730" s="180" t="s">
        <v>1511</v>
      </c>
      <c r="E730" s="55" t="s">
        <v>1509</v>
      </c>
      <c r="F730" s="57">
        <v>29190</v>
      </c>
      <c r="G730" s="57">
        <v>14160</v>
      </c>
      <c r="H730" s="54">
        <f t="shared" si="55"/>
        <v>15030</v>
      </c>
      <c r="I730" s="58">
        <v>2.85</v>
      </c>
      <c r="J730" s="54">
        <f t="shared" si="56"/>
        <v>14601.645</v>
      </c>
      <c r="K730" s="57">
        <v>3650</v>
      </c>
      <c r="L730" s="54">
        <f t="shared" si="57"/>
        <v>53296004.25</v>
      </c>
      <c r="P730" s="139">
        <v>53296004</v>
      </c>
      <c r="Q730" s="139">
        <f t="shared" si="58"/>
        <v>0.25</v>
      </c>
    </row>
    <row r="731" spans="1:17" hidden="1" x14ac:dyDescent="0.3">
      <c r="A731" s="54"/>
      <c r="B731" s="54"/>
      <c r="C731" s="54">
        <f>12450*12010</f>
        <v>149524500</v>
      </c>
      <c r="D731" s="54" t="s">
        <v>1512</v>
      </c>
      <c r="E731" s="55"/>
      <c r="F731" s="57"/>
      <c r="G731" s="57"/>
      <c r="H731" s="54">
        <f t="shared" ref="H731:H794" si="59">+F731-G731</f>
        <v>0</v>
      </c>
      <c r="I731" s="58"/>
      <c r="J731" s="54">
        <f t="shared" ref="J731:J794" si="60">+H731-H731*I731/100</f>
        <v>0</v>
      </c>
      <c r="K731" s="57"/>
      <c r="L731" s="54">
        <f t="shared" ref="L731:L794" si="61">+J731*K731</f>
        <v>0</v>
      </c>
      <c r="Q731" s="139">
        <f t="shared" si="58"/>
        <v>0</v>
      </c>
    </row>
    <row r="732" spans="1:17" hidden="1" x14ac:dyDescent="0.3">
      <c r="A732" s="54" t="s">
        <v>1513</v>
      </c>
      <c r="B732" s="54"/>
      <c r="C732" s="54">
        <f>35000*12000</f>
        <v>420000000</v>
      </c>
      <c r="D732" s="54" t="s">
        <v>1514</v>
      </c>
      <c r="E732" s="55" t="s">
        <v>1515</v>
      </c>
      <c r="F732" s="57">
        <v>19840</v>
      </c>
      <c r="G732" s="57">
        <v>9500</v>
      </c>
      <c r="H732" s="54">
        <f t="shared" si="59"/>
        <v>10340</v>
      </c>
      <c r="I732" s="58">
        <v>3.3</v>
      </c>
      <c r="J732" s="54">
        <f t="shared" si="60"/>
        <v>9998.7800000000007</v>
      </c>
      <c r="K732" s="57">
        <v>3650</v>
      </c>
      <c r="L732" s="54">
        <f t="shared" si="61"/>
        <v>36495547</v>
      </c>
      <c r="P732" s="139">
        <f>38184000-1800000</f>
        <v>36384000</v>
      </c>
      <c r="Q732" s="139">
        <f t="shared" ref="Q732:Q795" si="62">+L732-P732</f>
        <v>111547</v>
      </c>
    </row>
    <row r="733" spans="1:17" hidden="1" x14ac:dyDescent="0.3">
      <c r="A733" s="54"/>
      <c r="B733" s="54"/>
      <c r="C733" s="54"/>
      <c r="D733" s="54"/>
      <c r="E733" s="55" t="s">
        <v>1516</v>
      </c>
      <c r="F733" s="57">
        <v>22720</v>
      </c>
      <c r="G733" s="57">
        <v>9500</v>
      </c>
      <c r="H733" s="54">
        <f t="shared" si="59"/>
        <v>13220</v>
      </c>
      <c r="I733" s="58">
        <v>2</v>
      </c>
      <c r="J733" s="54">
        <f t="shared" si="60"/>
        <v>12955.6</v>
      </c>
      <c r="K733" s="57">
        <v>3650</v>
      </c>
      <c r="L733" s="54">
        <f t="shared" si="61"/>
        <v>47287940</v>
      </c>
      <c r="P733" s="139">
        <v>45344000</v>
      </c>
      <c r="Q733" s="139">
        <f t="shared" si="62"/>
        <v>1943940</v>
      </c>
    </row>
    <row r="734" spans="1:17" hidden="1" x14ac:dyDescent="0.3">
      <c r="A734" s="54"/>
      <c r="B734" s="54"/>
      <c r="C734" s="54"/>
      <c r="D734" s="54"/>
      <c r="E734" s="55" t="s">
        <v>399</v>
      </c>
      <c r="F734" s="57">
        <v>19940</v>
      </c>
      <c r="G734" s="57">
        <v>9940</v>
      </c>
      <c r="H734" s="54">
        <f t="shared" si="59"/>
        <v>10000</v>
      </c>
      <c r="I734" s="58">
        <v>2.8</v>
      </c>
      <c r="J734" s="54">
        <f t="shared" si="60"/>
        <v>9720</v>
      </c>
      <c r="K734" s="57">
        <v>3650</v>
      </c>
      <c r="L734" s="54">
        <f t="shared" si="61"/>
        <v>35478000</v>
      </c>
      <c r="P734" s="139">
        <v>35020000</v>
      </c>
      <c r="Q734" s="139">
        <f t="shared" si="62"/>
        <v>458000</v>
      </c>
    </row>
    <row r="735" spans="1:17" hidden="1" x14ac:dyDescent="0.3">
      <c r="A735" s="54"/>
      <c r="B735" s="54"/>
      <c r="C735" s="54"/>
      <c r="D735" s="54"/>
      <c r="E735" s="55"/>
      <c r="F735" s="57"/>
      <c r="G735" s="57"/>
      <c r="H735" s="54">
        <f t="shared" si="59"/>
        <v>0</v>
      </c>
      <c r="I735" s="58"/>
      <c r="J735" s="54">
        <f t="shared" si="60"/>
        <v>0</v>
      </c>
      <c r="K735" s="57"/>
      <c r="L735" s="54">
        <f t="shared" si="61"/>
        <v>0</v>
      </c>
      <c r="Q735" s="139">
        <f t="shared" si="62"/>
        <v>0</v>
      </c>
    </row>
    <row r="736" spans="1:17" hidden="1" x14ac:dyDescent="0.3">
      <c r="A736" s="54" t="s">
        <v>1517</v>
      </c>
      <c r="B736" s="54"/>
      <c r="C736" s="54">
        <v>120100000</v>
      </c>
      <c r="D736" s="54" t="s">
        <v>610</v>
      </c>
      <c r="E736" s="55" t="s">
        <v>1518</v>
      </c>
      <c r="F736" s="57">
        <v>17780</v>
      </c>
      <c r="G736" s="57">
        <v>9520</v>
      </c>
      <c r="H736" s="54">
        <f t="shared" si="59"/>
        <v>8260</v>
      </c>
      <c r="I736" s="58">
        <v>2</v>
      </c>
      <c r="J736" s="54">
        <f t="shared" si="60"/>
        <v>8094.8</v>
      </c>
      <c r="K736" s="57">
        <v>3900</v>
      </c>
      <c r="L736" s="54">
        <f t="shared" si="61"/>
        <v>31569720</v>
      </c>
      <c r="P736" s="139">
        <v>30084000</v>
      </c>
      <c r="Q736" s="139">
        <f t="shared" si="62"/>
        <v>1485720</v>
      </c>
    </row>
    <row r="737" spans="1:17" hidden="1" x14ac:dyDescent="0.3">
      <c r="A737" s="54"/>
      <c r="B737" s="54"/>
      <c r="C737" s="54">
        <f>3570*250</f>
        <v>892500</v>
      </c>
      <c r="D737" s="54" t="s">
        <v>1520</v>
      </c>
      <c r="E737" s="55" t="s">
        <v>1519</v>
      </c>
      <c r="F737" s="57">
        <v>15840</v>
      </c>
      <c r="G737" s="57">
        <v>9400</v>
      </c>
      <c r="H737" s="54">
        <f t="shared" si="59"/>
        <v>6440</v>
      </c>
      <c r="I737" s="58">
        <v>2.4</v>
      </c>
      <c r="J737" s="54">
        <f t="shared" si="60"/>
        <v>6285.44</v>
      </c>
      <c r="K737" s="57">
        <v>3380</v>
      </c>
      <c r="L737" s="54">
        <f t="shared" si="61"/>
        <v>21244787.199999999</v>
      </c>
      <c r="P737" s="139">
        <f>19750000+400000</f>
        <v>20150000</v>
      </c>
      <c r="Q737" s="139">
        <f t="shared" si="62"/>
        <v>1094787.1999999993</v>
      </c>
    </row>
    <row r="738" spans="1:17" hidden="1" x14ac:dyDescent="0.3">
      <c r="A738" s="54"/>
      <c r="B738" s="54"/>
      <c r="C738" s="54"/>
      <c r="D738" s="54"/>
      <c r="E738" s="55"/>
      <c r="F738" s="57"/>
      <c r="G738" s="57"/>
      <c r="H738" s="54">
        <f t="shared" si="59"/>
        <v>0</v>
      </c>
      <c r="I738" s="58"/>
      <c r="J738" s="54">
        <f t="shared" si="60"/>
        <v>0</v>
      </c>
      <c r="K738" s="57"/>
      <c r="L738" s="54">
        <f t="shared" si="61"/>
        <v>0</v>
      </c>
      <c r="Q738" s="139">
        <f t="shared" si="62"/>
        <v>0</v>
      </c>
    </row>
    <row r="739" spans="1:17" hidden="1" x14ac:dyDescent="0.3">
      <c r="A739" s="54" t="s">
        <v>1521</v>
      </c>
      <c r="B739" s="54"/>
      <c r="C739" s="54">
        <f>12000*12050</f>
        <v>144600000</v>
      </c>
      <c r="D739" s="54" t="s">
        <v>809</v>
      </c>
      <c r="E739" s="55"/>
      <c r="F739" s="57"/>
      <c r="G739" s="57"/>
      <c r="H739" s="54">
        <f t="shared" si="59"/>
        <v>0</v>
      </c>
      <c r="I739" s="58"/>
      <c r="J739" s="54">
        <f t="shared" si="60"/>
        <v>0</v>
      </c>
      <c r="K739" s="57"/>
      <c r="L739" s="54">
        <f t="shared" si="61"/>
        <v>0</v>
      </c>
      <c r="Q739" s="139">
        <f t="shared" si="62"/>
        <v>0</v>
      </c>
    </row>
    <row r="740" spans="1:17" hidden="1" x14ac:dyDescent="0.3">
      <c r="A740" s="54"/>
      <c r="B740" s="54"/>
      <c r="C740" s="180">
        <v>2000000</v>
      </c>
      <c r="D740" s="180" t="s">
        <v>1342</v>
      </c>
      <c r="E740" s="55"/>
      <c r="F740" s="57"/>
      <c r="G740" s="57"/>
      <c r="H740" s="54">
        <f t="shared" si="59"/>
        <v>0</v>
      </c>
      <c r="I740" s="58"/>
      <c r="J740" s="54">
        <f t="shared" si="60"/>
        <v>0</v>
      </c>
      <c r="K740" s="57"/>
      <c r="L740" s="54">
        <f t="shared" si="61"/>
        <v>0</v>
      </c>
      <c r="N740" t="s">
        <v>437</v>
      </c>
      <c r="Q740" s="139">
        <f t="shared" si="62"/>
        <v>0</v>
      </c>
    </row>
    <row r="741" spans="1:17" hidden="1" x14ac:dyDescent="0.3">
      <c r="A741" s="54"/>
      <c r="B741" s="54"/>
      <c r="C741" s="54"/>
      <c r="D741" s="54"/>
      <c r="E741" s="55"/>
      <c r="F741" s="57"/>
      <c r="G741" s="57"/>
      <c r="H741" s="54">
        <f t="shared" si="59"/>
        <v>0</v>
      </c>
      <c r="I741" s="58"/>
      <c r="J741" s="54">
        <f t="shared" si="60"/>
        <v>0</v>
      </c>
      <c r="K741" s="57"/>
      <c r="L741" s="54">
        <f t="shared" si="61"/>
        <v>0</v>
      </c>
      <c r="Q741" s="139">
        <f t="shared" si="62"/>
        <v>0</v>
      </c>
    </row>
    <row r="742" spans="1:17" hidden="1" x14ac:dyDescent="0.3">
      <c r="A742" s="54"/>
      <c r="B742" s="54"/>
      <c r="C742" s="54"/>
      <c r="D742" s="54"/>
      <c r="E742" s="55"/>
      <c r="F742" s="57"/>
      <c r="G742" s="57"/>
      <c r="H742" s="54">
        <f t="shared" si="59"/>
        <v>0</v>
      </c>
      <c r="I742" s="58"/>
      <c r="J742" s="54">
        <f t="shared" si="60"/>
        <v>0</v>
      </c>
      <c r="K742" s="57"/>
      <c r="L742" s="54">
        <f t="shared" si="61"/>
        <v>0</v>
      </c>
      <c r="Q742" s="139">
        <f t="shared" si="62"/>
        <v>0</v>
      </c>
    </row>
    <row r="743" spans="1:17" hidden="1" x14ac:dyDescent="0.3">
      <c r="A743" s="54"/>
      <c r="B743" s="54"/>
      <c r="C743" s="54"/>
      <c r="D743" s="54"/>
      <c r="E743" s="55"/>
      <c r="F743" s="57"/>
      <c r="G743" s="57"/>
      <c r="H743" s="54">
        <f t="shared" si="59"/>
        <v>0</v>
      </c>
      <c r="I743" s="58"/>
      <c r="J743" s="54">
        <f t="shared" si="60"/>
        <v>0</v>
      </c>
      <c r="K743" s="57"/>
      <c r="L743" s="54">
        <f t="shared" si="61"/>
        <v>0</v>
      </c>
      <c r="Q743" s="139">
        <f t="shared" si="62"/>
        <v>0</v>
      </c>
    </row>
    <row r="744" spans="1:17" hidden="1" x14ac:dyDescent="0.3">
      <c r="A744" s="54"/>
      <c r="B744" s="54"/>
      <c r="C744" s="54"/>
      <c r="D744" s="54"/>
      <c r="E744" s="55"/>
      <c r="F744" s="57"/>
      <c r="G744" s="57"/>
      <c r="H744" s="54">
        <f t="shared" si="59"/>
        <v>0</v>
      </c>
      <c r="I744" s="58"/>
      <c r="J744" s="54">
        <f t="shared" si="60"/>
        <v>0</v>
      </c>
      <c r="K744" s="57"/>
      <c r="L744" s="54">
        <f t="shared" si="61"/>
        <v>0</v>
      </c>
      <c r="Q744" s="139">
        <f t="shared" si="62"/>
        <v>0</v>
      </c>
    </row>
    <row r="745" spans="1:17" hidden="1" x14ac:dyDescent="0.3">
      <c r="A745" s="54"/>
      <c r="B745" s="54"/>
      <c r="C745" s="54"/>
      <c r="D745" s="54"/>
      <c r="E745" s="55"/>
      <c r="F745" s="57"/>
      <c r="G745" s="57"/>
      <c r="H745" s="54">
        <f t="shared" si="59"/>
        <v>0</v>
      </c>
      <c r="I745" s="58"/>
      <c r="J745" s="54">
        <f t="shared" si="60"/>
        <v>0</v>
      </c>
      <c r="K745" s="57"/>
      <c r="L745" s="54">
        <f t="shared" si="61"/>
        <v>0</v>
      </c>
      <c r="Q745" s="139">
        <f t="shared" si="62"/>
        <v>0</v>
      </c>
    </row>
    <row r="746" spans="1:17" hidden="1" x14ac:dyDescent="0.3">
      <c r="A746" s="54" t="s">
        <v>1526</v>
      </c>
      <c r="B746" s="54"/>
      <c r="C746" s="54">
        <v>800000</v>
      </c>
      <c r="D746" s="54" t="s">
        <v>334</v>
      </c>
      <c r="E746" s="55" t="s">
        <v>1527</v>
      </c>
      <c r="F746" s="57">
        <v>21430</v>
      </c>
      <c r="G746" s="57">
        <v>9400</v>
      </c>
      <c r="H746" s="54">
        <f t="shared" si="59"/>
        <v>12030</v>
      </c>
      <c r="I746" s="58">
        <v>1.9</v>
      </c>
      <c r="J746" s="54">
        <f t="shared" si="60"/>
        <v>11801.43</v>
      </c>
      <c r="K746" s="57">
        <v>3600</v>
      </c>
      <c r="L746" s="54">
        <f t="shared" si="61"/>
        <v>42485148</v>
      </c>
      <c r="P746" s="139">
        <v>40900000</v>
      </c>
      <c r="Q746" s="139">
        <f t="shared" si="62"/>
        <v>1585148</v>
      </c>
    </row>
    <row r="747" spans="1:17" hidden="1" x14ac:dyDescent="0.3">
      <c r="A747" s="54"/>
      <c r="B747" s="54"/>
      <c r="C747" s="54"/>
      <c r="D747" s="54"/>
      <c r="E747" s="55" t="s">
        <v>1039</v>
      </c>
      <c r="F747" s="57">
        <v>17610</v>
      </c>
      <c r="G747" s="57">
        <v>8450</v>
      </c>
      <c r="H747" s="54">
        <f t="shared" si="59"/>
        <v>9160</v>
      </c>
      <c r="I747" s="58">
        <v>2</v>
      </c>
      <c r="J747" s="54">
        <f t="shared" si="60"/>
        <v>8976.7999999999993</v>
      </c>
      <c r="K747" s="57">
        <v>3650</v>
      </c>
      <c r="L747" s="54">
        <f t="shared" si="61"/>
        <v>32765319.999999996</v>
      </c>
      <c r="P747" s="139">
        <v>31542000</v>
      </c>
      <c r="Q747" s="139">
        <f t="shared" si="62"/>
        <v>1223319.9999999963</v>
      </c>
    </row>
    <row r="748" spans="1:17" hidden="1" x14ac:dyDescent="0.3">
      <c r="A748" s="54"/>
      <c r="B748" s="54"/>
      <c r="C748" s="54"/>
      <c r="D748" s="54"/>
      <c r="E748" s="55" t="s">
        <v>1528</v>
      </c>
      <c r="F748" s="57">
        <v>21460</v>
      </c>
      <c r="G748" s="57">
        <v>10020</v>
      </c>
      <c r="H748" s="54">
        <f t="shared" si="59"/>
        <v>11440</v>
      </c>
      <c r="I748" s="58">
        <v>3</v>
      </c>
      <c r="J748" s="54">
        <f t="shared" si="60"/>
        <v>11096.8</v>
      </c>
      <c r="K748" s="57">
        <v>3380</v>
      </c>
      <c r="L748" s="54">
        <f t="shared" si="61"/>
        <v>37507184</v>
      </c>
      <c r="P748" s="139">
        <v>36800000</v>
      </c>
      <c r="Q748" s="139">
        <f t="shared" si="62"/>
        <v>707184</v>
      </c>
    </row>
    <row r="749" spans="1:17" hidden="1" x14ac:dyDescent="0.3">
      <c r="A749" s="54"/>
      <c r="B749" s="54"/>
      <c r="C749" s="54"/>
      <c r="D749" s="54"/>
      <c r="E749" s="55"/>
      <c r="F749" s="57"/>
      <c r="G749" s="57"/>
      <c r="H749" s="54">
        <f t="shared" si="59"/>
        <v>0</v>
      </c>
      <c r="I749" s="58"/>
      <c r="J749" s="54">
        <f t="shared" si="60"/>
        <v>0</v>
      </c>
      <c r="K749" s="57"/>
      <c r="L749" s="54">
        <f t="shared" si="61"/>
        <v>0</v>
      </c>
      <c r="Q749" s="139">
        <f t="shared" si="62"/>
        <v>0</v>
      </c>
    </row>
    <row r="750" spans="1:17" hidden="1" x14ac:dyDescent="0.3">
      <c r="A750" s="54"/>
      <c r="B750" s="54"/>
      <c r="C750" s="54"/>
      <c r="D750" s="54"/>
      <c r="E750" s="55" t="s">
        <v>729</v>
      </c>
      <c r="F750" s="57">
        <v>25180</v>
      </c>
      <c r="G750" s="57">
        <v>14040</v>
      </c>
      <c r="H750" s="54">
        <f t="shared" si="59"/>
        <v>11140</v>
      </c>
      <c r="I750" s="58">
        <v>2.4</v>
      </c>
      <c r="J750" s="54">
        <f t="shared" si="60"/>
        <v>10872.64</v>
      </c>
      <c r="K750" s="57">
        <v>3380</v>
      </c>
      <c r="L750" s="54">
        <f t="shared" si="61"/>
        <v>36749523.199999996</v>
      </c>
      <c r="P750" s="139">
        <v>35723000</v>
      </c>
      <c r="Q750" s="139">
        <f t="shared" si="62"/>
        <v>1026523.1999999955</v>
      </c>
    </row>
    <row r="751" spans="1:17" hidden="1" x14ac:dyDescent="0.3">
      <c r="A751" s="54" t="s">
        <v>1532</v>
      </c>
      <c r="B751" s="54"/>
      <c r="C751" s="54">
        <v>120400000</v>
      </c>
      <c r="D751" s="54" t="s">
        <v>610</v>
      </c>
      <c r="E751" s="55" t="s">
        <v>1534</v>
      </c>
      <c r="F751" s="57">
        <v>30000</v>
      </c>
      <c r="G751" s="57">
        <v>9760</v>
      </c>
      <c r="H751" s="54">
        <f t="shared" si="59"/>
        <v>20240</v>
      </c>
      <c r="I751" s="58">
        <v>2</v>
      </c>
      <c r="J751" s="54">
        <f t="shared" si="60"/>
        <v>19835.2</v>
      </c>
      <c r="K751" s="57">
        <v>3400</v>
      </c>
      <c r="L751" s="54">
        <f t="shared" si="61"/>
        <v>67439680</v>
      </c>
      <c r="P751" s="139">
        <v>66447000</v>
      </c>
      <c r="Q751" s="139">
        <f t="shared" si="62"/>
        <v>992680</v>
      </c>
    </row>
    <row r="752" spans="1:17" hidden="1" x14ac:dyDescent="0.3">
      <c r="A752" s="54"/>
      <c r="B752" s="54"/>
      <c r="C752" s="54"/>
      <c r="D752" s="177"/>
      <c r="E752" s="55" t="s">
        <v>1535</v>
      </c>
      <c r="F752" s="57">
        <v>26020</v>
      </c>
      <c r="G752" s="57">
        <v>13020</v>
      </c>
      <c r="H752" s="54">
        <f t="shared" si="59"/>
        <v>13000</v>
      </c>
      <c r="I752" s="58">
        <v>1</v>
      </c>
      <c r="J752" s="54">
        <f t="shared" si="60"/>
        <v>12870</v>
      </c>
      <c r="K752" s="57">
        <v>3700</v>
      </c>
      <c r="L752" s="54">
        <f t="shared" si="61"/>
        <v>47619000</v>
      </c>
      <c r="P752" s="139">
        <v>45864000</v>
      </c>
      <c r="Q752" s="139">
        <f t="shared" si="62"/>
        <v>1755000</v>
      </c>
    </row>
    <row r="753" spans="1:17" hidden="1" x14ac:dyDescent="0.3">
      <c r="A753" s="54"/>
      <c r="B753" s="54"/>
      <c r="C753" s="54"/>
      <c r="D753" s="54"/>
      <c r="E753" s="55" t="s">
        <v>1536</v>
      </c>
      <c r="F753" s="57">
        <v>24320</v>
      </c>
      <c r="G753" s="57">
        <v>12360</v>
      </c>
      <c r="H753" s="54">
        <f t="shared" si="59"/>
        <v>11960</v>
      </c>
      <c r="I753" s="58">
        <v>3.8</v>
      </c>
      <c r="J753" s="54">
        <f t="shared" si="60"/>
        <v>11505.52</v>
      </c>
      <c r="K753" s="57">
        <v>3650</v>
      </c>
      <c r="L753" s="54">
        <f t="shared" si="61"/>
        <v>41995148</v>
      </c>
      <c r="P753" s="139">
        <v>41563000</v>
      </c>
      <c r="Q753" s="139">
        <f t="shared" si="62"/>
        <v>432148</v>
      </c>
    </row>
    <row r="754" spans="1:17" hidden="1" x14ac:dyDescent="0.3">
      <c r="A754" s="54"/>
      <c r="B754" s="54"/>
      <c r="C754" s="54"/>
      <c r="D754" s="54"/>
      <c r="E754" s="55" t="s">
        <v>1541</v>
      </c>
      <c r="F754" s="57">
        <v>22900</v>
      </c>
      <c r="G754" s="57">
        <v>9700</v>
      </c>
      <c r="H754" s="54">
        <f t="shared" si="59"/>
        <v>13200</v>
      </c>
      <c r="I754" s="58">
        <v>2</v>
      </c>
      <c r="J754" s="54">
        <f t="shared" si="60"/>
        <v>12936</v>
      </c>
      <c r="K754" s="57">
        <v>3650</v>
      </c>
      <c r="L754" s="54">
        <f t="shared" si="61"/>
        <v>47216400</v>
      </c>
      <c r="P754" s="139">
        <v>45335000</v>
      </c>
      <c r="Q754" s="139">
        <f t="shared" si="62"/>
        <v>1881400</v>
      </c>
    </row>
    <row r="755" spans="1:17" hidden="1" x14ac:dyDescent="0.3">
      <c r="A755" s="54" t="s">
        <v>1542</v>
      </c>
      <c r="B755" s="180">
        <v>1440000</v>
      </c>
      <c r="C755" s="54"/>
      <c r="D755" s="54"/>
      <c r="E755" s="179" t="s">
        <v>1543</v>
      </c>
      <c r="F755" s="57"/>
      <c r="G755" s="57"/>
      <c r="H755" s="54">
        <f t="shared" si="59"/>
        <v>0</v>
      </c>
      <c r="I755" s="58"/>
      <c r="J755" s="54">
        <f t="shared" si="60"/>
        <v>0</v>
      </c>
      <c r="K755" s="57"/>
      <c r="L755" s="54">
        <f t="shared" si="61"/>
        <v>0</v>
      </c>
      <c r="Q755" s="139">
        <f t="shared" si="62"/>
        <v>0</v>
      </c>
    </row>
    <row r="756" spans="1:17" hidden="1" x14ac:dyDescent="0.3">
      <c r="A756" s="54"/>
      <c r="B756" s="54"/>
      <c r="C756" s="54"/>
      <c r="D756" s="210" t="s">
        <v>831</v>
      </c>
      <c r="E756" s="55" t="s">
        <v>1079</v>
      </c>
      <c r="F756" s="57">
        <v>42130</v>
      </c>
      <c r="G756" s="57">
        <v>14695</v>
      </c>
      <c r="H756" s="54">
        <f t="shared" si="59"/>
        <v>27435</v>
      </c>
      <c r="I756" s="58">
        <v>2</v>
      </c>
      <c r="J756" s="54">
        <f t="shared" si="60"/>
        <v>26886.3</v>
      </c>
      <c r="K756" s="57">
        <v>3660</v>
      </c>
      <c r="L756" s="54">
        <f t="shared" si="61"/>
        <v>98403858</v>
      </c>
      <c r="P756" s="139">
        <v>94076000</v>
      </c>
      <c r="Q756" s="139">
        <f t="shared" si="62"/>
        <v>4327858</v>
      </c>
    </row>
    <row r="757" spans="1:17" hidden="1" x14ac:dyDescent="0.3">
      <c r="A757" s="54"/>
      <c r="B757" s="54"/>
      <c r="C757" s="54"/>
      <c r="D757" s="54"/>
      <c r="E757" s="55" t="s">
        <v>1544</v>
      </c>
      <c r="F757" s="57">
        <v>11500</v>
      </c>
      <c r="G757" s="57">
        <v>5000</v>
      </c>
      <c r="H757" s="54">
        <f t="shared" si="59"/>
        <v>6500</v>
      </c>
      <c r="I757" s="58">
        <v>2.4</v>
      </c>
      <c r="J757" s="54">
        <f t="shared" si="60"/>
        <v>6344</v>
      </c>
      <c r="K757" s="57">
        <v>3630</v>
      </c>
      <c r="L757" s="54">
        <f t="shared" si="61"/>
        <v>23028720</v>
      </c>
      <c r="P757" s="139">
        <v>22450000</v>
      </c>
      <c r="Q757" s="139">
        <f t="shared" si="62"/>
        <v>578720</v>
      </c>
    </row>
    <row r="758" spans="1:17" hidden="1" x14ac:dyDescent="0.3">
      <c r="A758" s="54"/>
      <c r="B758" s="54"/>
      <c r="C758" s="54">
        <v>120400000</v>
      </c>
      <c r="D758" s="54" t="s">
        <v>610</v>
      </c>
      <c r="E758" s="55" t="s">
        <v>1545</v>
      </c>
      <c r="F758" s="57">
        <v>25980</v>
      </c>
      <c r="G758" s="57">
        <v>13510</v>
      </c>
      <c r="H758" s="54">
        <f t="shared" si="59"/>
        <v>12470</v>
      </c>
      <c r="I758" s="58">
        <v>2.8</v>
      </c>
      <c r="J758" s="54">
        <f t="shared" si="60"/>
        <v>12120.84</v>
      </c>
      <c r="K758" s="57">
        <v>3650</v>
      </c>
      <c r="L758" s="54">
        <f t="shared" si="61"/>
        <v>44241066</v>
      </c>
      <c r="P758" s="139">
        <v>43280000</v>
      </c>
      <c r="Q758" s="139">
        <f t="shared" si="62"/>
        <v>961066</v>
      </c>
    </row>
    <row r="759" spans="1:17" hidden="1" x14ac:dyDescent="0.3">
      <c r="A759" s="54"/>
      <c r="B759" s="54"/>
      <c r="C759" s="54"/>
      <c r="D759" s="54"/>
      <c r="E759" s="55" t="s">
        <v>1546</v>
      </c>
      <c r="F759" s="57">
        <v>20440</v>
      </c>
      <c r="G759" s="57">
        <v>9780</v>
      </c>
      <c r="H759" s="54">
        <f t="shared" si="59"/>
        <v>10660</v>
      </c>
      <c r="I759" s="58">
        <v>2</v>
      </c>
      <c r="J759" s="54">
        <f t="shared" si="60"/>
        <v>10446.799999999999</v>
      </c>
      <c r="K759" s="57">
        <v>3400</v>
      </c>
      <c r="L759" s="54">
        <f t="shared" si="61"/>
        <v>35519120</v>
      </c>
      <c r="P759" s="139">
        <v>35027000</v>
      </c>
      <c r="Q759" s="139">
        <f t="shared" si="62"/>
        <v>492120</v>
      </c>
    </row>
    <row r="760" spans="1:17" hidden="1" x14ac:dyDescent="0.3">
      <c r="A760" s="54" t="s">
        <v>1547</v>
      </c>
      <c r="B760" s="54"/>
      <c r="C760" s="54">
        <f>20000*12060</f>
        <v>241200000</v>
      </c>
      <c r="D760" s="54" t="s">
        <v>1161</v>
      </c>
      <c r="E760" s="55"/>
      <c r="F760" s="57"/>
      <c r="G760" s="57"/>
      <c r="H760" s="54">
        <f t="shared" si="59"/>
        <v>0</v>
      </c>
      <c r="I760" s="58"/>
      <c r="J760" s="54">
        <f t="shared" si="60"/>
        <v>0</v>
      </c>
      <c r="K760" s="57"/>
      <c r="L760" s="54">
        <f t="shared" si="61"/>
        <v>0</v>
      </c>
      <c r="Q760" s="139">
        <f t="shared" si="62"/>
        <v>0</v>
      </c>
    </row>
    <row r="761" spans="1:17" hidden="1" x14ac:dyDescent="0.3">
      <c r="A761" s="54"/>
      <c r="B761" s="54"/>
      <c r="C761" s="54"/>
      <c r="D761" s="54"/>
      <c r="E761" s="55"/>
      <c r="F761" s="57"/>
      <c r="G761" s="57"/>
      <c r="H761" s="54">
        <f t="shared" si="59"/>
        <v>0</v>
      </c>
      <c r="I761" s="58"/>
      <c r="J761" s="54">
        <f t="shared" si="60"/>
        <v>0</v>
      </c>
      <c r="K761" s="57"/>
      <c r="L761" s="54">
        <f t="shared" si="61"/>
        <v>0</v>
      </c>
      <c r="Q761" s="139">
        <f t="shared" si="62"/>
        <v>0</v>
      </c>
    </row>
    <row r="762" spans="1:17" hidden="1" x14ac:dyDescent="0.3">
      <c r="A762" s="54"/>
      <c r="B762" s="54"/>
      <c r="C762" s="54">
        <v>500000</v>
      </c>
      <c r="D762" s="54" t="s">
        <v>1549</v>
      </c>
      <c r="E762" s="55" t="s">
        <v>1548</v>
      </c>
      <c r="F762" s="57">
        <v>17200</v>
      </c>
      <c r="G762" s="57">
        <v>10220</v>
      </c>
      <c r="H762" s="54">
        <f t="shared" si="59"/>
        <v>6980</v>
      </c>
      <c r="I762" s="58">
        <v>1</v>
      </c>
      <c r="J762" s="54">
        <f t="shared" si="60"/>
        <v>6910.2</v>
      </c>
      <c r="K762" s="57">
        <v>3700</v>
      </c>
      <c r="L762" s="54">
        <f t="shared" si="61"/>
        <v>25567740</v>
      </c>
      <c r="P762" s="139">
        <v>24937000</v>
      </c>
      <c r="Q762" s="139">
        <f t="shared" si="62"/>
        <v>630740</v>
      </c>
    </row>
    <row r="763" spans="1:17" hidden="1" x14ac:dyDescent="0.3">
      <c r="A763" s="54"/>
      <c r="B763" s="54"/>
      <c r="C763" s="54"/>
      <c r="D763" s="54"/>
      <c r="E763" s="55" t="s">
        <v>1510</v>
      </c>
      <c r="F763" s="57">
        <v>19695</v>
      </c>
      <c r="G763" s="57">
        <v>9080</v>
      </c>
      <c r="H763" s="54">
        <f t="shared" si="59"/>
        <v>10615</v>
      </c>
      <c r="I763" s="58">
        <v>3</v>
      </c>
      <c r="J763" s="54">
        <f t="shared" si="60"/>
        <v>10296.549999999999</v>
      </c>
      <c r="K763" s="57">
        <v>3650</v>
      </c>
      <c r="L763" s="54">
        <f t="shared" si="61"/>
        <v>37582407.5</v>
      </c>
      <c r="P763" s="139">
        <v>36780000</v>
      </c>
      <c r="Q763" s="139">
        <f t="shared" si="62"/>
        <v>802407.5</v>
      </c>
    </row>
    <row r="764" spans="1:17" hidden="1" x14ac:dyDescent="0.3">
      <c r="A764" s="54"/>
      <c r="B764" s="54"/>
      <c r="C764" s="54"/>
      <c r="D764" s="54"/>
      <c r="E764" s="55"/>
      <c r="F764" s="57"/>
      <c r="G764" s="57"/>
      <c r="H764" s="54">
        <f t="shared" si="59"/>
        <v>0</v>
      </c>
      <c r="I764" s="58"/>
      <c r="J764" s="54">
        <f t="shared" si="60"/>
        <v>0</v>
      </c>
      <c r="K764" s="57"/>
      <c r="L764" s="54">
        <f t="shared" si="61"/>
        <v>0</v>
      </c>
      <c r="Q764" s="139">
        <f t="shared" si="62"/>
        <v>0</v>
      </c>
    </row>
    <row r="765" spans="1:17" hidden="1" x14ac:dyDescent="0.3">
      <c r="A765" s="54" t="s">
        <v>1551</v>
      </c>
      <c r="B765" s="54">
        <v>12000000</v>
      </c>
      <c r="C765" s="54"/>
      <c r="D765" s="54" t="s">
        <v>1552</v>
      </c>
      <c r="E765" s="55"/>
      <c r="F765" s="57"/>
      <c r="G765" s="57"/>
      <c r="H765" s="54">
        <f t="shared" si="59"/>
        <v>0</v>
      </c>
      <c r="I765" s="58"/>
      <c r="J765" s="54">
        <f t="shared" si="60"/>
        <v>0</v>
      </c>
      <c r="K765" s="57"/>
      <c r="L765" s="54">
        <f t="shared" si="61"/>
        <v>0</v>
      </c>
      <c r="Q765" s="139">
        <f t="shared" si="62"/>
        <v>0</v>
      </c>
    </row>
    <row r="766" spans="1:17" hidden="1" x14ac:dyDescent="0.3">
      <c r="A766" s="54"/>
      <c r="B766" s="54"/>
      <c r="C766" s="54"/>
      <c r="D766" s="54"/>
      <c r="E766" s="55" t="s">
        <v>1553</v>
      </c>
      <c r="F766" s="57">
        <v>23380</v>
      </c>
      <c r="G766" s="57">
        <v>9630</v>
      </c>
      <c r="H766" s="54">
        <f t="shared" si="59"/>
        <v>13750</v>
      </c>
      <c r="I766" s="58">
        <v>2.8</v>
      </c>
      <c r="J766" s="54">
        <f t="shared" si="60"/>
        <v>13365</v>
      </c>
      <c r="K766" s="57">
        <v>3650</v>
      </c>
      <c r="L766" s="54">
        <f t="shared" si="61"/>
        <v>48782250</v>
      </c>
      <c r="P766" s="139">
        <v>47200000</v>
      </c>
      <c r="Q766" s="139">
        <f t="shared" si="62"/>
        <v>1582250</v>
      </c>
    </row>
    <row r="767" spans="1:17" hidden="1" x14ac:dyDescent="0.3">
      <c r="A767" s="54"/>
      <c r="B767" s="54"/>
      <c r="C767" s="54">
        <v>250000</v>
      </c>
      <c r="D767" s="54" t="s">
        <v>1084</v>
      </c>
      <c r="E767" s="55" t="s">
        <v>1554</v>
      </c>
      <c r="F767" s="57">
        <v>17560</v>
      </c>
      <c r="G767" s="57">
        <v>9620</v>
      </c>
      <c r="H767" s="54">
        <f t="shared" si="59"/>
        <v>7940</v>
      </c>
      <c r="I767" s="58">
        <v>1</v>
      </c>
      <c r="J767" s="54">
        <f t="shared" si="60"/>
        <v>7860.6</v>
      </c>
      <c r="K767" s="57">
        <v>3700</v>
      </c>
      <c r="L767" s="54">
        <f t="shared" si="61"/>
        <v>29084220</v>
      </c>
      <c r="P767" s="139">
        <f>27670000+250000</f>
        <v>27920000</v>
      </c>
      <c r="Q767" s="139">
        <f t="shared" si="62"/>
        <v>1164220</v>
      </c>
    </row>
    <row r="768" spans="1:17" hidden="1" x14ac:dyDescent="0.3">
      <c r="A768" s="54"/>
      <c r="B768" s="54"/>
      <c r="C768" s="54">
        <v>110000</v>
      </c>
      <c r="D768" s="54" t="s">
        <v>1557</v>
      </c>
      <c r="E768" s="55" t="s">
        <v>1558</v>
      </c>
      <c r="F768" s="57">
        <v>10720</v>
      </c>
      <c r="G768" s="57">
        <v>5345</v>
      </c>
      <c r="H768" s="54">
        <f t="shared" si="59"/>
        <v>5375</v>
      </c>
      <c r="I768" s="58">
        <v>2</v>
      </c>
      <c r="J768" s="54">
        <f t="shared" si="60"/>
        <v>5267.5</v>
      </c>
      <c r="K768" s="57">
        <v>3400</v>
      </c>
      <c r="L768" s="54">
        <f t="shared" si="61"/>
        <v>17909500</v>
      </c>
      <c r="P768" s="139">
        <v>17200000</v>
      </c>
      <c r="Q768" s="139">
        <f t="shared" si="62"/>
        <v>709500</v>
      </c>
    </row>
    <row r="769" spans="1:17" hidden="1" x14ac:dyDescent="0.3">
      <c r="A769" s="54"/>
      <c r="B769" s="54"/>
      <c r="C769" s="54"/>
      <c r="D769" s="54"/>
      <c r="E769" s="55" t="s">
        <v>1559</v>
      </c>
      <c r="F769" s="57">
        <v>25880</v>
      </c>
      <c r="G769" s="57">
        <v>12350</v>
      </c>
      <c r="H769" s="54">
        <f t="shared" si="59"/>
        <v>13530</v>
      </c>
      <c r="I769" s="58">
        <v>3</v>
      </c>
      <c r="J769" s="54">
        <f t="shared" si="60"/>
        <v>13124.1</v>
      </c>
      <c r="K769" s="57">
        <v>3650</v>
      </c>
      <c r="L769" s="54">
        <f t="shared" si="61"/>
        <v>47902965</v>
      </c>
      <c r="P769" s="139">
        <v>46934000</v>
      </c>
      <c r="Q769" s="139">
        <f t="shared" si="62"/>
        <v>968965</v>
      </c>
    </row>
    <row r="770" spans="1:17" hidden="1" x14ac:dyDescent="0.3">
      <c r="A770" s="54"/>
      <c r="B770" s="54"/>
      <c r="C770" s="54"/>
      <c r="D770" s="54"/>
      <c r="E770" s="55"/>
      <c r="F770" s="57"/>
      <c r="G770" s="57"/>
      <c r="H770" s="54">
        <f t="shared" si="59"/>
        <v>0</v>
      </c>
      <c r="I770" s="58"/>
      <c r="J770" s="54">
        <f t="shared" si="60"/>
        <v>0</v>
      </c>
      <c r="K770" s="57"/>
      <c r="L770" s="54">
        <f t="shared" si="61"/>
        <v>0</v>
      </c>
      <c r="Q770" s="139">
        <f t="shared" si="62"/>
        <v>0</v>
      </c>
    </row>
    <row r="771" spans="1:17" hidden="1" x14ac:dyDescent="0.3">
      <c r="A771" s="54" t="s">
        <v>1560</v>
      </c>
      <c r="B771" s="54"/>
      <c r="C771" s="54">
        <v>500000</v>
      </c>
      <c r="D771" s="54" t="s">
        <v>1561</v>
      </c>
      <c r="E771" s="55" t="s">
        <v>1563</v>
      </c>
      <c r="F771" s="57">
        <v>29000</v>
      </c>
      <c r="G771" s="57">
        <v>12920</v>
      </c>
      <c r="H771" s="54">
        <f t="shared" si="59"/>
        <v>16080</v>
      </c>
      <c r="I771" s="58">
        <v>2.1</v>
      </c>
      <c r="J771" s="54">
        <f t="shared" si="60"/>
        <v>15742.32</v>
      </c>
      <c r="K771" s="57">
        <v>3380</v>
      </c>
      <c r="L771" s="54">
        <f t="shared" si="61"/>
        <v>53209041.600000001</v>
      </c>
      <c r="P771" s="139">
        <v>52500000</v>
      </c>
      <c r="Q771" s="139">
        <f t="shared" si="62"/>
        <v>709041.60000000149</v>
      </c>
    </row>
    <row r="772" spans="1:17" hidden="1" x14ac:dyDescent="0.3">
      <c r="A772" s="54"/>
      <c r="B772" s="54"/>
      <c r="C772" s="54">
        <v>800000</v>
      </c>
      <c r="D772" s="54" t="s">
        <v>500</v>
      </c>
      <c r="E772" s="55" t="s">
        <v>1527</v>
      </c>
      <c r="F772" s="57">
        <v>22620</v>
      </c>
      <c r="G772" s="57">
        <v>9240</v>
      </c>
      <c r="H772" s="54">
        <f t="shared" si="59"/>
        <v>13380</v>
      </c>
      <c r="I772" s="58">
        <v>2</v>
      </c>
      <c r="J772" s="54">
        <f t="shared" si="60"/>
        <v>13112.4</v>
      </c>
      <c r="K772" s="57">
        <v>3650</v>
      </c>
      <c r="L772" s="54">
        <f t="shared" si="61"/>
        <v>47860260</v>
      </c>
      <c r="P772" s="139">
        <v>45800000</v>
      </c>
      <c r="Q772" s="139">
        <f t="shared" si="62"/>
        <v>2060260</v>
      </c>
    </row>
    <row r="773" spans="1:17" hidden="1" x14ac:dyDescent="0.3">
      <c r="A773" s="54"/>
      <c r="B773" s="54"/>
      <c r="C773" s="54">
        <f>23000*12060</f>
        <v>277380000</v>
      </c>
      <c r="D773" s="54" t="s">
        <v>1562</v>
      </c>
      <c r="E773" s="55" t="s">
        <v>1566</v>
      </c>
      <c r="F773" s="57">
        <v>26340</v>
      </c>
      <c r="G773" s="57">
        <v>12760</v>
      </c>
      <c r="H773" s="54">
        <f t="shared" si="59"/>
        <v>13580</v>
      </c>
      <c r="I773" s="58">
        <v>2.4</v>
      </c>
      <c r="J773" s="54">
        <f t="shared" si="60"/>
        <v>13254.08</v>
      </c>
      <c r="K773" s="57">
        <v>3380</v>
      </c>
      <c r="L773" s="54">
        <f t="shared" si="61"/>
        <v>44798790.399999999</v>
      </c>
      <c r="P773" s="139">
        <v>43937000</v>
      </c>
      <c r="Q773" s="139">
        <f t="shared" si="62"/>
        <v>861790.39999999851</v>
      </c>
    </row>
    <row r="774" spans="1:17" hidden="1" x14ac:dyDescent="0.3">
      <c r="A774" s="54"/>
      <c r="B774" s="54"/>
      <c r="C774" s="54"/>
      <c r="D774" s="54"/>
      <c r="E774" s="55"/>
      <c r="F774" s="57"/>
      <c r="G774" s="57"/>
      <c r="H774" s="54">
        <f t="shared" si="59"/>
        <v>0</v>
      </c>
      <c r="I774" s="58"/>
      <c r="J774" s="54">
        <f t="shared" si="60"/>
        <v>0</v>
      </c>
      <c r="K774" s="57"/>
      <c r="L774" s="54">
        <f t="shared" si="61"/>
        <v>0</v>
      </c>
      <c r="Q774" s="139">
        <f t="shared" si="62"/>
        <v>0</v>
      </c>
    </row>
    <row r="775" spans="1:17" hidden="1" x14ac:dyDescent="0.3">
      <c r="A775" s="54" t="s">
        <v>1571</v>
      </c>
      <c r="B775" s="54"/>
      <c r="C775" s="54">
        <v>120000000</v>
      </c>
      <c r="D775" s="54" t="s">
        <v>123</v>
      </c>
      <c r="E775" s="55" t="s">
        <v>1572</v>
      </c>
      <c r="F775" s="57">
        <v>18550</v>
      </c>
      <c r="G775" s="57">
        <v>10000</v>
      </c>
      <c r="H775" s="54">
        <f t="shared" si="59"/>
        <v>8550</v>
      </c>
      <c r="I775" s="58">
        <v>1</v>
      </c>
      <c r="J775" s="54">
        <f t="shared" si="60"/>
        <v>8464.5</v>
      </c>
      <c r="K775" s="57">
        <v>3450</v>
      </c>
      <c r="L775" s="54">
        <f t="shared" si="61"/>
        <v>29202525</v>
      </c>
      <c r="P775" s="139">
        <v>27900000</v>
      </c>
      <c r="Q775" s="139">
        <f t="shared" si="62"/>
        <v>1302525</v>
      </c>
    </row>
    <row r="776" spans="1:17" hidden="1" x14ac:dyDescent="0.3">
      <c r="A776" s="54"/>
      <c r="B776" s="54"/>
      <c r="C776" s="54"/>
      <c r="D776" s="54"/>
      <c r="E776" s="55" t="s">
        <v>1573</v>
      </c>
      <c r="F776" s="57">
        <v>17450</v>
      </c>
      <c r="G776" s="57">
        <v>9450</v>
      </c>
      <c r="H776" s="54">
        <f t="shared" si="59"/>
        <v>8000</v>
      </c>
      <c r="I776" s="58">
        <v>1</v>
      </c>
      <c r="J776" s="54">
        <f t="shared" si="60"/>
        <v>7920</v>
      </c>
      <c r="K776" s="57">
        <v>3450</v>
      </c>
      <c r="L776" s="54">
        <f t="shared" si="61"/>
        <v>27324000</v>
      </c>
      <c r="P776" s="139">
        <v>26800000</v>
      </c>
      <c r="Q776" s="139">
        <f t="shared" si="62"/>
        <v>524000</v>
      </c>
    </row>
    <row r="777" spans="1:17" hidden="1" x14ac:dyDescent="0.3">
      <c r="A777" s="54"/>
      <c r="B777" s="54"/>
      <c r="C777" s="54"/>
      <c r="D777" s="54"/>
      <c r="E777" s="55" t="s">
        <v>1039</v>
      </c>
      <c r="F777" s="57">
        <v>17820</v>
      </c>
      <c r="G777" s="57">
        <v>8530</v>
      </c>
      <c r="H777" s="54">
        <f t="shared" si="59"/>
        <v>9290</v>
      </c>
      <c r="I777" s="58">
        <v>2.7</v>
      </c>
      <c r="J777" s="54">
        <f t="shared" si="60"/>
        <v>9039.17</v>
      </c>
      <c r="K777" s="57">
        <v>3650</v>
      </c>
      <c r="L777" s="54">
        <f t="shared" si="61"/>
        <v>32992970.5</v>
      </c>
      <c r="P777" s="139">
        <v>32127000</v>
      </c>
      <c r="Q777" s="139">
        <f t="shared" si="62"/>
        <v>865970.5</v>
      </c>
    </row>
    <row r="778" spans="1:17" hidden="1" x14ac:dyDescent="0.3">
      <c r="A778" s="54" t="s">
        <v>1576</v>
      </c>
      <c r="B778" s="54"/>
      <c r="C778" s="54">
        <v>240750390</v>
      </c>
      <c r="D778" s="54" t="s">
        <v>1578</v>
      </c>
      <c r="E778" s="55"/>
      <c r="F778" s="57"/>
      <c r="G778" s="57"/>
      <c r="H778" s="54">
        <f t="shared" si="59"/>
        <v>0</v>
      </c>
      <c r="I778" s="58"/>
      <c r="J778" s="54">
        <f t="shared" si="60"/>
        <v>0</v>
      </c>
      <c r="K778" s="57"/>
      <c r="L778" s="54">
        <f t="shared" si="61"/>
        <v>0</v>
      </c>
      <c r="Q778" s="139">
        <f t="shared" si="62"/>
        <v>0</v>
      </c>
    </row>
    <row r="779" spans="1:17" hidden="1" x14ac:dyDescent="0.3">
      <c r="A779" s="54"/>
      <c r="B779" s="54"/>
      <c r="C779" s="54">
        <v>500000</v>
      </c>
      <c r="D779" s="54" t="s">
        <v>1084</v>
      </c>
      <c r="E779" s="55" t="s">
        <v>1577</v>
      </c>
      <c r="F779" s="57">
        <v>17300</v>
      </c>
      <c r="G779" s="57">
        <v>9760</v>
      </c>
      <c r="H779" s="54">
        <f t="shared" si="59"/>
        <v>7540</v>
      </c>
      <c r="I779" s="58">
        <v>2.4</v>
      </c>
      <c r="J779" s="54">
        <f t="shared" si="60"/>
        <v>7359.04</v>
      </c>
      <c r="K779" s="57">
        <v>3400</v>
      </c>
      <c r="L779" s="54">
        <f t="shared" si="61"/>
        <v>25020736</v>
      </c>
      <c r="P779" s="139">
        <v>25355000</v>
      </c>
      <c r="Q779" s="139">
        <f t="shared" si="62"/>
        <v>-334264</v>
      </c>
    </row>
    <row r="780" spans="1:17" hidden="1" x14ac:dyDescent="0.3">
      <c r="A780" s="54"/>
      <c r="B780" s="54"/>
      <c r="C780" s="54"/>
      <c r="D780" s="54"/>
      <c r="E780" s="55" t="s">
        <v>1148</v>
      </c>
      <c r="F780" s="57">
        <v>26280</v>
      </c>
      <c r="G780" s="57">
        <v>14050</v>
      </c>
      <c r="H780" s="54">
        <f t="shared" si="59"/>
        <v>12230</v>
      </c>
      <c r="I780" s="58">
        <v>1.8</v>
      </c>
      <c r="J780" s="54">
        <f t="shared" si="60"/>
        <v>12009.86</v>
      </c>
      <c r="K780" s="57">
        <v>3650</v>
      </c>
      <c r="L780" s="54">
        <f t="shared" si="61"/>
        <v>43835989</v>
      </c>
      <c r="P780" s="139">
        <v>42350000</v>
      </c>
      <c r="Q780" s="139">
        <f t="shared" si="62"/>
        <v>1485989</v>
      </c>
    </row>
    <row r="781" spans="1:17" hidden="1" x14ac:dyDescent="0.3">
      <c r="A781" s="54"/>
      <c r="B781" s="54"/>
      <c r="C781" s="54"/>
      <c r="D781" s="54"/>
      <c r="E781" s="55"/>
      <c r="F781" s="57"/>
      <c r="G781" s="57"/>
      <c r="H781" s="54">
        <f t="shared" si="59"/>
        <v>0</v>
      </c>
      <c r="I781" s="58"/>
      <c r="J781" s="54">
        <f t="shared" si="60"/>
        <v>0</v>
      </c>
      <c r="K781" s="57"/>
      <c r="L781" s="54">
        <f t="shared" si="61"/>
        <v>0</v>
      </c>
      <c r="Q781" s="139">
        <f t="shared" si="62"/>
        <v>0</v>
      </c>
    </row>
    <row r="782" spans="1:17" hidden="1" x14ac:dyDescent="0.3">
      <c r="A782" s="54" t="s">
        <v>1583</v>
      </c>
      <c r="B782" s="54"/>
      <c r="C782" s="54"/>
      <c r="D782" s="54"/>
      <c r="E782" s="55" t="s">
        <v>678</v>
      </c>
      <c r="F782" s="57">
        <v>25100</v>
      </c>
      <c r="G782" s="57">
        <v>12420</v>
      </c>
      <c r="H782" s="54">
        <f t="shared" si="59"/>
        <v>12680</v>
      </c>
      <c r="I782" s="58">
        <v>2.4</v>
      </c>
      <c r="J782" s="54">
        <f t="shared" si="60"/>
        <v>12375.68</v>
      </c>
      <c r="K782" s="57">
        <v>3380</v>
      </c>
      <c r="L782" s="54">
        <f t="shared" si="61"/>
        <v>41829798.399999999</v>
      </c>
      <c r="P782" s="139">
        <v>41036000</v>
      </c>
      <c r="Q782" s="139">
        <f t="shared" si="62"/>
        <v>793798.39999999851</v>
      </c>
    </row>
    <row r="783" spans="1:17" hidden="1" x14ac:dyDescent="0.3">
      <c r="A783" s="54"/>
      <c r="B783" s="54"/>
      <c r="C783" s="54"/>
      <c r="D783" s="54"/>
      <c r="E783" s="55" t="s">
        <v>1510</v>
      </c>
      <c r="F783" s="57">
        <v>18760</v>
      </c>
      <c r="G783" s="57">
        <v>9140</v>
      </c>
      <c r="H783" s="54">
        <f t="shared" si="59"/>
        <v>9620</v>
      </c>
      <c r="I783" s="58">
        <v>1.75</v>
      </c>
      <c r="J783" s="54">
        <f t="shared" si="60"/>
        <v>9451.65</v>
      </c>
      <c r="K783" s="57">
        <v>3700</v>
      </c>
      <c r="L783" s="54">
        <f t="shared" si="61"/>
        <v>34971105</v>
      </c>
      <c r="P783" s="139">
        <v>33608000</v>
      </c>
      <c r="Q783" s="139">
        <f t="shared" si="62"/>
        <v>1363105</v>
      </c>
    </row>
    <row r="784" spans="1:17" hidden="1" x14ac:dyDescent="0.3">
      <c r="A784" s="54"/>
      <c r="B784" s="54"/>
      <c r="C784" s="54">
        <v>57500</v>
      </c>
      <c r="D784" s="54" t="s">
        <v>758</v>
      </c>
      <c r="E784" s="55" t="s">
        <v>1584</v>
      </c>
      <c r="F784" s="57">
        <v>18750</v>
      </c>
      <c r="G784" s="57">
        <v>9980</v>
      </c>
      <c r="H784" s="54">
        <f t="shared" si="59"/>
        <v>8770</v>
      </c>
      <c r="I784" s="58">
        <v>3</v>
      </c>
      <c r="J784" s="54">
        <f t="shared" si="60"/>
        <v>8506.9</v>
      </c>
      <c r="K784" s="57">
        <v>3650</v>
      </c>
      <c r="L784" s="54">
        <f t="shared" si="61"/>
        <v>31050185</v>
      </c>
      <c r="P784" s="139">
        <v>30300000</v>
      </c>
      <c r="Q784" s="139">
        <f t="shared" si="62"/>
        <v>750185</v>
      </c>
    </row>
    <row r="785" spans="1:17" hidden="1" x14ac:dyDescent="0.3">
      <c r="A785" s="54" t="s">
        <v>1138</v>
      </c>
      <c r="B785" s="54"/>
      <c r="C785" s="54">
        <f>15000*12060</f>
        <v>180900000</v>
      </c>
      <c r="D785" s="54" t="s">
        <v>741</v>
      </c>
      <c r="E785" s="55"/>
      <c r="F785" s="57"/>
      <c r="G785" s="57"/>
      <c r="H785" s="54">
        <f t="shared" si="59"/>
        <v>0</v>
      </c>
      <c r="I785" s="58"/>
      <c r="J785" s="54">
        <f t="shared" si="60"/>
        <v>0</v>
      </c>
      <c r="K785" s="57"/>
      <c r="L785" s="54">
        <f t="shared" si="61"/>
        <v>0</v>
      </c>
      <c r="Q785" s="139">
        <f t="shared" si="62"/>
        <v>0</v>
      </c>
    </row>
    <row r="786" spans="1:17" hidden="1" x14ac:dyDescent="0.3">
      <c r="A786" s="54"/>
      <c r="B786" s="54"/>
      <c r="C786" s="54"/>
      <c r="D786" s="54"/>
      <c r="E786" s="55"/>
      <c r="F786" s="57"/>
      <c r="G786" s="57"/>
      <c r="H786" s="54">
        <f t="shared" si="59"/>
        <v>0</v>
      </c>
      <c r="I786" s="58"/>
      <c r="J786" s="54">
        <f t="shared" si="60"/>
        <v>0</v>
      </c>
      <c r="K786" s="57"/>
      <c r="L786" s="54">
        <f t="shared" si="61"/>
        <v>0</v>
      </c>
      <c r="Q786" s="139">
        <f t="shared" si="62"/>
        <v>0</v>
      </c>
    </row>
    <row r="787" spans="1:17" hidden="1" x14ac:dyDescent="0.3">
      <c r="A787" s="54"/>
      <c r="B787" s="54"/>
      <c r="C787" s="54"/>
      <c r="D787" s="54"/>
      <c r="E787" s="55"/>
      <c r="F787" s="57"/>
      <c r="G787" s="57"/>
      <c r="H787" s="54">
        <f t="shared" si="59"/>
        <v>0</v>
      </c>
      <c r="I787" s="58"/>
      <c r="J787" s="54">
        <f t="shared" si="60"/>
        <v>0</v>
      </c>
      <c r="K787" s="57"/>
      <c r="L787" s="54">
        <f t="shared" si="61"/>
        <v>0</v>
      </c>
      <c r="Q787" s="139">
        <f t="shared" si="62"/>
        <v>0</v>
      </c>
    </row>
    <row r="788" spans="1:17" hidden="1" x14ac:dyDescent="0.3">
      <c r="A788" s="54" t="s">
        <v>1590</v>
      </c>
      <c r="B788" s="54"/>
      <c r="C788" s="54"/>
      <c r="D788" s="54"/>
      <c r="E788" s="55" t="s">
        <v>1399</v>
      </c>
      <c r="F788" s="57">
        <v>26060</v>
      </c>
      <c r="G788" s="57">
        <v>13000</v>
      </c>
      <c r="H788" s="54">
        <f t="shared" si="59"/>
        <v>13060</v>
      </c>
      <c r="I788" s="58">
        <v>2.4</v>
      </c>
      <c r="J788" s="54">
        <f t="shared" si="60"/>
        <v>12746.56</v>
      </c>
      <c r="K788" s="57">
        <v>3380</v>
      </c>
      <c r="L788" s="54">
        <f t="shared" si="61"/>
        <v>43083372.799999997</v>
      </c>
      <c r="P788" s="139">
        <v>42125000</v>
      </c>
      <c r="Q788" s="139">
        <f t="shared" si="62"/>
        <v>958372.79999999702</v>
      </c>
    </row>
    <row r="789" spans="1:17" hidden="1" x14ac:dyDescent="0.3">
      <c r="A789" s="54"/>
      <c r="B789" s="54"/>
      <c r="C789" s="54"/>
      <c r="D789" s="54"/>
      <c r="E789" s="55" t="s">
        <v>1039</v>
      </c>
      <c r="F789" s="57">
        <v>17220</v>
      </c>
      <c r="G789" s="57">
        <v>8560</v>
      </c>
      <c r="H789" s="54">
        <f t="shared" si="59"/>
        <v>8660</v>
      </c>
      <c r="I789" s="58">
        <v>2.7</v>
      </c>
      <c r="J789" s="54">
        <f t="shared" si="60"/>
        <v>8426.18</v>
      </c>
      <c r="K789" s="57">
        <v>3650</v>
      </c>
      <c r="L789" s="54">
        <f t="shared" si="61"/>
        <v>30755557</v>
      </c>
      <c r="P789" s="139">
        <v>30027000</v>
      </c>
      <c r="Q789" s="139">
        <f t="shared" si="62"/>
        <v>728557</v>
      </c>
    </row>
    <row r="790" spans="1:17" hidden="1" x14ac:dyDescent="0.3">
      <c r="A790" s="54"/>
      <c r="B790" s="54"/>
      <c r="C790" s="54"/>
      <c r="D790" s="54"/>
      <c r="E790" s="55"/>
      <c r="F790" s="57"/>
      <c r="G790" s="57"/>
      <c r="H790" s="54">
        <f t="shared" si="59"/>
        <v>0</v>
      </c>
      <c r="I790" s="58"/>
      <c r="J790" s="54">
        <f t="shared" si="60"/>
        <v>0</v>
      </c>
      <c r="K790" s="57"/>
      <c r="L790" s="54">
        <f t="shared" si="61"/>
        <v>0</v>
      </c>
      <c r="Q790" s="139">
        <f t="shared" si="62"/>
        <v>0</v>
      </c>
    </row>
    <row r="791" spans="1:17" hidden="1" x14ac:dyDescent="0.3">
      <c r="A791" s="54" t="s">
        <v>1592</v>
      </c>
      <c r="B791" s="54"/>
      <c r="C791" s="54"/>
      <c r="D791" s="54"/>
      <c r="E791" s="55" t="s">
        <v>1593</v>
      </c>
      <c r="F791" s="57">
        <v>30560</v>
      </c>
      <c r="G791" s="57">
        <v>16680</v>
      </c>
      <c r="H791" s="54">
        <f t="shared" si="59"/>
        <v>13880</v>
      </c>
      <c r="I791" s="58">
        <v>2</v>
      </c>
      <c r="J791" s="54">
        <f t="shared" si="60"/>
        <v>13602.4</v>
      </c>
      <c r="K791" s="57">
        <v>3960</v>
      </c>
      <c r="L791" s="54">
        <f t="shared" si="61"/>
        <v>53865504</v>
      </c>
      <c r="P791" s="139">
        <v>53457000</v>
      </c>
      <c r="Q791" s="139">
        <f t="shared" si="62"/>
        <v>408504</v>
      </c>
    </row>
    <row r="792" spans="1:17" hidden="1" x14ac:dyDescent="0.3">
      <c r="A792" s="54"/>
      <c r="B792" s="54"/>
      <c r="C792" s="54">
        <v>250000</v>
      </c>
      <c r="D792" s="54" t="s">
        <v>1595</v>
      </c>
      <c r="E792" s="55" t="s">
        <v>1594</v>
      </c>
      <c r="F792" s="57">
        <v>17720</v>
      </c>
      <c r="G792" s="57">
        <v>9680</v>
      </c>
      <c r="H792" s="54">
        <f t="shared" si="59"/>
        <v>8040</v>
      </c>
      <c r="I792" s="58">
        <v>3</v>
      </c>
      <c r="J792" s="54">
        <f t="shared" si="60"/>
        <v>7798.8</v>
      </c>
      <c r="K792" s="57">
        <v>3380</v>
      </c>
      <c r="L792" s="54">
        <f t="shared" si="61"/>
        <v>26359944</v>
      </c>
      <c r="P792" s="139">
        <v>25410000</v>
      </c>
      <c r="Q792" s="139">
        <f t="shared" si="62"/>
        <v>949944</v>
      </c>
    </row>
    <row r="793" spans="1:17" hidden="1" x14ac:dyDescent="0.3">
      <c r="A793" s="54"/>
      <c r="B793" s="54"/>
      <c r="C793" s="54">
        <v>300000</v>
      </c>
      <c r="D793" s="54" t="s">
        <v>181</v>
      </c>
      <c r="E793" s="55" t="s">
        <v>1148</v>
      </c>
      <c r="F793" s="57">
        <v>24740</v>
      </c>
      <c r="G793" s="57">
        <v>14060</v>
      </c>
      <c r="H793" s="54">
        <f t="shared" si="59"/>
        <v>10680</v>
      </c>
      <c r="I793" s="58">
        <v>2.9</v>
      </c>
      <c r="J793" s="54">
        <f t="shared" si="60"/>
        <v>10370.280000000001</v>
      </c>
      <c r="K793" s="57">
        <v>3700</v>
      </c>
      <c r="L793" s="54">
        <f t="shared" si="61"/>
        <v>38370036</v>
      </c>
      <c r="P793" s="139">
        <v>37052000</v>
      </c>
      <c r="Q793" s="139">
        <f t="shared" si="62"/>
        <v>1318036</v>
      </c>
    </row>
    <row r="794" spans="1:17" hidden="1" x14ac:dyDescent="0.3">
      <c r="A794" s="54"/>
      <c r="B794" s="54"/>
      <c r="C794" s="54">
        <v>250000</v>
      </c>
      <c r="D794" s="54" t="s">
        <v>1596</v>
      </c>
      <c r="E794" s="55" t="s">
        <v>1597</v>
      </c>
      <c r="F794" s="57">
        <v>17910</v>
      </c>
      <c r="G794" s="57">
        <v>9900</v>
      </c>
      <c r="H794" s="54">
        <f t="shared" si="59"/>
        <v>8010</v>
      </c>
      <c r="I794" s="58">
        <v>1</v>
      </c>
      <c r="J794" s="54">
        <f t="shared" si="60"/>
        <v>7929.9</v>
      </c>
      <c r="K794" s="57">
        <v>3670</v>
      </c>
      <c r="L794" s="54">
        <f t="shared" si="61"/>
        <v>29102733</v>
      </c>
      <c r="P794" s="139">
        <v>28100000</v>
      </c>
      <c r="Q794" s="139">
        <f t="shared" si="62"/>
        <v>1002733</v>
      </c>
    </row>
    <row r="795" spans="1:17" hidden="1" x14ac:dyDescent="0.3">
      <c r="A795" s="54"/>
      <c r="B795" s="54"/>
      <c r="C795" s="54">
        <f>6000*12010</f>
        <v>72060000</v>
      </c>
      <c r="D795" s="54" t="s">
        <v>1144</v>
      </c>
      <c r="E795" s="55"/>
      <c r="F795" s="57"/>
      <c r="G795" s="57"/>
      <c r="H795" s="54"/>
      <c r="I795" s="58"/>
      <c r="J795" s="54"/>
      <c r="K795" s="57"/>
      <c r="L795" s="54">
        <f t="shared" ref="L795:L858" si="63">+J795*K795</f>
        <v>0</v>
      </c>
      <c r="Q795" s="139">
        <f t="shared" si="62"/>
        <v>0</v>
      </c>
    </row>
    <row r="796" spans="1:17" hidden="1" x14ac:dyDescent="0.3">
      <c r="A796" s="54"/>
      <c r="B796" s="54"/>
      <c r="C796" s="54">
        <v>30000</v>
      </c>
      <c r="D796" s="54" t="s">
        <v>548</v>
      </c>
      <c r="E796" s="55" t="s">
        <v>1598</v>
      </c>
      <c r="F796" s="57">
        <v>23580</v>
      </c>
      <c r="G796" s="57">
        <v>12510</v>
      </c>
      <c r="H796" s="54">
        <f t="shared" ref="H796:H858" si="64">+F796-G796</f>
        <v>11070</v>
      </c>
      <c r="I796" s="58">
        <v>1</v>
      </c>
      <c r="J796" s="54">
        <f t="shared" ref="J796:J858" si="65">+H796-H796*I796/100</f>
        <v>10959.3</v>
      </c>
      <c r="K796" s="57">
        <v>3700</v>
      </c>
      <c r="L796" s="54">
        <f t="shared" si="63"/>
        <v>40549410</v>
      </c>
      <c r="P796" s="139">
        <v>39078000</v>
      </c>
      <c r="Q796" s="139">
        <f t="shared" ref="Q796:Q859" si="66">+L796-P796</f>
        <v>1471410</v>
      </c>
    </row>
    <row r="797" spans="1:17" hidden="1" x14ac:dyDescent="0.3">
      <c r="A797" s="54"/>
      <c r="B797" s="54"/>
      <c r="C797" s="54"/>
      <c r="D797" s="54"/>
      <c r="E797" s="55" t="s">
        <v>1599</v>
      </c>
      <c r="F797" s="57">
        <v>19500</v>
      </c>
      <c r="G797" s="57">
        <v>9335</v>
      </c>
      <c r="H797" s="54">
        <f t="shared" si="64"/>
        <v>10165</v>
      </c>
      <c r="I797" s="58">
        <v>4</v>
      </c>
      <c r="J797" s="54">
        <f t="shared" si="65"/>
        <v>9758.4</v>
      </c>
      <c r="K797" s="57">
        <v>3650</v>
      </c>
      <c r="L797" s="54">
        <f t="shared" si="63"/>
        <v>35618160</v>
      </c>
      <c r="P797" s="139">
        <v>35054000</v>
      </c>
      <c r="Q797" s="139">
        <f t="shared" si="66"/>
        <v>564160</v>
      </c>
    </row>
    <row r="798" spans="1:17" hidden="1" x14ac:dyDescent="0.3">
      <c r="A798" s="54"/>
      <c r="B798" s="54"/>
      <c r="C798" s="54"/>
      <c r="D798" s="54"/>
      <c r="E798" s="55"/>
      <c r="F798" s="57"/>
      <c r="G798" s="57"/>
      <c r="H798" s="54">
        <f t="shared" si="64"/>
        <v>0</v>
      </c>
      <c r="I798" s="58"/>
      <c r="J798" s="54">
        <f t="shared" si="65"/>
        <v>0</v>
      </c>
      <c r="K798" s="57"/>
      <c r="L798" s="54">
        <f t="shared" si="63"/>
        <v>0</v>
      </c>
      <c r="Q798" s="139">
        <f t="shared" si="66"/>
        <v>0</v>
      </c>
    </row>
    <row r="799" spans="1:17" hidden="1" x14ac:dyDescent="0.3">
      <c r="A799" s="54" t="s">
        <v>1602</v>
      </c>
      <c r="B799" s="54"/>
      <c r="C799" s="54"/>
      <c r="D799" s="54"/>
      <c r="E799" s="55" t="s">
        <v>1603</v>
      </c>
      <c r="F799" s="57">
        <v>20650</v>
      </c>
      <c r="G799" s="57">
        <v>9660</v>
      </c>
      <c r="H799" s="54">
        <f t="shared" si="64"/>
        <v>10990</v>
      </c>
      <c r="I799" s="58">
        <v>2.6</v>
      </c>
      <c r="J799" s="54">
        <f t="shared" si="65"/>
        <v>10704.26</v>
      </c>
      <c r="K799" s="57">
        <v>3600</v>
      </c>
      <c r="L799" s="54">
        <f t="shared" si="63"/>
        <v>38535336</v>
      </c>
      <c r="P799" s="139">
        <v>37582000</v>
      </c>
      <c r="Q799" s="139">
        <f t="shared" si="66"/>
        <v>953336</v>
      </c>
    </row>
    <row r="800" spans="1:17" hidden="1" x14ac:dyDescent="0.3">
      <c r="A800" s="54"/>
      <c r="B800" s="54"/>
      <c r="C800" s="54">
        <v>800000</v>
      </c>
      <c r="D800" s="54" t="s">
        <v>334</v>
      </c>
      <c r="E800" s="55" t="s">
        <v>605</v>
      </c>
      <c r="F800" s="57">
        <v>18320</v>
      </c>
      <c r="G800" s="57">
        <v>9440</v>
      </c>
      <c r="H800" s="54">
        <f t="shared" si="64"/>
        <v>8880</v>
      </c>
      <c r="I800" s="58">
        <v>2.4</v>
      </c>
      <c r="J800" s="54">
        <f t="shared" si="65"/>
        <v>8666.8799999999992</v>
      </c>
      <c r="K800" s="57">
        <v>3380</v>
      </c>
      <c r="L800" s="54">
        <f t="shared" si="63"/>
        <v>29294054.399999999</v>
      </c>
      <c r="P800" s="139">
        <v>28800000</v>
      </c>
      <c r="Q800" s="139">
        <f t="shared" si="66"/>
        <v>494054.39999999851</v>
      </c>
    </row>
    <row r="801" spans="1:17" hidden="1" x14ac:dyDescent="0.3">
      <c r="A801" s="54"/>
      <c r="B801" s="54"/>
      <c r="C801" s="54"/>
      <c r="D801" s="54"/>
      <c r="E801" s="55"/>
      <c r="F801" s="57"/>
      <c r="G801" s="57"/>
      <c r="H801" s="54">
        <f t="shared" si="64"/>
        <v>0</v>
      </c>
      <c r="I801" s="58"/>
      <c r="J801" s="54">
        <f t="shared" si="65"/>
        <v>0</v>
      </c>
      <c r="K801" s="57"/>
      <c r="L801" s="54">
        <f t="shared" si="63"/>
        <v>0</v>
      </c>
      <c r="Q801" s="139">
        <f t="shared" si="66"/>
        <v>0</v>
      </c>
    </row>
    <row r="802" spans="1:17" hidden="1" x14ac:dyDescent="0.3">
      <c r="A802" s="54" t="s">
        <v>1608</v>
      </c>
      <c r="B802" s="54"/>
      <c r="C802" s="54">
        <f>12500*12040</f>
        <v>150500000</v>
      </c>
      <c r="D802" s="54" t="s">
        <v>1609</v>
      </c>
      <c r="E802" s="55" t="s">
        <v>1563</v>
      </c>
      <c r="F802" s="57">
        <v>29760</v>
      </c>
      <c r="G802" s="57">
        <v>13180</v>
      </c>
      <c r="H802" s="54">
        <f t="shared" si="64"/>
        <v>16580</v>
      </c>
      <c r="I802" s="58">
        <v>2.4</v>
      </c>
      <c r="J802" s="54">
        <f t="shared" si="65"/>
        <v>16182.08</v>
      </c>
      <c r="K802" s="57">
        <v>3380</v>
      </c>
      <c r="L802" s="54">
        <f t="shared" si="63"/>
        <v>54695430.399999999</v>
      </c>
      <c r="P802" s="139">
        <v>53648000</v>
      </c>
      <c r="Q802" s="139">
        <f t="shared" si="66"/>
        <v>1047430.3999999985</v>
      </c>
    </row>
    <row r="803" spans="1:17" hidden="1" x14ac:dyDescent="0.3">
      <c r="A803" s="54"/>
      <c r="B803" s="54"/>
      <c r="C803" s="54"/>
      <c r="D803" s="54"/>
      <c r="E803" s="55" t="s">
        <v>1611</v>
      </c>
      <c r="F803" s="57">
        <v>25910</v>
      </c>
      <c r="G803" s="57">
        <v>13960</v>
      </c>
      <c r="H803" s="54">
        <f t="shared" si="64"/>
        <v>11950</v>
      </c>
      <c r="I803" s="58">
        <v>2.8</v>
      </c>
      <c r="J803" s="54">
        <f t="shared" si="65"/>
        <v>11615.4</v>
      </c>
      <c r="K803" s="57">
        <v>3650</v>
      </c>
      <c r="L803" s="54">
        <f t="shared" si="63"/>
        <v>42396210</v>
      </c>
      <c r="P803" s="139">
        <v>41356000</v>
      </c>
      <c r="Q803" s="139">
        <f t="shared" si="66"/>
        <v>1040210</v>
      </c>
    </row>
    <row r="804" spans="1:17" hidden="1" x14ac:dyDescent="0.3">
      <c r="A804" s="54"/>
      <c r="B804" s="54"/>
      <c r="C804" s="54"/>
      <c r="D804" s="54"/>
      <c r="E804" s="55"/>
      <c r="F804" s="57"/>
      <c r="G804" s="57"/>
      <c r="H804" s="54">
        <f t="shared" si="64"/>
        <v>0</v>
      </c>
      <c r="I804" s="58"/>
      <c r="J804" s="54">
        <f t="shared" si="65"/>
        <v>0</v>
      </c>
      <c r="K804" s="57"/>
      <c r="L804" s="54">
        <f t="shared" si="63"/>
        <v>0</v>
      </c>
      <c r="Q804" s="139">
        <f t="shared" si="66"/>
        <v>0</v>
      </c>
    </row>
    <row r="805" spans="1:17" hidden="1" x14ac:dyDescent="0.3">
      <c r="A805" s="54" t="s">
        <v>1612</v>
      </c>
      <c r="B805" s="54"/>
      <c r="C805" s="54">
        <f>4000*12100</f>
        <v>48400000</v>
      </c>
      <c r="D805" s="54" t="s">
        <v>1126</v>
      </c>
      <c r="E805" s="55" t="s">
        <v>1613</v>
      </c>
      <c r="F805" s="57">
        <v>16970</v>
      </c>
      <c r="G805" s="57">
        <v>9000</v>
      </c>
      <c r="H805" s="54">
        <f t="shared" si="64"/>
        <v>7970</v>
      </c>
      <c r="I805" s="58">
        <v>2</v>
      </c>
      <c r="J805" s="54">
        <f t="shared" si="65"/>
        <v>7810.6</v>
      </c>
      <c r="K805" s="57">
        <v>3630</v>
      </c>
      <c r="L805" s="54">
        <f t="shared" si="63"/>
        <v>28352478</v>
      </c>
      <c r="P805" s="139">
        <v>27218000</v>
      </c>
      <c r="Q805" s="139">
        <f t="shared" si="66"/>
        <v>1134478</v>
      </c>
    </row>
    <row r="806" spans="1:17" hidden="1" x14ac:dyDescent="0.3">
      <c r="A806" s="54"/>
      <c r="B806" s="54"/>
      <c r="C806" s="54"/>
      <c r="D806" s="177" t="s">
        <v>831</v>
      </c>
      <c r="E806" s="55" t="s">
        <v>1614</v>
      </c>
      <c r="F806" s="57">
        <v>20440</v>
      </c>
      <c r="G806" s="57">
        <v>9840</v>
      </c>
      <c r="H806" s="54">
        <f t="shared" si="64"/>
        <v>10600</v>
      </c>
      <c r="I806" s="58">
        <v>0</v>
      </c>
      <c r="J806" s="54">
        <f t="shared" si="65"/>
        <v>10600</v>
      </c>
      <c r="K806" s="57">
        <v>3700</v>
      </c>
      <c r="L806" s="54">
        <f t="shared" si="63"/>
        <v>39220000</v>
      </c>
      <c r="P806" s="139">
        <v>38372000</v>
      </c>
      <c r="Q806" s="139">
        <f t="shared" si="66"/>
        <v>848000</v>
      </c>
    </row>
    <row r="807" spans="1:17" hidden="1" x14ac:dyDescent="0.3">
      <c r="A807" s="54"/>
      <c r="B807" s="54"/>
      <c r="C807" s="54"/>
      <c r="D807" s="54"/>
      <c r="E807" s="55" t="s">
        <v>1336</v>
      </c>
      <c r="F807" s="57">
        <v>17320</v>
      </c>
      <c r="G807" s="57">
        <v>8440</v>
      </c>
      <c r="H807" s="54">
        <f t="shared" si="64"/>
        <v>8880</v>
      </c>
      <c r="I807" s="58">
        <v>2</v>
      </c>
      <c r="J807" s="54">
        <f t="shared" si="65"/>
        <v>8702.4</v>
      </c>
      <c r="K807" s="57">
        <v>3650</v>
      </c>
      <c r="L807" s="54">
        <f t="shared" si="63"/>
        <v>31763760</v>
      </c>
      <c r="P807" s="139">
        <v>30578000</v>
      </c>
      <c r="Q807" s="139">
        <f t="shared" si="66"/>
        <v>1185760</v>
      </c>
    </row>
    <row r="808" spans="1:17" hidden="1" x14ac:dyDescent="0.3">
      <c r="A808" s="54"/>
      <c r="B808" s="54"/>
      <c r="C808" s="54"/>
      <c r="D808" s="54"/>
      <c r="E808" s="55" t="s">
        <v>1615</v>
      </c>
      <c r="F808" s="57">
        <v>21140</v>
      </c>
      <c r="G808" s="57">
        <v>9610</v>
      </c>
      <c r="H808" s="54">
        <f t="shared" si="64"/>
        <v>11530</v>
      </c>
      <c r="I808" s="58">
        <v>2</v>
      </c>
      <c r="J808" s="54">
        <f t="shared" si="65"/>
        <v>11299.4</v>
      </c>
      <c r="K808" s="57">
        <v>3650</v>
      </c>
      <c r="L808" s="54">
        <f t="shared" si="63"/>
        <v>41242810</v>
      </c>
      <c r="P808" s="139">
        <v>40153000</v>
      </c>
      <c r="Q808" s="139">
        <f t="shared" si="66"/>
        <v>1089810</v>
      </c>
    </row>
    <row r="809" spans="1:17" hidden="1" x14ac:dyDescent="0.3">
      <c r="A809" s="54"/>
      <c r="B809" s="54"/>
      <c r="C809" s="54">
        <v>1000000</v>
      </c>
      <c r="D809" s="54" t="s">
        <v>1619</v>
      </c>
      <c r="E809" s="55" t="s">
        <v>1616</v>
      </c>
      <c r="F809" s="57">
        <v>15480</v>
      </c>
      <c r="G809" s="57">
        <v>9380</v>
      </c>
      <c r="H809" s="54">
        <f t="shared" si="64"/>
        <v>6100</v>
      </c>
      <c r="I809" s="58">
        <v>1</v>
      </c>
      <c r="J809" s="54">
        <f t="shared" si="65"/>
        <v>6039</v>
      </c>
      <c r="K809" s="57">
        <v>3700</v>
      </c>
      <c r="L809" s="54">
        <f t="shared" si="63"/>
        <v>22344300</v>
      </c>
      <c r="P809" s="139">
        <v>21374000</v>
      </c>
      <c r="Q809" s="139">
        <f t="shared" si="66"/>
        <v>970300</v>
      </c>
    </row>
    <row r="810" spans="1:17" hidden="1" x14ac:dyDescent="0.3">
      <c r="A810" s="54"/>
      <c r="B810" s="54"/>
      <c r="C810" s="54"/>
      <c r="D810" s="54"/>
      <c r="E810" s="55" t="s">
        <v>1617</v>
      </c>
      <c r="F810" s="57">
        <v>18870</v>
      </c>
      <c r="G810" s="57">
        <v>9760</v>
      </c>
      <c r="H810" s="54">
        <f t="shared" si="64"/>
        <v>9110</v>
      </c>
      <c r="I810" s="58">
        <v>1</v>
      </c>
      <c r="J810" s="54">
        <f t="shared" si="65"/>
        <v>9018.9</v>
      </c>
      <c r="K810" s="57">
        <v>3650</v>
      </c>
      <c r="L810" s="54">
        <f t="shared" si="63"/>
        <v>32918985</v>
      </c>
      <c r="P810" s="139">
        <v>32140000</v>
      </c>
      <c r="Q810" s="139">
        <f t="shared" si="66"/>
        <v>778985</v>
      </c>
    </row>
    <row r="811" spans="1:17" hidden="1" x14ac:dyDescent="0.3">
      <c r="A811" s="54"/>
      <c r="B811" s="54"/>
      <c r="C811" s="54">
        <f>2000*12100</f>
        <v>24200000</v>
      </c>
      <c r="D811" s="54" t="s">
        <v>1273</v>
      </c>
      <c r="E811" s="55" t="s">
        <v>1618</v>
      </c>
      <c r="F811" s="57">
        <v>24340</v>
      </c>
      <c r="G811" s="57">
        <v>13260</v>
      </c>
      <c r="H811" s="54">
        <f t="shared" si="64"/>
        <v>11080</v>
      </c>
      <c r="I811" s="58">
        <v>3</v>
      </c>
      <c r="J811" s="54">
        <f t="shared" si="65"/>
        <v>10747.6</v>
      </c>
      <c r="K811" s="57">
        <v>3400</v>
      </c>
      <c r="L811" s="54">
        <f t="shared" si="63"/>
        <v>36541840</v>
      </c>
      <c r="P811" s="139">
        <v>37000000</v>
      </c>
      <c r="Q811" s="139">
        <f t="shared" si="66"/>
        <v>-458160</v>
      </c>
    </row>
    <row r="812" spans="1:17" hidden="1" x14ac:dyDescent="0.3">
      <c r="A812" s="54" t="s">
        <v>1622</v>
      </c>
      <c r="B812" s="54"/>
      <c r="C812" s="54">
        <f>5650*12050</f>
        <v>68082500</v>
      </c>
      <c r="D812" s="54" t="s">
        <v>1624</v>
      </c>
      <c r="E812" s="55"/>
      <c r="F812" s="57"/>
      <c r="G812" s="57"/>
      <c r="H812" s="54">
        <f t="shared" si="64"/>
        <v>0</v>
      </c>
      <c r="I812" s="58"/>
      <c r="J812" s="54">
        <f t="shared" si="65"/>
        <v>0</v>
      </c>
      <c r="K812" s="57"/>
      <c r="L812" s="54">
        <f t="shared" si="63"/>
        <v>0</v>
      </c>
      <c r="Q812" s="139">
        <f t="shared" si="66"/>
        <v>0</v>
      </c>
    </row>
    <row r="813" spans="1:17" hidden="1" x14ac:dyDescent="0.3">
      <c r="A813" s="54"/>
      <c r="B813" s="54"/>
      <c r="C813" s="54"/>
      <c r="D813" s="54"/>
      <c r="E813" s="55" t="s">
        <v>921</v>
      </c>
      <c r="F813" s="57">
        <v>21760</v>
      </c>
      <c r="G813" s="57">
        <v>10510</v>
      </c>
      <c r="H813" s="54">
        <f t="shared" si="64"/>
        <v>11250</v>
      </c>
      <c r="I813" s="58">
        <v>2</v>
      </c>
      <c r="J813" s="54">
        <f t="shared" si="65"/>
        <v>11025</v>
      </c>
      <c r="K813" s="57">
        <v>3650</v>
      </c>
      <c r="L813" s="54">
        <f t="shared" si="63"/>
        <v>40241250</v>
      </c>
      <c r="P813" s="139">
        <v>38740000</v>
      </c>
      <c r="Q813" s="139">
        <f t="shared" si="66"/>
        <v>1501250</v>
      </c>
    </row>
    <row r="814" spans="1:17" hidden="1" x14ac:dyDescent="0.3">
      <c r="A814" s="54"/>
      <c r="B814" s="54"/>
      <c r="C814" s="54"/>
      <c r="D814" s="54"/>
      <c r="E814" s="55" t="s">
        <v>1625</v>
      </c>
      <c r="F814" s="57">
        <v>25640</v>
      </c>
      <c r="G814" s="57">
        <v>14080</v>
      </c>
      <c r="H814" s="54">
        <f t="shared" si="64"/>
        <v>11560</v>
      </c>
      <c r="I814" s="58">
        <v>3.8</v>
      </c>
      <c r="J814" s="54">
        <f t="shared" si="65"/>
        <v>11120.72</v>
      </c>
      <c r="K814" s="57">
        <v>3380</v>
      </c>
      <c r="L814" s="54">
        <f t="shared" si="63"/>
        <v>37588033.600000001</v>
      </c>
      <c r="P814" s="139">
        <v>36450000</v>
      </c>
      <c r="Q814" s="139">
        <f t="shared" si="66"/>
        <v>1138033.6000000015</v>
      </c>
    </row>
    <row r="815" spans="1:17" hidden="1" x14ac:dyDescent="0.3">
      <c r="A815" s="54"/>
      <c r="B815" s="54"/>
      <c r="C815" s="210">
        <v>236237200</v>
      </c>
      <c r="D815" s="210" t="s">
        <v>1601</v>
      </c>
      <c r="E815" s="55"/>
      <c r="F815" s="57"/>
      <c r="G815" s="57"/>
      <c r="H815" s="54">
        <f t="shared" si="64"/>
        <v>0</v>
      </c>
      <c r="I815" s="58"/>
      <c r="J815" s="54">
        <f t="shared" si="65"/>
        <v>0</v>
      </c>
      <c r="K815" s="57"/>
      <c r="L815" s="54">
        <f t="shared" si="63"/>
        <v>0</v>
      </c>
      <c r="Q815" s="139">
        <f t="shared" si="66"/>
        <v>0</v>
      </c>
    </row>
    <row r="816" spans="1:17" hidden="1" x14ac:dyDescent="0.3">
      <c r="A816" s="177"/>
      <c r="B816" s="210">
        <v>3900000</v>
      </c>
      <c r="C816" s="210"/>
      <c r="D816" s="210" t="s">
        <v>1626</v>
      </c>
      <c r="E816" s="55"/>
      <c r="F816" s="57"/>
      <c r="G816" s="57"/>
      <c r="H816" s="54">
        <f t="shared" si="64"/>
        <v>0</v>
      </c>
      <c r="I816" s="58"/>
      <c r="J816" s="54">
        <f t="shared" si="65"/>
        <v>0</v>
      </c>
      <c r="K816" s="57"/>
      <c r="L816" s="54">
        <f t="shared" si="63"/>
        <v>0</v>
      </c>
      <c r="Q816" s="139">
        <f t="shared" si="66"/>
        <v>0</v>
      </c>
    </row>
    <row r="817" spans="1:17" hidden="1" x14ac:dyDescent="0.3">
      <c r="A817" s="54"/>
      <c r="B817" s="54">
        <v>11695000</v>
      </c>
      <c r="C817" s="54"/>
      <c r="D817" s="54" t="s">
        <v>1627</v>
      </c>
      <c r="E817" s="55"/>
      <c r="F817" s="57"/>
      <c r="G817" s="57"/>
      <c r="H817" s="54">
        <f t="shared" si="64"/>
        <v>0</v>
      </c>
      <c r="I817" s="58"/>
      <c r="J817" s="54">
        <f t="shared" si="65"/>
        <v>0</v>
      </c>
      <c r="K817" s="57"/>
      <c r="L817" s="54">
        <f t="shared" si="63"/>
        <v>0</v>
      </c>
      <c r="Q817" s="139">
        <f t="shared" si="66"/>
        <v>0</v>
      </c>
    </row>
    <row r="818" spans="1:17" hidden="1" x14ac:dyDescent="0.3">
      <c r="A818" s="54" t="s">
        <v>1630</v>
      </c>
      <c r="B818" s="54"/>
      <c r="C818" s="54">
        <f>10500*12040</f>
        <v>126420000</v>
      </c>
      <c r="D818" s="54" t="s">
        <v>1631</v>
      </c>
      <c r="E818" s="55"/>
      <c r="F818" s="57"/>
      <c r="G818" s="57"/>
      <c r="H818" s="54">
        <f t="shared" si="64"/>
        <v>0</v>
      </c>
      <c r="I818" s="58"/>
      <c r="J818" s="54">
        <f t="shared" si="65"/>
        <v>0</v>
      </c>
      <c r="K818" s="57"/>
      <c r="L818" s="54">
        <f t="shared" si="63"/>
        <v>0</v>
      </c>
      <c r="Q818" s="139">
        <f t="shared" si="66"/>
        <v>0</v>
      </c>
    </row>
    <row r="819" spans="1:17" hidden="1" x14ac:dyDescent="0.3">
      <c r="A819" s="54"/>
      <c r="B819" s="54"/>
      <c r="C819" s="54">
        <v>340000</v>
      </c>
      <c r="D819" s="54" t="s">
        <v>520</v>
      </c>
      <c r="E819" s="55" t="s">
        <v>1166</v>
      </c>
      <c r="F819" s="57">
        <v>23440</v>
      </c>
      <c r="G819" s="57">
        <v>12850</v>
      </c>
      <c r="H819" s="54">
        <f t="shared" si="64"/>
        <v>10590</v>
      </c>
      <c r="I819" s="58">
        <v>2.5499999999999998</v>
      </c>
      <c r="J819" s="54">
        <f t="shared" si="65"/>
        <v>10319.955</v>
      </c>
      <c r="K819" s="57">
        <v>3650</v>
      </c>
      <c r="L819" s="54">
        <f t="shared" si="63"/>
        <v>37667835.75</v>
      </c>
      <c r="P819" s="139">
        <v>36638000</v>
      </c>
      <c r="Q819" s="139">
        <f t="shared" si="66"/>
        <v>1029835.75</v>
      </c>
    </row>
    <row r="820" spans="1:17" hidden="1" x14ac:dyDescent="0.3">
      <c r="A820" s="54"/>
      <c r="B820" s="54">
        <v>500000</v>
      </c>
      <c r="C820" s="54"/>
      <c r="D820" s="54" t="s">
        <v>1342</v>
      </c>
      <c r="E820" s="55"/>
      <c r="F820" s="57"/>
      <c r="G820" s="57"/>
      <c r="H820" s="54">
        <f t="shared" si="64"/>
        <v>0</v>
      </c>
      <c r="I820" s="58">
        <v>0</v>
      </c>
      <c r="J820" s="54">
        <f t="shared" si="65"/>
        <v>0</v>
      </c>
      <c r="K820" s="57"/>
      <c r="L820" s="54">
        <f t="shared" si="63"/>
        <v>0</v>
      </c>
      <c r="Q820" s="139">
        <f t="shared" si="66"/>
        <v>0</v>
      </c>
    </row>
    <row r="821" spans="1:17" hidden="1" x14ac:dyDescent="0.3">
      <c r="A821" s="54" t="s">
        <v>1634</v>
      </c>
      <c r="B821" s="54"/>
      <c r="C821" s="54"/>
      <c r="D821" s="54"/>
      <c r="E821" s="55" t="s">
        <v>1635</v>
      </c>
      <c r="F821" s="57">
        <v>21050</v>
      </c>
      <c r="G821" s="57">
        <v>9640</v>
      </c>
      <c r="H821" s="54">
        <f t="shared" si="64"/>
        <v>11410</v>
      </c>
      <c r="I821" s="58">
        <v>2.2999999999999998</v>
      </c>
      <c r="J821" s="54">
        <f t="shared" si="65"/>
        <v>11147.57</v>
      </c>
      <c r="K821" s="57">
        <v>3700</v>
      </c>
      <c r="L821" s="54">
        <f t="shared" si="63"/>
        <v>41246009</v>
      </c>
      <c r="P821" s="139">
        <v>40300000</v>
      </c>
      <c r="Q821" s="139">
        <f t="shared" si="66"/>
        <v>946009</v>
      </c>
    </row>
    <row r="822" spans="1:17" hidden="1" x14ac:dyDescent="0.3">
      <c r="A822" s="54"/>
      <c r="B822" s="54"/>
      <c r="C822" s="54">
        <v>250000</v>
      </c>
      <c r="D822" s="54" t="s">
        <v>1084</v>
      </c>
      <c r="E822" s="55" t="s">
        <v>1636</v>
      </c>
      <c r="F822" s="57">
        <v>18520</v>
      </c>
      <c r="G822" s="57">
        <v>9660</v>
      </c>
      <c r="H822" s="54">
        <f t="shared" si="64"/>
        <v>8860</v>
      </c>
      <c r="I822" s="58">
        <v>2</v>
      </c>
      <c r="J822" s="54">
        <f t="shared" si="65"/>
        <v>8682.7999999999993</v>
      </c>
      <c r="K822" s="57">
        <v>3380</v>
      </c>
      <c r="L822" s="54">
        <f t="shared" si="63"/>
        <v>29347863.999999996</v>
      </c>
      <c r="P822" s="139">
        <v>28514000</v>
      </c>
      <c r="Q822" s="139">
        <f t="shared" si="66"/>
        <v>833863.99999999627</v>
      </c>
    </row>
    <row r="823" spans="1:17" hidden="1" x14ac:dyDescent="0.3">
      <c r="A823" s="54"/>
      <c r="B823" s="54"/>
      <c r="C823" s="54"/>
      <c r="D823" s="54"/>
      <c r="E823" s="54" t="s">
        <v>1637</v>
      </c>
      <c r="F823" s="57">
        <v>28840</v>
      </c>
      <c r="G823" s="57">
        <v>12320</v>
      </c>
      <c r="H823" s="54">
        <f t="shared" si="64"/>
        <v>16520</v>
      </c>
      <c r="I823" s="58">
        <v>2</v>
      </c>
      <c r="J823" s="54">
        <f t="shared" si="65"/>
        <v>16189.6</v>
      </c>
      <c r="K823" s="57">
        <v>3380</v>
      </c>
      <c r="L823" s="54">
        <f t="shared" si="63"/>
        <v>54720848</v>
      </c>
      <c r="P823" s="139">
        <v>53200000</v>
      </c>
      <c r="Q823" s="139">
        <f t="shared" si="66"/>
        <v>1520848</v>
      </c>
    </row>
    <row r="824" spans="1:17" hidden="1" x14ac:dyDescent="0.3">
      <c r="A824" s="54"/>
      <c r="B824" s="54"/>
      <c r="C824" s="54"/>
      <c r="D824" s="54"/>
      <c r="E824" s="55" t="s">
        <v>1399</v>
      </c>
      <c r="F824" s="57">
        <v>28140</v>
      </c>
      <c r="G824" s="57">
        <v>13560</v>
      </c>
      <c r="H824" s="54">
        <f t="shared" si="64"/>
        <v>14580</v>
      </c>
      <c r="I824" s="58">
        <v>3</v>
      </c>
      <c r="J824" s="54">
        <f t="shared" si="65"/>
        <v>14142.6</v>
      </c>
      <c r="K824" s="57">
        <v>3400</v>
      </c>
      <c r="L824" s="54">
        <f t="shared" si="63"/>
        <v>48084840</v>
      </c>
      <c r="P824" s="139">
        <v>47660000</v>
      </c>
      <c r="Q824" s="139">
        <f t="shared" si="66"/>
        <v>424840</v>
      </c>
    </row>
    <row r="825" spans="1:17" hidden="1" x14ac:dyDescent="0.3">
      <c r="A825" s="54"/>
      <c r="B825" s="54"/>
      <c r="C825" s="54"/>
      <c r="D825" s="54"/>
      <c r="E825" s="55" t="s">
        <v>1638</v>
      </c>
      <c r="F825" s="210">
        <v>23350</v>
      </c>
      <c r="G825" s="57">
        <v>9240</v>
      </c>
      <c r="H825" s="54">
        <f t="shared" si="64"/>
        <v>14110</v>
      </c>
      <c r="I825" s="58">
        <v>2</v>
      </c>
      <c r="J825" s="54">
        <f t="shared" si="65"/>
        <v>13827.8</v>
      </c>
      <c r="K825" s="57">
        <v>3650</v>
      </c>
      <c r="L825" s="54">
        <f t="shared" si="63"/>
        <v>50471470</v>
      </c>
      <c r="P825" s="139">
        <v>48262000</v>
      </c>
      <c r="Q825" s="139">
        <f t="shared" si="66"/>
        <v>2209470</v>
      </c>
    </row>
    <row r="826" spans="1:17" hidden="1" x14ac:dyDescent="0.3">
      <c r="A826" s="54"/>
      <c r="B826" s="54"/>
      <c r="C826" s="54"/>
      <c r="D826" s="54"/>
      <c r="E826" s="55"/>
      <c r="F826" s="57"/>
      <c r="G826" s="57"/>
      <c r="H826" s="54">
        <f t="shared" si="64"/>
        <v>0</v>
      </c>
      <c r="I826" s="58"/>
      <c r="J826" s="54">
        <f t="shared" si="65"/>
        <v>0</v>
      </c>
      <c r="K826" s="57"/>
      <c r="L826" s="54">
        <f t="shared" si="63"/>
        <v>0</v>
      </c>
      <c r="Q826" s="139">
        <f t="shared" si="66"/>
        <v>0</v>
      </c>
    </row>
    <row r="827" spans="1:17" hidden="1" x14ac:dyDescent="0.3">
      <c r="A827" s="54"/>
      <c r="B827" s="54"/>
      <c r="C827" s="54"/>
      <c r="D827" s="54"/>
      <c r="E827" s="55"/>
      <c r="F827" s="57"/>
      <c r="G827" s="57"/>
      <c r="H827" s="54">
        <f t="shared" si="64"/>
        <v>0</v>
      </c>
      <c r="I827" s="58"/>
      <c r="J827" s="54">
        <f t="shared" si="65"/>
        <v>0</v>
      </c>
      <c r="K827" s="57"/>
      <c r="L827" s="54">
        <f t="shared" si="63"/>
        <v>0</v>
      </c>
      <c r="Q827" s="139">
        <f t="shared" si="66"/>
        <v>0</v>
      </c>
    </row>
    <row r="828" spans="1:17" hidden="1" x14ac:dyDescent="0.3">
      <c r="A828" s="54" t="s">
        <v>1639</v>
      </c>
      <c r="B828" s="54"/>
      <c r="C828" s="54">
        <f>8000*12020</f>
        <v>96160000</v>
      </c>
      <c r="D828" s="54" t="s">
        <v>1154</v>
      </c>
      <c r="E828" s="55" t="s">
        <v>1039</v>
      </c>
      <c r="F828" s="57">
        <v>16710</v>
      </c>
      <c r="G828" s="57">
        <v>8540</v>
      </c>
      <c r="H828" s="54">
        <f t="shared" si="64"/>
        <v>8170</v>
      </c>
      <c r="I828" s="58">
        <v>2</v>
      </c>
      <c r="J828" s="54">
        <f t="shared" si="65"/>
        <v>8006.6</v>
      </c>
      <c r="K828" s="57">
        <v>3550</v>
      </c>
      <c r="L828" s="54">
        <f t="shared" si="63"/>
        <v>28423430</v>
      </c>
      <c r="P828" s="139">
        <v>28305000</v>
      </c>
      <c r="Q828" s="139">
        <f t="shared" si="66"/>
        <v>118430</v>
      </c>
    </row>
    <row r="829" spans="1:17" hidden="1" x14ac:dyDescent="0.3">
      <c r="A829" s="54"/>
      <c r="B829" s="54"/>
      <c r="C829" s="54"/>
      <c r="D829" s="54"/>
      <c r="E829" s="55"/>
      <c r="F829" s="57"/>
      <c r="G829" s="57"/>
      <c r="H829" s="54">
        <f t="shared" si="64"/>
        <v>0</v>
      </c>
      <c r="I829" s="58"/>
      <c r="J829" s="54">
        <f t="shared" si="65"/>
        <v>0</v>
      </c>
      <c r="K829" s="57"/>
      <c r="L829" s="54">
        <f t="shared" si="63"/>
        <v>0</v>
      </c>
      <c r="Q829" s="139">
        <f t="shared" si="66"/>
        <v>0</v>
      </c>
    </row>
    <row r="830" spans="1:17" hidden="1" x14ac:dyDescent="0.3">
      <c r="A830" s="54"/>
      <c r="B830" s="54"/>
      <c r="C830" s="54"/>
      <c r="D830" s="54"/>
      <c r="E830" s="55"/>
      <c r="F830" s="57"/>
      <c r="G830" s="57"/>
      <c r="H830" s="54">
        <f t="shared" si="64"/>
        <v>0</v>
      </c>
      <c r="I830" s="58"/>
      <c r="J830" s="54">
        <f t="shared" si="65"/>
        <v>0</v>
      </c>
      <c r="K830" s="57"/>
      <c r="L830" s="54">
        <f t="shared" si="63"/>
        <v>0</v>
      </c>
      <c r="Q830" s="139">
        <f t="shared" si="66"/>
        <v>0</v>
      </c>
    </row>
    <row r="831" spans="1:17" hidden="1" x14ac:dyDescent="0.3">
      <c r="A831" s="54" t="s">
        <v>1642</v>
      </c>
      <c r="B831" s="54"/>
      <c r="C831" s="54"/>
      <c r="D831" s="54"/>
      <c r="E831" s="55" t="s">
        <v>1541</v>
      </c>
      <c r="F831" s="57">
        <v>19690</v>
      </c>
      <c r="G831" s="57">
        <v>9610</v>
      </c>
      <c r="H831" s="54">
        <f t="shared" si="64"/>
        <v>10080</v>
      </c>
      <c r="I831" s="58">
        <v>2</v>
      </c>
      <c r="J831" s="54">
        <f t="shared" si="65"/>
        <v>9878.4</v>
      </c>
      <c r="K831" s="57">
        <v>3650</v>
      </c>
      <c r="L831" s="54">
        <f t="shared" si="63"/>
        <v>36056160</v>
      </c>
      <c r="P831" s="139">
        <v>33321000</v>
      </c>
      <c r="Q831" s="139">
        <f t="shared" si="66"/>
        <v>2735160</v>
      </c>
    </row>
    <row r="832" spans="1:17" hidden="1" x14ac:dyDescent="0.3">
      <c r="A832" s="54"/>
      <c r="B832" s="54"/>
      <c r="C832" s="54"/>
      <c r="D832" s="54"/>
      <c r="E832" s="55"/>
      <c r="F832" s="57"/>
      <c r="G832" s="57"/>
      <c r="H832" s="54">
        <f t="shared" si="64"/>
        <v>0</v>
      </c>
      <c r="I832" s="58"/>
      <c r="J832" s="54">
        <f t="shared" si="65"/>
        <v>0</v>
      </c>
      <c r="K832" s="57"/>
      <c r="L832" s="54">
        <f t="shared" si="63"/>
        <v>0</v>
      </c>
      <c r="Q832" s="139">
        <f t="shared" si="66"/>
        <v>0</v>
      </c>
    </row>
    <row r="833" spans="1:17" hidden="1" x14ac:dyDescent="0.3">
      <c r="A833" s="54" t="s">
        <v>1643</v>
      </c>
      <c r="B833" s="54"/>
      <c r="C833" s="54">
        <f>15000*12050</f>
        <v>180750000</v>
      </c>
      <c r="D833" s="54" t="s">
        <v>569</v>
      </c>
      <c r="E833" s="55" t="s">
        <v>1644</v>
      </c>
      <c r="F833" s="57">
        <v>27150</v>
      </c>
      <c r="G833" s="57">
        <v>14870</v>
      </c>
      <c r="H833" s="54">
        <f t="shared" si="64"/>
        <v>12280</v>
      </c>
      <c r="I833" s="58">
        <v>2.2999999999999998</v>
      </c>
      <c r="J833" s="54">
        <f t="shared" si="65"/>
        <v>11997.56</v>
      </c>
      <c r="K833" s="57">
        <v>3700</v>
      </c>
      <c r="L833" s="54">
        <f t="shared" si="63"/>
        <v>44390972</v>
      </c>
      <c r="P833" s="139">
        <v>43215000</v>
      </c>
      <c r="Q833" s="139">
        <f t="shared" si="66"/>
        <v>1175972</v>
      </c>
    </row>
    <row r="834" spans="1:17" hidden="1" x14ac:dyDescent="0.3">
      <c r="A834" s="54"/>
      <c r="B834" s="54">
        <v>1500000</v>
      </c>
      <c r="C834" s="54"/>
      <c r="D834" s="54" t="s">
        <v>1646</v>
      </c>
      <c r="E834" s="55" t="s">
        <v>1645</v>
      </c>
      <c r="F834" s="57">
        <v>10760</v>
      </c>
      <c r="G834" s="57">
        <v>4750</v>
      </c>
      <c r="H834" s="54">
        <f t="shared" si="64"/>
        <v>6010</v>
      </c>
      <c r="I834" s="58">
        <v>2</v>
      </c>
      <c r="J834" s="54">
        <f t="shared" si="65"/>
        <v>5889.8</v>
      </c>
      <c r="K834" s="57">
        <v>3700</v>
      </c>
      <c r="L834" s="54">
        <f t="shared" si="63"/>
        <v>21792260</v>
      </c>
      <c r="P834" s="139">
        <v>20944000</v>
      </c>
      <c r="Q834" s="139">
        <f t="shared" si="66"/>
        <v>848260</v>
      </c>
    </row>
    <row r="835" spans="1:17" hidden="1" x14ac:dyDescent="0.3">
      <c r="A835" s="54"/>
      <c r="B835" s="54"/>
      <c r="C835" s="54"/>
      <c r="D835" s="180" t="s">
        <v>831</v>
      </c>
      <c r="E835" s="55" t="s">
        <v>1647</v>
      </c>
      <c r="F835" s="57">
        <v>24795</v>
      </c>
      <c r="G835" s="57">
        <v>10265</v>
      </c>
      <c r="H835" s="54">
        <f t="shared" si="64"/>
        <v>14530</v>
      </c>
      <c r="I835" s="58">
        <v>2</v>
      </c>
      <c r="J835" s="54">
        <f t="shared" si="65"/>
        <v>14239.4</v>
      </c>
      <c r="K835" s="57">
        <v>3750</v>
      </c>
      <c r="L835" s="54">
        <f t="shared" si="63"/>
        <v>53397750</v>
      </c>
      <c r="P835" s="139">
        <v>52650000</v>
      </c>
      <c r="Q835" s="139">
        <f t="shared" si="66"/>
        <v>747750</v>
      </c>
    </row>
    <row r="836" spans="1:17" hidden="1" x14ac:dyDescent="0.3">
      <c r="A836" s="54"/>
      <c r="B836" s="210">
        <v>470000</v>
      </c>
      <c r="C836" s="210"/>
      <c r="D836" s="210" t="s">
        <v>1648</v>
      </c>
      <c r="E836" s="55"/>
      <c r="F836" s="57"/>
      <c r="G836" s="57"/>
      <c r="H836" s="54">
        <f t="shared" si="64"/>
        <v>0</v>
      </c>
      <c r="I836" s="58"/>
      <c r="J836" s="54">
        <f t="shared" si="65"/>
        <v>0</v>
      </c>
      <c r="K836" s="57"/>
      <c r="L836" s="54">
        <f t="shared" si="63"/>
        <v>0</v>
      </c>
      <c r="Q836" s="139">
        <f t="shared" si="66"/>
        <v>0</v>
      </c>
    </row>
    <row r="837" spans="1:17" hidden="1" x14ac:dyDescent="0.3">
      <c r="A837" s="54"/>
      <c r="B837" s="54"/>
      <c r="C837" s="54"/>
      <c r="D837" s="54"/>
      <c r="E837" s="55"/>
      <c r="F837" s="57"/>
      <c r="G837" s="57"/>
      <c r="H837" s="54">
        <f t="shared" si="64"/>
        <v>0</v>
      </c>
      <c r="I837" s="58"/>
      <c r="J837" s="54">
        <f t="shared" si="65"/>
        <v>0</v>
      </c>
      <c r="K837" s="57"/>
      <c r="L837" s="54">
        <f t="shared" si="63"/>
        <v>0</v>
      </c>
      <c r="Q837" s="139">
        <f t="shared" si="66"/>
        <v>0</v>
      </c>
    </row>
    <row r="838" spans="1:17" hidden="1" x14ac:dyDescent="0.3">
      <c r="A838" s="54"/>
      <c r="B838" s="54"/>
      <c r="C838" s="54"/>
      <c r="D838" s="54"/>
      <c r="E838" s="55"/>
      <c r="F838" s="57"/>
      <c r="G838" s="57"/>
      <c r="H838" s="54">
        <f t="shared" si="64"/>
        <v>0</v>
      </c>
      <c r="I838" s="58"/>
      <c r="J838" s="54">
        <f t="shared" si="65"/>
        <v>0</v>
      </c>
      <c r="K838" s="57"/>
      <c r="L838" s="54">
        <f t="shared" si="63"/>
        <v>0</v>
      </c>
      <c r="Q838" s="139">
        <f t="shared" si="66"/>
        <v>0</v>
      </c>
    </row>
    <row r="839" spans="1:17" hidden="1" x14ac:dyDescent="0.3">
      <c r="A839" s="54"/>
      <c r="B839" s="54"/>
      <c r="C839" s="54"/>
      <c r="D839" s="54"/>
      <c r="E839" s="55"/>
      <c r="F839" s="57"/>
      <c r="G839" s="57"/>
      <c r="H839" s="54">
        <f t="shared" si="64"/>
        <v>0</v>
      </c>
      <c r="I839" s="58"/>
      <c r="J839" s="54">
        <f t="shared" si="65"/>
        <v>0</v>
      </c>
      <c r="K839" s="57"/>
      <c r="L839" s="54">
        <f t="shared" si="63"/>
        <v>0</v>
      </c>
      <c r="Q839" s="139">
        <f t="shared" si="66"/>
        <v>0</v>
      </c>
    </row>
    <row r="840" spans="1:17" hidden="1" x14ac:dyDescent="0.3">
      <c r="A840" s="54" t="s">
        <v>1650</v>
      </c>
      <c r="B840" s="54"/>
      <c r="C840" s="54">
        <v>500000</v>
      </c>
      <c r="D840" s="54" t="s">
        <v>1165</v>
      </c>
      <c r="E840" s="55" t="s">
        <v>1651</v>
      </c>
      <c r="F840" s="57">
        <v>21800</v>
      </c>
      <c r="G840" s="57">
        <v>12790</v>
      </c>
      <c r="H840" s="54">
        <f t="shared" si="64"/>
        <v>9010</v>
      </c>
      <c r="I840" s="58">
        <v>1</v>
      </c>
      <c r="J840" s="54">
        <f t="shared" si="65"/>
        <v>8919.9</v>
      </c>
      <c r="K840" s="57">
        <v>3700</v>
      </c>
      <c r="L840" s="54">
        <f t="shared" si="63"/>
        <v>33003630</v>
      </c>
      <c r="P840" s="139">
        <v>31785000</v>
      </c>
      <c r="Q840" s="139">
        <f t="shared" si="66"/>
        <v>1218630</v>
      </c>
    </row>
    <row r="841" spans="1:17" hidden="1" x14ac:dyDescent="0.3">
      <c r="A841" s="54"/>
      <c r="B841" s="54"/>
      <c r="C841" s="54"/>
      <c r="D841" s="54"/>
      <c r="E841" s="55" t="s">
        <v>1399</v>
      </c>
      <c r="F841" s="57">
        <v>27720</v>
      </c>
      <c r="G841" s="57">
        <v>12980</v>
      </c>
      <c r="H841" s="54">
        <f t="shared" si="64"/>
        <v>14740</v>
      </c>
      <c r="I841" s="58">
        <v>2.4</v>
      </c>
      <c r="J841" s="54">
        <f t="shared" si="65"/>
        <v>14386.24</v>
      </c>
      <c r="K841" s="57">
        <v>3380</v>
      </c>
      <c r="L841" s="54">
        <f t="shared" si="63"/>
        <v>48625491.200000003</v>
      </c>
      <c r="P841" s="139">
        <v>47278000</v>
      </c>
      <c r="Q841" s="139">
        <f t="shared" si="66"/>
        <v>1347491.200000003</v>
      </c>
    </row>
    <row r="842" spans="1:17" hidden="1" x14ac:dyDescent="0.3">
      <c r="A842" s="54"/>
      <c r="B842" s="54"/>
      <c r="C842" s="54">
        <v>165000</v>
      </c>
      <c r="D842" s="54" t="s">
        <v>1653</v>
      </c>
      <c r="E842" s="55" t="s">
        <v>1652</v>
      </c>
      <c r="F842" s="57">
        <v>19000</v>
      </c>
      <c r="G842" s="57">
        <v>9660</v>
      </c>
      <c r="H842" s="54">
        <f t="shared" si="64"/>
        <v>9340</v>
      </c>
      <c r="I842" s="58">
        <v>2</v>
      </c>
      <c r="J842" s="54">
        <f t="shared" si="65"/>
        <v>9153.2000000000007</v>
      </c>
      <c r="K842" s="57">
        <v>3650</v>
      </c>
      <c r="L842" s="54">
        <f t="shared" si="63"/>
        <v>33409180.000000004</v>
      </c>
      <c r="P842" s="139">
        <f>32162000+165000</f>
        <v>32327000</v>
      </c>
      <c r="Q842" s="139">
        <f t="shared" si="66"/>
        <v>1082180.0000000037</v>
      </c>
    </row>
    <row r="843" spans="1:17" hidden="1" x14ac:dyDescent="0.3">
      <c r="A843" s="54"/>
      <c r="B843" s="54"/>
      <c r="C843" s="54"/>
      <c r="D843" s="54"/>
      <c r="E843" s="55"/>
      <c r="F843" s="57"/>
      <c r="G843" s="57"/>
      <c r="H843" s="54">
        <f t="shared" si="64"/>
        <v>0</v>
      </c>
      <c r="I843" s="58"/>
      <c r="J843" s="54">
        <f t="shared" si="65"/>
        <v>0</v>
      </c>
      <c r="K843" s="57"/>
      <c r="L843" s="54">
        <f t="shared" si="63"/>
        <v>0</v>
      </c>
      <c r="Q843" s="139">
        <f t="shared" si="66"/>
        <v>0</v>
      </c>
    </row>
    <row r="844" spans="1:17" hidden="1" x14ac:dyDescent="0.3">
      <c r="A844" s="54" t="s">
        <v>1654</v>
      </c>
      <c r="B844" s="54"/>
      <c r="C844" s="54">
        <v>120100000</v>
      </c>
      <c r="D844" s="54" t="s">
        <v>610</v>
      </c>
      <c r="E844" s="55"/>
      <c r="F844" s="57"/>
      <c r="G844" s="57"/>
      <c r="H844" s="54">
        <f t="shared" si="64"/>
        <v>0</v>
      </c>
      <c r="I844" s="58"/>
      <c r="J844" s="54">
        <f t="shared" si="65"/>
        <v>0</v>
      </c>
      <c r="K844" s="57"/>
      <c r="L844" s="54">
        <f t="shared" si="63"/>
        <v>0</v>
      </c>
      <c r="Q844" s="139">
        <f t="shared" si="66"/>
        <v>0</v>
      </c>
    </row>
    <row r="845" spans="1:17" hidden="1" x14ac:dyDescent="0.3">
      <c r="A845" s="54"/>
      <c r="B845" s="54"/>
      <c r="C845" s="54">
        <v>500000</v>
      </c>
      <c r="D845" s="54"/>
      <c r="E845" s="55" t="s">
        <v>1655</v>
      </c>
      <c r="F845" s="57">
        <v>23560</v>
      </c>
      <c r="G845" s="57">
        <v>13710</v>
      </c>
      <c r="H845" s="54">
        <f t="shared" si="64"/>
        <v>9850</v>
      </c>
      <c r="I845" s="58">
        <v>1</v>
      </c>
      <c r="J845" s="54">
        <f t="shared" si="65"/>
        <v>9751.5</v>
      </c>
      <c r="K845" s="57">
        <v>3700</v>
      </c>
      <c r="L845" s="54">
        <f t="shared" si="63"/>
        <v>36080550</v>
      </c>
      <c r="P845" s="139">
        <v>35000000</v>
      </c>
      <c r="Q845" s="139">
        <f t="shared" si="66"/>
        <v>1080550</v>
      </c>
    </row>
    <row r="846" spans="1:17" hidden="1" x14ac:dyDescent="0.3">
      <c r="A846" s="54"/>
      <c r="B846" s="54"/>
      <c r="C846" s="54"/>
      <c r="D846" s="54"/>
      <c r="E846" s="55"/>
      <c r="F846" s="57"/>
      <c r="G846" s="57"/>
      <c r="H846" s="54">
        <f t="shared" si="64"/>
        <v>0</v>
      </c>
      <c r="I846" s="58"/>
      <c r="J846" s="54">
        <f t="shared" si="65"/>
        <v>0</v>
      </c>
      <c r="K846" s="57"/>
      <c r="L846" s="54">
        <f t="shared" si="63"/>
        <v>0</v>
      </c>
      <c r="Q846" s="139">
        <f t="shared" si="66"/>
        <v>0</v>
      </c>
    </row>
    <row r="847" spans="1:17" hidden="1" x14ac:dyDescent="0.3">
      <c r="A847" s="54"/>
      <c r="B847" s="54">
        <v>7500000</v>
      </c>
      <c r="C847" s="54"/>
      <c r="D847" s="54" t="s">
        <v>1488</v>
      </c>
      <c r="E847" s="55"/>
      <c r="F847" s="57"/>
      <c r="G847" s="57"/>
      <c r="H847" s="54">
        <f t="shared" si="64"/>
        <v>0</v>
      </c>
      <c r="I847" s="58"/>
      <c r="J847" s="54">
        <f t="shared" si="65"/>
        <v>0</v>
      </c>
      <c r="K847" s="57"/>
      <c r="L847" s="54">
        <f t="shared" si="63"/>
        <v>0</v>
      </c>
      <c r="Q847" s="139">
        <f t="shared" si="66"/>
        <v>0</v>
      </c>
    </row>
    <row r="848" spans="1:17" hidden="1" x14ac:dyDescent="0.3">
      <c r="A848" s="54"/>
      <c r="B848" s="54"/>
      <c r="C848" s="54">
        <v>91752000</v>
      </c>
      <c r="D848" s="54" t="s">
        <v>976</v>
      </c>
      <c r="E848" s="55"/>
      <c r="F848" s="57"/>
      <c r="G848" s="57"/>
      <c r="H848" s="54">
        <f t="shared" si="64"/>
        <v>0</v>
      </c>
      <c r="I848" s="58"/>
      <c r="J848" s="54">
        <f t="shared" si="65"/>
        <v>0</v>
      </c>
      <c r="K848" s="57"/>
      <c r="L848" s="54">
        <f t="shared" si="63"/>
        <v>0</v>
      </c>
      <c r="Q848" s="139">
        <f t="shared" si="66"/>
        <v>0</v>
      </c>
    </row>
    <row r="849" spans="1:17" hidden="1" x14ac:dyDescent="0.3">
      <c r="A849" s="54"/>
      <c r="B849" s="54"/>
      <c r="C849" s="54">
        <v>1500000</v>
      </c>
      <c r="D849" s="54" t="s">
        <v>160</v>
      </c>
      <c r="E849" s="55"/>
      <c r="F849" s="57"/>
      <c r="G849" s="57"/>
      <c r="H849" s="54">
        <f t="shared" si="64"/>
        <v>0</v>
      </c>
      <c r="I849" s="58"/>
      <c r="J849" s="54">
        <f t="shared" si="65"/>
        <v>0</v>
      </c>
      <c r="K849" s="57"/>
      <c r="L849" s="54">
        <f t="shared" si="63"/>
        <v>0</v>
      </c>
      <c r="Q849" s="139">
        <f t="shared" si="66"/>
        <v>0</v>
      </c>
    </row>
    <row r="850" spans="1:17" hidden="1" x14ac:dyDescent="0.3">
      <c r="A850" s="54"/>
      <c r="B850" s="54"/>
      <c r="C850" s="54">
        <v>1800000</v>
      </c>
      <c r="D850" s="54" t="s">
        <v>1667</v>
      </c>
      <c r="E850" s="55"/>
      <c r="F850" s="57"/>
      <c r="G850" s="57"/>
      <c r="H850" s="54">
        <f t="shared" si="64"/>
        <v>0</v>
      </c>
      <c r="I850" s="58"/>
      <c r="J850" s="54">
        <f t="shared" si="65"/>
        <v>0</v>
      </c>
      <c r="K850" s="57"/>
      <c r="L850" s="54">
        <f t="shared" si="63"/>
        <v>0</v>
      </c>
      <c r="Q850" s="139">
        <f t="shared" si="66"/>
        <v>0</v>
      </c>
    </row>
    <row r="851" spans="1:17" hidden="1" x14ac:dyDescent="0.3">
      <c r="A851" s="54"/>
      <c r="B851" s="54"/>
      <c r="C851" s="54">
        <v>6000000</v>
      </c>
      <c r="D851" s="54" t="s">
        <v>1486</v>
      </c>
      <c r="E851" s="55"/>
      <c r="F851" s="57"/>
      <c r="G851" s="57"/>
      <c r="H851" s="54">
        <f t="shared" si="64"/>
        <v>0</v>
      </c>
      <c r="I851" s="58"/>
      <c r="J851" s="54">
        <f t="shared" si="65"/>
        <v>0</v>
      </c>
      <c r="K851" s="57"/>
      <c r="L851" s="54">
        <f t="shared" si="63"/>
        <v>0</v>
      </c>
      <c r="Q851" s="139">
        <f t="shared" si="66"/>
        <v>0</v>
      </c>
    </row>
    <row r="852" spans="1:17" hidden="1" x14ac:dyDescent="0.3">
      <c r="A852" s="54"/>
      <c r="B852" s="54"/>
      <c r="C852" s="54">
        <v>4669000</v>
      </c>
      <c r="D852" s="54" t="s">
        <v>130</v>
      </c>
      <c r="E852" s="55"/>
      <c r="F852" s="57"/>
      <c r="G852" s="57"/>
      <c r="H852" s="54">
        <f t="shared" si="64"/>
        <v>0</v>
      </c>
      <c r="I852" s="58"/>
      <c r="J852" s="54">
        <f t="shared" si="65"/>
        <v>0</v>
      </c>
      <c r="K852" s="57"/>
      <c r="L852" s="54">
        <f t="shared" si="63"/>
        <v>0</v>
      </c>
      <c r="Q852" s="139">
        <f t="shared" si="66"/>
        <v>0</v>
      </c>
    </row>
    <row r="853" spans="1:17" hidden="1" x14ac:dyDescent="0.3">
      <c r="A853" s="54"/>
      <c r="B853" s="54"/>
      <c r="C853" s="54">
        <v>11500000</v>
      </c>
      <c r="D853" s="54" t="s">
        <v>1487</v>
      </c>
      <c r="E853" s="55"/>
      <c r="F853" s="57"/>
      <c r="G853" s="57"/>
      <c r="H853" s="54">
        <f t="shared" si="64"/>
        <v>0</v>
      </c>
      <c r="I853" s="58"/>
      <c r="J853" s="54">
        <f t="shared" si="65"/>
        <v>0</v>
      </c>
      <c r="K853" s="57"/>
      <c r="L853" s="54">
        <f t="shared" si="63"/>
        <v>0</v>
      </c>
      <c r="Q853" s="139">
        <f t="shared" si="66"/>
        <v>0</v>
      </c>
    </row>
    <row r="854" spans="1:17" hidden="1" x14ac:dyDescent="0.3">
      <c r="A854" s="54" t="s">
        <v>1654</v>
      </c>
      <c r="B854" s="54"/>
      <c r="C854" s="54">
        <v>120000000</v>
      </c>
      <c r="D854" s="54" t="s">
        <v>1663</v>
      </c>
      <c r="E854" s="55"/>
      <c r="F854" s="57"/>
      <c r="G854" s="57"/>
      <c r="H854" s="54">
        <f t="shared" si="64"/>
        <v>0</v>
      </c>
      <c r="I854" s="58"/>
      <c r="J854" s="54">
        <f t="shared" si="65"/>
        <v>0</v>
      </c>
      <c r="K854" s="57"/>
      <c r="L854" s="54">
        <f t="shared" si="63"/>
        <v>0</v>
      </c>
      <c r="Q854" s="139">
        <f t="shared" si="66"/>
        <v>0</v>
      </c>
    </row>
    <row r="855" spans="1:17" hidden="1" x14ac:dyDescent="0.3">
      <c r="A855" s="54"/>
      <c r="B855" s="54"/>
      <c r="C855" s="54"/>
      <c r="D855" s="54"/>
      <c r="E855" s="55"/>
      <c r="F855" s="57"/>
      <c r="G855" s="57"/>
      <c r="H855" s="54">
        <f t="shared" ref="H855:H857" si="67">+F855-G855</f>
        <v>0</v>
      </c>
      <c r="I855" s="58"/>
      <c r="J855" s="54">
        <f t="shared" ref="J855:J857" si="68">+H855-H855*I855/100</f>
        <v>0</v>
      </c>
      <c r="K855" s="57"/>
      <c r="L855" s="54">
        <f t="shared" ref="L855:L857" si="69">+J855*K855</f>
        <v>0</v>
      </c>
      <c r="Q855" s="139">
        <f t="shared" ref="Q855:Q857" si="70">+L855-P855</f>
        <v>0</v>
      </c>
    </row>
    <row r="856" spans="1:17" hidden="1" x14ac:dyDescent="0.3">
      <c r="A856" s="54"/>
      <c r="B856" s="54"/>
      <c r="C856" s="54"/>
      <c r="D856" s="54"/>
      <c r="E856" s="55"/>
      <c r="F856" s="57"/>
      <c r="G856" s="57"/>
      <c r="H856" s="54">
        <f t="shared" si="67"/>
        <v>0</v>
      </c>
      <c r="I856" s="58"/>
      <c r="J856" s="54">
        <f t="shared" si="68"/>
        <v>0</v>
      </c>
      <c r="K856" s="57"/>
      <c r="L856" s="54">
        <f t="shared" si="69"/>
        <v>0</v>
      </c>
      <c r="Q856" s="139">
        <f t="shared" si="70"/>
        <v>0</v>
      </c>
    </row>
    <row r="857" spans="1:17" hidden="1" x14ac:dyDescent="0.3">
      <c r="A857" s="54"/>
      <c r="B857" s="54"/>
      <c r="C857" s="54"/>
      <c r="D857" s="54"/>
      <c r="E857" s="55"/>
      <c r="F857" s="57"/>
      <c r="G857" s="57"/>
      <c r="H857" s="54">
        <f t="shared" si="67"/>
        <v>0</v>
      </c>
      <c r="I857" s="58"/>
      <c r="J857" s="54">
        <f t="shared" si="68"/>
        <v>0</v>
      </c>
      <c r="K857" s="57"/>
      <c r="L857" s="54">
        <f t="shared" si="69"/>
        <v>0</v>
      </c>
      <c r="Q857" s="139">
        <f t="shared" si="70"/>
        <v>0</v>
      </c>
    </row>
    <row r="858" spans="1:17" hidden="1" x14ac:dyDescent="0.3">
      <c r="A858" s="54"/>
      <c r="B858" s="54"/>
      <c r="C858" s="54"/>
      <c r="D858" s="54"/>
      <c r="E858" s="55"/>
      <c r="F858" s="57"/>
      <c r="G858" s="57"/>
      <c r="H858" s="54">
        <f t="shared" si="64"/>
        <v>0</v>
      </c>
      <c r="I858" s="58"/>
      <c r="J858" s="54">
        <f t="shared" si="65"/>
        <v>0</v>
      </c>
      <c r="K858" s="57"/>
      <c r="L858" s="54">
        <f t="shared" si="63"/>
        <v>0</v>
      </c>
      <c r="Q858" s="139">
        <f t="shared" si="66"/>
        <v>0</v>
      </c>
    </row>
    <row r="859" spans="1:17" hidden="1" x14ac:dyDescent="0.3">
      <c r="A859" s="54"/>
      <c r="B859" s="54"/>
      <c r="C859" s="54"/>
      <c r="D859" s="54"/>
      <c r="E859" s="55"/>
      <c r="F859" s="57"/>
      <c r="G859" s="57"/>
      <c r="H859" s="54">
        <f t="shared" ref="H859:H922" si="71">+F859-G859</f>
        <v>0</v>
      </c>
      <c r="I859" s="58"/>
      <c r="J859" s="54">
        <f t="shared" ref="J859:J922" si="72">+H859-H859*I859/100</f>
        <v>0</v>
      </c>
      <c r="K859" s="57"/>
      <c r="L859" s="54">
        <f t="shared" ref="L859:L922" si="73">+J859*K859</f>
        <v>0</v>
      </c>
      <c r="Q859" s="139">
        <f t="shared" si="66"/>
        <v>0</v>
      </c>
    </row>
    <row r="860" spans="1:17" hidden="1" x14ac:dyDescent="0.3">
      <c r="A860" s="54"/>
      <c r="B860" s="54"/>
      <c r="C860" s="54"/>
      <c r="D860" s="54"/>
      <c r="E860" s="55"/>
      <c r="F860" s="57"/>
      <c r="G860" s="57"/>
      <c r="H860" s="54">
        <f t="shared" si="71"/>
        <v>0</v>
      </c>
      <c r="I860" s="58"/>
      <c r="J860" s="54">
        <f t="shared" si="72"/>
        <v>0</v>
      </c>
      <c r="K860" s="57"/>
      <c r="L860" s="54">
        <f t="shared" si="73"/>
        <v>0</v>
      </c>
      <c r="Q860" s="139">
        <f t="shared" ref="Q860:Q923" si="74">+L860-P860</f>
        <v>0</v>
      </c>
    </row>
    <row r="861" spans="1:17" hidden="1" x14ac:dyDescent="0.3">
      <c r="A861" s="54"/>
      <c r="B861" s="54"/>
      <c r="C861" s="54"/>
      <c r="D861" s="54"/>
      <c r="E861" s="55"/>
      <c r="F861" s="57"/>
      <c r="G861" s="57"/>
      <c r="H861" s="54">
        <f t="shared" si="71"/>
        <v>0</v>
      </c>
      <c r="I861" s="58"/>
      <c r="J861" s="54">
        <f t="shared" si="72"/>
        <v>0</v>
      </c>
      <c r="K861" s="57"/>
      <c r="L861" s="54">
        <f t="shared" si="73"/>
        <v>0</v>
      </c>
      <c r="Q861" s="139">
        <f t="shared" si="74"/>
        <v>0</v>
      </c>
    </row>
    <row r="862" spans="1:17" hidden="1" x14ac:dyDescent="0.3">
      <c r="A862" s="54"/>
      <c r="B862" s="54"/>
      <c r="C862" s="54"/>
      <c r="D862" s="54"/>
      <c r="E862" s="55"/>
      <c r="F862" s="57"/>
      <c r="G862" s="57"/>
      <c r="H862" s="54">
        <f t="shared" si="71"/>
        <v>0</v>
      </c>
      <c r="I862" s="58"/>
      <c r="J862" s="54">
        <f t="shared" si="72"/>
        <v>0</v>
      </c>
      <c r="K862" s="57"/>
      <c r="L862" s="54">
        <f t="shared" si="73"/>
        <v>0</v>
      </c>
      <c r="Q862" s="139">
        <f t="shared" si="74"/>
        <v>0</v>
      </c>
    </row>
    <row r="863" spans="1:17" hidden="1" x14ac:dyDescent="0.3">
      <c r="A863" s="54"/>
      <c r="B863" s="54"/>
      <c r="C863" s="54"/>
      <c r="D863" s="54"/>
      <c r="E863" s="55"/>
      <c r="F863" s="57"/>
      <c r="G863" s="57"/>
      <c r="H863" s="54">
        <f t="shared" si="71"/>
        <v>0</v>
      </c>
      <c r="I863" s="58"/>
      <c r="J863" s="54">
        <f t="shared" si="72"/>
        <v>0</v>
      </c>
      <c r="K863" s="57"/>
      <c r="L863" s="54">
        <f t="shared" si="73"/>
        <v>0</v>
      </c>
      <c r="Q863" s="139">
        <f t="shared" si="74"/>
        <v>0</v>
      </c>
    </row>
    <row r="864" spans="1:17" hidden="1" x14ac:dyDescent="0.3">
      <c r="A864" s="54"/>
      <c r="B864" s="54"/>
      <c r="C864" s="54"/>
      <c r="D864" s="54"/>
      <c r="E864" s="55"/>
      <c r="F864" s="57"/>
      <c r="G864" s="57"/>
      <c r="H864" s="54">
        <f t="shared" si="71"/>
        <v>0</v>
      </c>
      <c r="I864" s="58"/>
      <c r="J864" s="54">
        <f t="shared" si="72"/>
        <v>0</v>
      </c>
      <c r="K864" s="57"/>
      <c r="L864" s="54">
        <f t="shared" si="73"/>
        <v>0</v>
      </c>
      <c r="Q864" s="139">
        <f t="shared" si="74"/>
        <v>0</v>
      </c>
    </row>
    <row r="865" spans="1:17" hidden="1" x14ac:dyDescent="0.3">
      <c r="A865" s="54"/>
      <c r="B865" s="54"/>
      <c r="C865" s="54"/>
      <c r="D865" s="54"/>
      <c r="E865" s="55"/>
      <c r="F865" s="57"/>
      <c r="G865" s="57"/>
      <c r="H865" s="54">
        <f t="shared" si="71"/>
        <v>0</v>
      </c>
      <c r="I865" s="58"/>
      <c r="J865" s="54">
        <f t="shared" si="72"/>
        <v>0</v>
      </c>
      <c r="K865" s="57"/>
      <c r="L865" s="54">
        <f t="shared" si="73"/>
        <v>0</v>
      </c>
      <c r="Q865" s="139">
        <f t="shared" si="74"/>
        <v>0</v>
      </c>
    </row>
    <row r="866" spans="1:17" hidden="1" x14ac:dyDescent="0.3">
      <c r="A866" s="54"/>
      <c r="B866" s="54"/>
      <c r="C866" s="54"/>
      <c r="D866" s="54"/>
      <c r="E866" s="55"/>
      <c r="F866" s="57"/>
      <c r="G866" s="57"/>
      <c r="H866" s="54">
        <f t="shared" si="71"/>
        <v>0</v>
      </c>
      <c r="I866" s="58"/>
      <c r="J866" s="54">
        <f t="shared" si="72"/>
        <v>0</v>
      </c>
      <c r="K866" s="57"/>
      <c r="L866" s="54">
        <f t="shared" si="73"/>
        <v>0</v>
      </c>
      <c r="Q866" s="139">
        <f t="shared" si="74"/>
        <v>0</v>
      </c>
    </row>
    <row r="867" spans="1:17" hidden="1" x14ac:dyDescent="0.3">
      <c r="A867" s="54"/>
      <c r="B867" s="54"/>
      <c r="C867" s="54"/>
      <c r="D867" s="54"/>
      <c r="E867" s="55"/>
      <c r="F867" s="57"/>
      <c r="G867" s="57"/>
      <c r="H867" s="54">
        <f t="shared" si="71"/>
        <v>0</v>
      </c>
      <c r="I867" s="58"/>
      <c r="J867" s="54">
        <f t="shared" si="72"/>
        <v>0</v>
      </c>
      <c r="K867" s="57"/>
      <c r="L867" s="54">
        <f t="shared" si="73"/>
        <v>0</v>
      </c>
      <c r="Q867" s="139">
        <f t="shared" si="74"/>
        <v>0</v>
      </c>
    </row>
    <row r="868" spans="1:17" hidden="1" x14ac:dyDescent="0.3">
      <c r="A868" s="54"/>
      <c r="B868" s="54"/>
      <c r="C868" s="54"/>
      <c r="D868" s="54"/>
      <c r="E868" s="55"/>
      <c r="F868" s="57"/>
      <c r="G868" s="57"/>
      <c r="H868" s="54">
        <f t="shared" si="71"/>
        <v>0</v>
      </c>
      <c r="I868" s="58"/>
      <c r="J868" s="54">
        <f t="shared" si="72"/>
        <v>0</v>
      </c>
      <c r="K868" s="57"/>
      <c r="L868" s="54">
        <f t="shared" si="73"/>
        <v>0</v>
      </c>
      <c r="Q868" s="139">
        <f t="shared" si="74"/>
        <v>0</v>
      </c>
    </row>
    <row r="869" spans="1:17" x14ac:dyDescent="0.3">
      <c r="A869" s="54"/>
      <c r="B869" s="54"/>
      <c r="C869" s="54"/>
      <c r="D869" s="54"/>
      <c r="E869" s="55"/>
      <c r="F869" s="57"/>
      <c r="G869" s="57"/>
      <c r="H869" s="54">
        <f>+F869-G869</f>
        <v>0</v>
      </c>
      <c r="I869" s="58"/>
      <c r="J869" s="54">
        <f t="shared" si="72"/>
        <v>0</v>
      </c>
      <c r="K869" s="57"/>
      <c r="L869" s="54">
        <f t="shared" si="73"/>
        <v>0</v>
      </c>
      <c r="Q869" s="139">
        <f t="shared" si="74"/>
        <v>0</v>
      </c>
    </row>
    <row r="870" spans="1:17" hidden="1" x14ac:dyDescent="0.3">
      <c r="A870" s="54" t="s">
        <v>1684</v>
      </c>
      <c r="B870" s="54"/>
      <c r="C870" s="54"/>
      <c r="D870" s="54"/>
      <c r="E870" s="55" t="s">
        <v>1685</v>
      </c>
      <c r="F870" s="57">
        <v>19580</v>
      </c>
      <c r="G870" s="57">
        <v>9720</v>
      </c>
      <c r="H870" s="54">
        <f>+F870-G870</f>
        <v>9860</v>
      </c>
      <c r="I870" s="58">
        <v>2</v>
      </c>
      <c r="J870" s="54">
        <f>+H870-H870*I870/100</f>
        <v>9662.7999999999993</v>
      </c>
      <c r="K870" s="57">
        <v>3650</v>
      </c>
      <c r="L870" s="54">
        <f>+J870*K870</f>
        <v>35269220</v>
      </c>
      <c r="P870" s="139">
        <v>33952910</v>
      </c>
      <c r="Q870" s="139">
        <f>+L870-P870</f>
        <v>1316310</v>
      </c>
    </row>
    <row r="871" spans="1:17" hidden="1" x14ac:dyDescent="0.3">
      <c r="A871" s="54"/>
      <c r="B871" s="54">
        <v>840000</v>
      </c>
      <c r="C871" s="54"/>
      <c r="D871" s="54" t="s">
        <v>1688</v>
      </c>
      <c r="E871" s="55" t="s">
        <v>1686</v>
      </c>
      <c r="F871" s="57">
        <v>8450</v>
      </c>
      <c r="G871" s="57">
        <v>5110</v>
      </c>
      <c r="H871" s="54">
        <f>+F871-G871</f>
        <v>3340</v>
      </c>
      <c r="I871" s="58">
        <v>1.8</v>
      </c>
      <c r="J871" s="54">
        <f>+H871-H871*I871/100</f>
        <v>3279.88</v>
      </c>
      <c r="K871" s="57">
        <v>3700</v>
      </c>
      <c r="L871" s="54">
        <f>+J871*K871</f>
        <v>12135556</v>
      </c>
      <c r="P871" s="139">
        <f>12547920-840000</f>
        <v>11707920</v>
      </c>
      <c r="Q871" s="139">
        <f>+L871-P871</f>
        <v>427636</v>
      </c>
    </row>
    <row r="872" spans="1:17" hidden="1" x14ac:dyDescent="0.3">
      <c r="A872" s="54"/>
      <c r="B872" s="54"/>
      <c r="C872" s="54"/>
      <c r="D872" s="54"/>
      <c r="E872" s="55" t="s">
        <v>1687</v>
      </c>
      <c r="F872" s="57">
        <v>24500</v>
      </c>
      <c r="G872" s="57">
        <v>9660</v>
      </c>
      <c r="H872" s="54">
        <f>+F872-G872</f>
        <v>14840</v>
      </c>
      <c r="I872" s="58">
        <v>2</v>
      </c>
      <c r="J872" s="54">
        <f>+H872-H872*I872/100</f>
        <v>14543.2</v>
      </c>
      <c r="K872" s="57">
        <v>3700</v>
      </c>
      <c r="L872" s="54">
        <f>+J872*K872</f>
        <v>53809840</v>
      </c>
      <c r="P872" s="139">
        <v>50050900</v>
      </c>
      <c r="Q872" s="139">
        <f>+L872-P872</f>
        <v>3758940</v>
      </c>
    </row>
    <row r="873" spans="1:17" hidden="1" x14ac:dyDescent="0.3">
      <c r="A873" s="54"/>
      <c r="B873" s="54"/>
      <c r="C873" s="54"/>
      <c r="D873" s="54"/>
      <c r="E873" s="55"/>
      <c r="F873" s="57"/>
      <c r="G873" s="57"/>
      <c r="H873" s="54">
        <f t="shared" si="71"/>
        <v>0</v>
      </c>
      <c r="I873" s="58"/>
      <c r="J873" s="54">
        <f t="shared" si="72"/>
        <v>0</v>
      </c>
      <c r="K873" s="57"/>
      <c r="L873" s="54">
        <f t="shared" si="73"/>
        <v>0</v>
      </c>
      <c r="Q873" s="139">
        <f t="shared" si="74"/>
        <v>0</v>
      </c>
    </row>
    <row r="874" spans="1:17" hidden="1" x14ac:dyDescent="0.3">
      <c r="A874" s="54" t="s">
        <v>1696</v>
      </c>
      <c r="B874" s="54"/>
      <c r="C874" s="54"/>
      <c r="D874" s="54"/>
      <c r="E874" s="55" t="s">
        <v>1399</v>
      </c>
      <c r="F874" s="57">
        <v>28350</v>
      </c>
      <c r="G874" s="57">
        <v>12910</v>
      </c>
      <c r="H874" s="54">
        <f t="shared" si="71"/>
        <v>15440</v>
      </c>
      <c r="I874" s="58">
        <v>2</v>
      </c>
      <c r="J874" s="54">
        <f t="shared" si="72"/>
        <v>15131.2</v>
      </c>
      <c r="K874" s="57">
        <v>3380</v>
      </c>
      <c r="L874" s="54">
        <f t="shared" si="73"/>
        <v>51143456</v>
      </c>
      <c r="P874" s="139">
        <v>49423000</v>
      </c>
      <c r="Q874" s="139">
        <f t="shared" si="74"/>
        <v>1720456</v>
      </c>
    </row>
    <row r="875" spans="1:17" hidden="1" x14ac:dyDescent="0.3">
      <c r="A875" s="54"/>
      <c r="B875" s="54"/>
      <c r="C875" s="54"/>
      <c r="D875" s="54"/>
      <c r="E875" s="55" t="s">
        <v>1697</v>
      </c>
      <c r="F875" s="57">
        <v>10740</v>
      </c>
      <c r="G875" s="57">
        <v>5020</v>
      </c>
      <c r="H875" s="54">
        <f t="shared" si="71"/>
        <v>5720</v>
      </c>
      <c r="I875" s="58">
        <v>2.5</v>
      </c>
      <c r="J875" s="54">
        <f t="shared" si="72"/>
        <v>5577</v>
      </c>
      <c r="K875" s="57">
        <v>3630</v>
      </c>
      <c r="L875" s="54">
        <f t="shared" si="73"/>
        <v>20244510</v>
      </c>
      <c r="P875" s="139">
        <v>19930000</v>
      </c>
      <c r="Q875" s="139">
        <f t="shared" si="74"/>
        <v>314510</v>
      </c>
    </row>
    <row r="876" spans="1:17" hidden="1" x14ac:dyDescent="0.3">
      <c r="A876" s="54"/>
      <c r="B876" s="54"/>
      <c r="C876" s="54">
        <v>225000</v>
      </c>
      <c r="D876" s="54" t="s">
        <v>520</v>
      </c>
      <c r="E876" s="55" t="s">
        <v>1166</v>
      </c>
      <c r="F876" s="57">
        <v>22920</v>
      </c>
      <c r="G876" s="57">
        <v>12860</v>
      </c>
      <c r="H876" s="54">
        <f t="shared" si="71"/>
        <v>10060</v>
      </c>
      <c r="I876" s="58">
        <v>3.1</v>
      </c>
      <c r="J876" s="54">
        <f t="shared" si="72"/>
        <v>9748.14</v>
      </c>
      <c r="K876" s="57">
        <v>3650</v>
      </c>
      <c r="L876" s="54">
        <f t="shared" si="73"/>
        <v>35580711</v>
      </c>
      <c r="P876" s="139">
        <v>35020000</v>
      </c>
      <c r="Q876" s="139">
        <f t="shared" si="74"/>
        <v>560711</v>
      </c>
    </row>
    <row r="877" spans="1:17" hidden="1" x14ac:dyDescent="0.3">
      <c r="A877" s="54"/>
      <c r="B877" s="54">
        <f>5910*250</f>
        <v>1477500</v>
      </c>
      <c r="C877" s="54"/>
      <c r="D877" s="54" t="s">
        <v>1700</v>
      </c>
      <c r="E877" s="55" t="s">
        <v>1698</v>
      </c>
      <c r="F877" s="57">
        <v>10660</v>
      </c>
      <c r="G877" s="57">
        <v>4750</v>
      </c>
      <c r="H877" s="54">
        <f t="shared" si="71"/>
        <v>5910</v>
      </c>
      <c r="I877" s="58">
        <v>1</v>
      </c>
      <c r="J877" s="54">
        <f t="shared" si="72"/>
        <v>5850.9</v>
      </c>
      <c r="K877" s="57">
        <v>3700</v>
      </c>
      <c r="L877" s="54">
        <f t="shared" si="73"/>
        <v>21648330</v>
      </c>
      <c r="P877" s="139">
        <v>20685000</v>
      </c>
      <c r="Q877" s="139">
        <f t="shared" si="74"/>
        <v>963330</v>
      </c>
    </row>
    <row r="878" spans="1:17" hidden="1" x14ac:dyDescent="0.3">
      <c r="A878" s="54">
        <f ca="1">A653:N878</f>
        <v>0</v>
      </c>
      <c r="B878" s="54"/>
      <c r="C878" s="54">
        <v>800000</v>
      </c>
      <c r="D878" s="54" t="s">
        <v>1699</v>
      </c>
      <c r="E878" s="55" t="s">
        <v>1527</v>
      </c>
      <c r="F878" s="57">
        <v>20890</v>
      </c>
      <c r="G878" s="57">
        <v>9310</v>
      </c>
      <c r="H878" s="54">
        <f t="shared" si="71"/>
        <v>11580</v>
      </c>
      <c r="I878" s="58">
        <v>1.9</v>
      </c>
      <c r="J878" s="54">
        <f t="shared" si="72"/>
        <v>11359.98</v>
      </c>
      <c r="K878" s="57">
        <v>3700</v>
      </c>
      <c r="L878" s="54">
        <f t="shared" si="73"/>
        <v>42031926</v>
      </c>
      <c r="P878" s="139">
        <v>39420000</v>
      </c>
      <c r="Q878" s="139">
        <f t="shared" si="74"/>
        <v>2611926</v>
      </c>
    </row>
    <row r="879" spans="1:17" hidden="1" x14ac:dyDescent="0.3">
      <c r="A879" s="54"/>
      <c r="B879" s="54"/>
      <c r="C879" s="180">
        <v>2400000</v>
      </c>
      <c r="D879" s="180" t="s">
        <v>1342</v>
      </c>
      <c r="E879" s="55"/>
      <c r="F879" s="57"/>
      <c r="G879" s="57"/>
      <c r="H879" s="54">
        <f t="shared" si="71"/>
        <v>0</v>
      </c>
      <c r="I879" s="58"/>
      <c r="J879" s="54">
        <f t="shared" si="72"/>
        <v>0</v>
      </c>
      <c r="K879" s="57"/>
      <c r="L879" s="54">
        <f t="shared" si="73"/>
        <v>0</v>
      </c>
      <c r="Q879" s="139">
        <f t="shared" si="74"/>
        <v>0</v>
      </c>
    </row>
    <row r="880" spans="1:17" hidden="1" x14ac:dyDescent="0.3">
      <c r="A880" s="54" t="s">
        <v>1704</v>
      </c>
      <c r="B880" s="54"/>
      <c r="C880" s="54">
        <f>14000*12000</f>
        <v>168000000</v>
      </c>
      <c r="D880" s="54" t="s">
        <v>1000</v>
      </c>
      <c r="E880" s="55"/>
      <c r="F880" s="57"/>
      <c r="G880" s="57"/>
      <c r="H880" s="54">
        <f t="shared" si="71"/>
        <v>0</v>
      </c>
      <c r="I880" s="58"/>
      <c r="J880" s="54">
        <f t="shared" si="72"/>
        <v>0</v>
      </c>
      <c r="K880" s="57"/>
      <c r="L880" s="54">
        <f t="shared" si="73"/>
        <v>0</v>
      </c>
      <c r="Q880" s="139">
        <f t="shared" si="74"/>
        <v>0</v>
      </c>
    </row>
    <row r="881" spans="1:17" hidden="1" x14ac:dyDescent="0.3">
      <c r="A881" s="54"/>
      <c r="B881" s="54"/>
      <c r="C881" s="54">
        <v>300000</v>
      </c>
      <c r="D881" s="54" t="s">
        <v>727</v>
      </c>
      <c r="E881" s="55" t="s">
        <v>1705</v>
      </c>
      <c r="F881" s="57">
        <v>17390</v>
      </c>
      <c r="G881" s="57">
        <v>9660</v>
      </c>
      <c r="H881" s="54">
        <f t="shared" si="71"/>
        <v>7730</v>
      </c>
      <c r="I881" s="58">
        <v>1</v>
      </c>
      <c r="J881" s="54">
        <f t="shared" si="72"/>
        <v>7652.7</v>
      </c>
      <c r="K881" s="57">
        <v>3700</v>
      </c>
      <c r="L881" s="54">
        <f t="shared" si="73"/>
        <v>28314990</v>
      </c>
      <c r="P881" s="139">
        <v>27571000</v>
      </c>
      <c r="Q881" s="139">
        <f t="shared" si="74"/>
        <v>743990</v>
      </c>
    </row>
    <row r="882" spans="1:17" hidden="1" x14ac:dyDescent="0.3">
      <c r="A882" s="54"/>
      <c r="B882" s="54"/>
      <c r="C882" s="54"/>
      <c r="D882" s="54" t="s">
        <v>1707</v>
      </c>
      <c r="E882" s="55" t="s">
        <v>1706</v>
      </c>
      <c r="F882" s="57">
        <v>28800</v>
      </c>
      <c r="G882" s="57">
        <v>12380</v>
      </c>
      <c r="H882" s="54">
        <f t="shared" si="71"/>
        <v>16420</v>
      </c>
      <c r="I882" s="58">
        <v>1</v>
      </c>
      <c r="J882" s="54">
        <f t="shared" si="72"/>
        <v>16255.8</v>
      </c>
      <c r="K882" s="57">
        <v>3700</v>
      </c>
      <c r="L882" s="54">
        <f t="shared" si="73"/>
        <v>60146460</v>
      </c>
      <c r="P882" s="139">
        <v>60146460</v>
      </c>
      <c r="Q882" s="139">
        <f t="shared" si="74"/>
        <v>0</v>
      </c>
    </row>
    <row r="883" spans="1:17" hidden="1" x14ac:dyDescent="0.3">
      <c r="A883" s="54"/>
      <c r="B883" s="54"/>
      <c r="C883" s="54"/>
      <c r="D883" s="54"/>
      <c r="E883" s="55" t="s">
        <v>1708</v>
      </c>
      <c r="F883" s="57">
        <v>23060</v>
      </c>
      <c r="G883" s="57">
        <v>10820</v>
      </c>
      <c r="H883" s="54">
        <f t="shared" si="71"/>
        <v>12240</v>
      </c>
      <c r="I883" s="58">
        <v>3</v>
      </c>
      <c r="J883" s="54">
        <f t="shared" si="72"/>
        <v>11872.8</v>
      </c>
      <c r="K883" s="57">
        <v>3380</v>
      </c>
      <c r="L883" s="54">
        <f t="shared" si="73"/>
        <v>40130064</v>
      </c>
      <c r="P883" s="139">
        <v>39417000</v>
      </c>
      <c r="Q883" s="139">
        <f t="shared" si="74"/>
        <v>713064</v>
      </c>
    </row>
    <row r="884" spans="1:17" hidden="1" x14ac:dyDescent="0.3">
      <c r="A884" s="54" t="s">
        <v>1711</v>
      </c>
      <c r="B884" s="54"/>
      <c r="C884" s="54">
        <f>15000*11960</f>
        <v>179400000</v>
      </c>
      <c r="D884" s="54" t="s">
        <v>569</v>
      </c>
      <c r="E884" s="55" t="s">
        <v>1039</v>
      </c>
      <c r="F884" s="57">
        <v>16980</v>
      </c>
      <c r="G884" s="57">
        <v>8540</v>
      </c>
      <c r="H884" s="54">
        <f t="shared" si="71"/>
        <v>8440</v>
      </c>
      <c r="I884" s="58">
        <v>2.7</v>
      </c>
      <c r="J884" s="54">
        <f t="shared" si="72"/>
        <v>8212.1200000000008</v>
      </c>
      <c r="K884" s="57">
        <v>3650</v>
      </c>
      <c r="L884" s="54">
        <f t="shared" si="73"/>
        <v>29974238.000000004</v>
      </c>
      <c r="P884" s="139">
        <v>29200000</v>
      </c>
      <c r="Q884" s="139">
        <f t="shared" si="74"/>
        <v>774238.00000000373</v>
      </c>
    </row>
    <row r="885" spans="1:17" hidden="1" x14ac:dyDescent="0.3">
      <c r="A885" s="54"/>
      <c r="B885" s="54"/>
      <c r="C885" s="54"/>
      <c r="D885" s="54"/>
      <c r="E885" s="55" t="s">
        <v>1713</v>
      </c>
      <c r="F885" s="57">
        <v>30760</v>
      </c>
      <c r="G885" s="57">
        <v>13940</v>
      </c>
      <c r="H885" s="54">
        <f t="shared" si="71"/>
        <v>16820</v>
      </c>
      <c r="I885" s="58">
        <v>1</v>
      </c>
      <c r="J885" s="54">
        <f t="shared" si="72"/>
        <v>16651.8</v>
      </c>
      <c r="K885" s="57">
        <v>3700</v>
      </c>
      <c r="L885" s="54">
        <f t="shared" si="73"/>
        <v>61611660</v>
      </c>
      <c r="P885" s="139">
        <v>61611660</v>
      </c>
      <c r="Q885" s="139">
        <f t="shared" si="74"/>
        <v>0</v>
      </c>
    </row>
    <row r="886" spans="1:17" hidden="1" x14ac:dyDescent="0.3">
      <c r="A886" s="54"/>
      <c r="B886" s="180">
        <v>700000</v>
      </c>
      <c r="C886" s="180"/>
      <c r="D886" s="179" t="s">
        <v>1714</v>
      </c>
      <c r="E886" s="55"/>
      <c r="F886" s="57"/>
      <c r="G886" s="57"/>
      <c r="H886" s="54">
        <f t="shared" si="71"/>
        <v>0</v>
      </c>
      <c r="I886" s="58"/>
      <c r="J886" s="54">
        <f t="shared" si="72"/>
        <v>0</v>
      </c>
      <c r="K886" s="57"/>
      <c r="L886" s="54">
        <f t="shared" si="73"/>
        <v>0</v>
      </c>
      <c r="Q886" s="139">
        <f t="shared" si="74"/>
        <v>0</v>
      </c>
    </row>
    <row r="887" spans="1:17" hidden="1" x14ac:dyDescent="0.3">
      <c r="A887" s="54"/>
      <c r="B887" s="54"/>
      <c r="C887" s="54"/>
      <c r="D887" s="54"/>
      <c r="E887" s="55"/>
      <c r="F887" s="57"/>
      <c r="G887" s="57"/>
      <c r="H887" s="54">
        <f t="shared" si="71"/>
        <v>0</v>
      </c>
      <c r="I887" s="58"/>
      <c r="J887" s="54">
        <f t="shared" si="72"/>
        <v>0</v>
      </c>
      <c r="K887" s="57"/>
      <c r="L887" s="54">
        <f t="shared" si="73"/>
        <v>0</v>
      </c>
      <c r="Q887" s="139">
        <f t="shared" si="74"/>
        <v>0</v>
      </c>
    </row>
    <row r="888" spans="1:17" hidden="1" x14ac:dyDescent="0.3">
      <c r="A888" s="54" t="s">
        <v>1716</v>
      </c>
      <c r="B888" s="54"/>
      <c r="C888" s="54"/>
      <c r="D888" s="54"/>
      <c r="E888" s="55" t="s">
        <v>1717</v>
      </c>
      <c r="F888" s="57">
        <v>26140</v>
      </c>
      <c r="G888" s="57">
        <v>13700</v>
      </c>
      <c r="H888" s="54">
        <f t="shared" si="71"/>
        <v>12440</v>
      </c>
      <c r="I888" s="58">
        <v>2.4</v>
      </c>
      <c r="J888" s="54">
        <f t="shared" si="72"/>
        <v>12141.44</v>
      </c>
      <c r="K888" s="57">
        <v>3380</v>
      </c>
      <c r="L888" s="54">
        <f t="shared" si="73"/>
        <v>41038067.200000003</v>
      </c>
      <c r="P888" s="139">
        <v>40700000</v>
      </c>
      <c r="Q888" s="139">
        <f t="shared" si="74"/>
        <v>338067.20000000298</v>
      </c>
    </row>
    <row r="889" spans="1:17" hidden="1" x14ac:dyDescent="0.3">
      <c r="A889" s="54"/>
      <c r="B889" s="54"/>
      <c r="C889" s="54"/>
      <c r="D889" s="54"/>
      <c r="E889" s="55" t="s">
        <v>1719</v>
      </c>
      <c r="F889" s="57">
        <v>28500</v>
      </c>
      <c r="G889" s="57">
        <v>13620</v>
      </c>
      <c r="H889" s="54">
        <f t="shared" si="71"/>
        <v>14880</v>
      </c>
      <c r="I889" s="58">
        <v>2</v>
      </c>
      <c r="J889" s="54">
        <f t="shared" si="72"/>
        <v>14582.4</v>
      </c>
      <c r="K889" s="57">
        <v>3700</v>
      </c>
      <c r="L889" s="54">
        <f t="shared" si="73"/>
        <v>53954880</v>
      </c>
      <c r="P889" s="139">
        <v>51240000</v>
      </c>
      <c r="Q889" s="139">
        <f t="shared" si="74"/>
        <v>2714880</v>
      </c>
    </row>
    <row r="890" spans="1:17" hidden="1" x14ac:dyDescent="0.3">
      <c r="A890" s="54"/>
      <c r="B890" s="54"/>
      <c r="C890" s="54"/>
      <c r="D890" s="54"/>
      <c r="E890" s="55" t="s">
        <v>1718</v>
      </c>
      <c r="F890" s="57">
        <v>19390</v>
      </c>
      <c r="G890" s="57">
        <v>9210</v>
      </c>
      <c r="H890" s="54">
        <f t="shared" si="71"/>
        <v>10180</v>
      </c>
      <c r="I890" s="58">
        <v>3</v>
      </c>
      <c r="J890" s="54">
        <f t="shared" si="72"/>
        <v>9874.6</v>
      </c>
      <c r="K890" s="57">
        <v>3650</v>
      </c>
      <c r="L890" s="54">
        <f t="shared" si="73"/>
        <v>36042290</v>
      </c>
      <c r="P890" s="139">
        <v>35812000</v>
      </c>
      <c r="Q890" s="139">
        <f t="shared" si="74"/>
        <v>230290</v>
      </c>
    </row>
    <row r="891" spans="1:17" hidden="1" x14ac:dyDescent="0.3">
      <c r="A891" s="54"/>
      <c r="B891" s="54"/>
      <c r="C891" s="54"/>
      <c r="D891" s="54"/>
      <c r="E891" s="55" t="s">
        <v>1720</v>
      </c>
      <c r="F891" s="57">
        <v>17060</v>
      </c>
      <c r="G891" s="57">
        <v>8700</v>
      </c>
      <c r="H891" s="54">
        <f t="shared" si="71"/>
        <v>8360</v>
      </c>
      <c r="I891" s="58">
        <v>2</v>
      </c>
      <c r="J891" s="54">
        <f t="shared" si="72"/>
        <v>8192.7999999999993</v>
      </c>
      <c r="K891" s="57">
        <v>3650</v>
      </c>
      <c r="L891" s="54">
        <f t="shared" si="73"/>
        <v>29903719.999999996</v>
      </c>
      <c r="P891" s="139">
        <v>28890000</v>
      </c>
      <c r="Q891" s="139">
        <f t="shared" si="74"/>
        <v>1013719.9999999963</v>
      </c>
    </row>
    <row r="892" spans="1:17" hidden="1" x14ac:dyDescent="0.3">
      <c r="A892" s="54"/>
      <c r="B892" s="54"/>
      <c r="C892" s="54"/>
      <c r="D892" s="54" t="s">
        <v>1721</v>
      </c>
      <c r="E892" s="246" t="s">
        <v>1722</v>
      </c>
      <c r="F892" s="57">
        <v>34130</v>
      </c>
      <c r="G892" s="57">
        <v>19900</v>
      </c>
      <c r="H892" s="54">
        <f t="shared" si="71"/>
        <v>14230</v>
      </c>
      <c r="I892" s="58">
        <v>2</v>
      </c>
      <c r="J892" s="54">
        <f t="shared" si="72"/>
        <v>13945.4</v>
      </c>
      <c r="K892" s="57">
        <v>3700</v>
      </c>
      <c r="L892" s="54">
        <f t="shared" si="73"/>
        <v>51597980</v>
      </c>
      <c r="P892" s="139">
        <v>51597980</v>
      </c>
      <c r="Q892" s="139">
        <f t="shared" si="74"/>
        <v>0</v>
      </c>
    </row>
    <row r="893" spans="1:17" hidden="1" x14ac:dyDescent="0.3">
      <c r="A893" s="54"/>
      <c r="B893" s="54"/>
      <c r="C893" s="54"/>
      <c r="D893" s="54"/>
      <c r="E893" s="55" t="s">
        <v>1399</v>
      </c>
      <c r="F893" s="57">
        <v>30580</v>
      </c>
      <c r="G893" s="57">
        <v>13020</v>
      </c>
      <c r="H893" s="54">
        <f t="shared" si="71"/>
        <v>17560</v>
      </c>
      <c r="I893" s="58">
        <v>2.4</v>
      </c>
      <c r="J893" s="54">
        <f t="shared" si="72"/>
        <v>17138.560000000001</v>
      </c>
      <c r="K893" s="57">
        <v>3380</v>
      </c>
      <c r="L893" s="54">
        <f t="shared" si="73"/>
        <v>57928332.800000004</v>
      </c>
      <c r="P893" s="139">
        <v>56241000</v>
      </c>
      <c r="Q893" s="139">
        <f t="shared" si="74"/>
        <v>1687332.8000000045</v>
      </c>
    </row>
    <row r="894" spans="1:17" hidden="1" x14ac:dyDescent="0.3">
      <c r="A894" s="54"/>
      <c r="B894" s="54"/>
      <c r="C894" s="54"/>
      <c r="D894" s="54"/>
      <c r="E894" s="55" t="s">
        <v>1723</v>
      </c>
      <c r="F894" s="57">
        <v>26195</v>
      </c>
      <c r="G894" s="57">
        <v>12945</v>
      </c>
      <c r="H894" s="54">
        <f t="shared" si="71"/>
        <v>13250</v>
      </c>
      <c r="I894" s="58">
        <v>4</v>
      </c>
      <c r="J894" s="54">
        <f t="shared" si="72"/>
        <v>12720</v>
      </c>
      <c r="K894" s="57">
        <v>3650</v>
      </c>
      <c r="L894" s="54">
        <f t="shared" si="73"/>
        <v>46428000</v>
      </c>
      <c r="P894" s="139">
        <v>45936000</v>
      </c>
      <c r="Q894" s="139">
        <f t="shared" si="74"/>
        <v>492000</v>
      </c>
    </row>
    <row r="895" spans="1:17" hidden="1" x14ac:dyDescent="0.3">
      <c r="A895" s="54"/>
      <c r="B895" s="54"/>
      <c r="C895" s="54"/>
      <c r="D895" s="54"/>
      <c r="E895" s="246" t="s">
        <v>1748</v>
      </c>
      <c r="F895" s="57">
        <v>19860</v>
      </c>
      <c r="G895" s="57">
        <v>10440</v>
      </c>
      <c r="H895" s="54">
        <f t="shared" si="71"/>
        <v>9420</v>
      </c>
      <c r="I895" s="58">
        <v>2.4</v>
      </c>
      <c r="J895" s="54">
        <f t="shared" si="72"/>
        <v>9193.92</v>
      </c>
      <c r="K895" s="57">
        <v>3400</v>
      </c>
      <c r="L895" s="54">
        <f t="shared" si="73"/>
        <v>31259328</v>
      </c>
      <c r="P895" s="139">
        <v>31259328</v>
      </c>
      <c r="Q895" s="139">
        <f t="shared" si="74"/>
        <v>0</v>
      </c>
    </row>
    <row r="896" spans="1:17" hidden="1" x14ac:dyDescent="0.3">
      <c r="A896" s="54"/>
      <c r="B896" s="54"/>
      <c r="C896" s="54"/>
      <c r="D896" s="54"/>
      <c r="E896" s="55"/>
      <c r="F896" s="57"/>
      <c r="G896" s="57"/>
      <c r="H896" s="54">
        <f t="shared" si="71"/>
        <v>0</v>
      </c>
      <c r="I896" s="58"/>
      <c r="J896" s="54">
        <f t="shared" si="72"/>
        <v>0</v>
      </c>
      <c r="K896" s="57"/>
      <c r="L896" s="54">
        <f t="shared" si="73"/>
        <v>0</v>
      </c>
      <c r="Q896" s="139">
        <f t="shared" si="74"/>
        <v>0</v>
      </c>
    </row>
    <row r="897" spans="1:17" hidden="1" x14ac:dyDescent="0.3">
      <c r="A897" s="54" t="s">
        <v>1724</v>
      </c>
      <c r="B897" s="54"/>
      <c r="C897" s="54">
        <f>14000*12000</f>
        <v>168000000</v>
      </c>
      <c r="D897" s="54" t="s">
        <v>1725</v>
      </c>
      <c r="E897" s="55" t="s">
        <v>1726</v>
      </c>
      <c r="F897" s="57">
        <v>20360</v>
      </c>
      <c r="G897" s="57">
        <v>9660</v>
      </c>
      <c r="H897" s="54">
        <f t="shared" si="71"/>
        <v>10700</v>
      </c>
      <c r="I897" s="58">
        <v>2</v>
      </c>
      <c r="J897" s="54">
        <f t="shared" si="72"/>
        <v>10486</v>
      </c>
      <c r="K897" s="57">
        <v>3700</v>
      </c>
      <c r="L897" s="54">
        <f t="shared" si="73"/>
        <v>38798200</v>
      </c>
      <c r="P897" s="139">
        <v>37308000</v>
      </c>
      <c r="Q897" s="139">
        <f t="shared" si="74"/>
        <v>1490200</v>
      </c>
    </row>
    <row r="898" spans="1:17" hidden="1" x14ac:dyDescent="0.3">
      <c r="A898" s="54"/>
      <c r="B898" s="54"/>
      <c r="C898" s="54">
        <f>3100*300</f>
        <v>930000</v>
      </c>
      <c r="D898" s="54" t="s">
        <v>1728</v>
      </c>
      <c r="E898" s="55" t="s">
        <v>1727</v>
      </c>
      <c r="F898" s="57">
        <v>23780</v>
      </c>
      <c r="G898" s="57">
        <v>12380</v>
      </c>
      <c r="H898" s="54">
        <f t="shared" si="71"/>
        <v>11400</v>
      </c>
      <c r="I898" s="58">
        <v>1</v>
      </c>
      <c r="J898" s="54">
        <f t="shared" si="72"/>
        <v>11286</v>
      </c>
      <c r="K898" s="57">
        <v>3700</v>
      </c>
      <c r="L898" s="54">
        <f t="shared" si="73"/>
        <v>41758200</v>
      </c>
      <c r="P898" s="139">
        <v>41758000</v>
      </c>
      <c r="Q898" s="139">
        <f t="shared" si="74"/>
        <v>200</v>
      </c>
    </row>
    <row r="899" spans="1:17" hidden="1" x14ac:dyDescent="0.3">
      <c r="A899" s="54"/>
      <c r="B899" s="54"/>
      <c r="C899" s="54"/>
      <c r="D899" s="54"/>
      <c r="E899" s="55" t="s">
        <v>1747</v>
      </c>
      <c r="F899" s="57">
        <v>20670</v>
      </c>
      <c r="G899" s="57">
        <v>9810</v>
      </c>
      <c r="H899" s="54">
        <f t="shared" si="71"/>
        <v>10860</v>
      </c>
      <c r="I899" s="58">
        <v>2.1</v>
      </c>
      <c r="J899" s="54">
        <f t="shared" si="72"/>
        <v>10631.94</v>
      </c>
      <c r="K899" s="57">
        <v>3650</v>
      </c>
      <c r="L899" s="54">
        <f t="shared" si="73"/>
        <v>38806581</v>
      </c>
      <c r="P899" s="139">
        <v>38516000</v>
      </c>
      <c r="Q899" s="139">
        <f t="shared" si="74"/>
        <v>290581</v>
      </c>
    </row>
    <row r="900" spans="1:17" hidden="1" x14ac:dyDescent="0.3">
      <c r="A900" s="54"/>
      <c r="B900" s="54"/>
      <c r="C900" s="54"/>
      <c r="D900" s="54"/>
      <c r="E900" s="55" t="s">
        <v>1729</v>
      </c>
      <c r="F900" s="57">
        <v>24550</v>
      </c>
      <c r="G900" s="57">
        <v>12200</v>
      </c>
      <c r="H900" s="54">
        <f t="shared" si="71"/>
        <v>12350</v>
      </c>
      <c r="I900" s="58">
        <v>2</v>
      </c>
      <c r="J900" s="54">
        <f t="shared" si="72"/>
        <v>12103</v>
      </c>
      <c r="K900" s="57">
        <v>3380</v>
      </c>
      <c r="L900" s="54">
        <f t="shared" si="73"/>
        <v>40908140</v>
      </c>
      <c r="P900" s="139">
        <v>39738000</v>
      </c>
      <c r="Q900" s="139">
        <f t="shared" si="74"/>
        <v>1170140</v>
      </c>
    </row>
    <row r="901" spans="1:17" hidden="1" x14ac:dyDescent="0.3">
      <c r="A901" s="54"/>
      <c r="B901" s="54"/>
      <c r="C901" s="54"/>
      <c r="D901" s="54"/>
      <c r="E901" s="55"/>
      <c r="F901" s="57"/>
      <c r="G901" s="57"/>
      <c r="H901" s="54">
        <f t="shared" si="71"/>
        <v>0</v>
      </c>
      <c r="I901" s="58"/>
      <c r="J901" s="54">
        <f t="shared" si="72"/>
        <v>0</v>
      </c>
      <c r="K901" s="57"/>
      <c r="L901" s="54">
        <f t="shared" si="73"/>
        <v>0</v>
      </c>
      <c r="Q901" s="139">
        <f t="shared" si="74"/>
        <v>0</v>
      </c>
    </row>
    <row r="902" spans="1:17" hidden="1" x14ac:dyDescent="0.3">
      <c r="A902" s="54"/>
      <c r="B902" s="54"/>
      <c r="C902" s="54"/>
      <c r="D902" s="54"/>
      <c r="E902" s="55"/>
      <c r="F902" s="57"/>
      <c r="G902" s="57"/>
      <c r="H902" s="54">
        <f t="shared" si="71"/>
        <v>0</v>
      </c>
      <c r="I902" s="58"/>
      <c r="J902" s="54">
        <f t="shared" si="72"/>
        <v>0</v>
      </c>
      <c r="K902" s="57"/>
      <c r="L902" s="54">
        <f t="shared" si="73"/>
        <v>0</v>
      </c>
      <c r="Q902" s="139">
        <f t="shared" si="74"/>
        <v>0</v>
      </c>
    </row>
    <row r="903" spans="1:17" hidden="1" x14ac:dyDescent="0.3">
      <c r="A903" s="54"/>
      <c r="B903" s="54"/>
      <c r="C903" s="54"/>
      <c r="D903" s="54"/>
      <c r="E903" s="55"/>
      <c r="F903" s="57"/>
      <c r="G903" s="57"/>
      <c r="H903" s="54">
        <f t="shared" si="71"/>
        <v>0</v>
      </c>
      <c r="I903" s="58"/>
      <c r="J903" s="54">
        <f t="shared" si="72"/>
        <v>0</v>
      </c>
      <c r="K903" s="57"/>
      <c r="L903" s="54">
        <f t="shared" si="73"/>
        <v>0</v>
      </c>
      <c r="Q903" s="139">
        <f t="shared" si="74"/>
        <v>0</v>
      </c>
    </row>
    <row r="904" spans="1:17" hidden="1" x14ac:dyDescent="0.3">
      <c r="A904" s="54" t="s">
        <v>1738</v>
      </c>
      <c r="B904" s="54"/>
      <c r="C904" s="54">
        <v>14024000</v>
      </c>
      <c r="D904" s="54" t="s">
        <v>1739</v>
      </c>
      <c r="E904" s="55" t="s">
        <v>399</v>
      </c>
      <c r="F904" s="57">
        <v>18230</v>
      </c>
      <c r="G904" s="57">
        <v>10040</v>
      </c>
      <c r="H904" s="54">
        <f t="shared" si="71"/>
        <v>8190</v>
      </c>
      <c r="I904" s="58">
        <v>4</v>
      </c>
      <c r="J904" s="54">
        <f t="shared" si="72"/>
        <v>7862.4</v>
      </c>
      <c r="K904" s="57">
        <v>3700</v>
      </c>
      <c r="L904" s="54">
        <f t="shared" si="73"/>
        <v>29090880</v>
      </c>
      <c r="P904" s="139">
        <v>28600000</v>
      </c>
      <c r="Q904" s="139">
        <f t="shared" si="74"/>
        <v>490880</v>
      </c>
    </row>
    <row r="905" spans="1:17" hidden="1" x14ac:dyDescent="0.3">
      <c r="A905" s="54"/>
      <c r="B905" s="54"/>
      <c r="C905" s="54"/>
      <c r="D905" s="54" t="s">
        <v>1740</v>
      </c>
      <c r="E905" s="55" t="s">
        <v>1785</v>
      </c>
      <c r="F905" s="57">
        <v>27950</v>
      </c>
      <c r="G905" s="57">
        <v>17480</v>
      </c>
      <c r="H905" s="54">
        <f t="shared" si="71"/>
        <v>10470</v>
      </c>
      <c r="I905" s="58">
        <v>2</v>
      </c>
      <c r="J905" s="54">
        <f t="shared" si="72"/>
        <v>10260.6</v>
      </c>
      <c r="K905" s="57">
        <v>3750</v>
      </c>
      <c r="L905" s="54">
        <f t="shared" si="73"/>
        <v>38477250</v>
      </c>
      <c r="P905" s="139">
        <v>38477250</v>
      </c>
      <c r="Q905" s="139">
        <f t="shared" si="74"/>
        <v>0</v>
      </c>
    </row>
    <row r="906" spans="1:17" hidden="1" x14ac:dyDescent="0.3">
      <c r="A906" s="54"/>
      <c r="B906" s="54"/>
      <c r="C906" s="54">
        <f>17000*11980</f>
        <v>203660000</v>
      </c>
      <c r="D906" s="54" t="s">
        <v>398</v>
      </c>
      <c r="E906" s="55"/>
      <c r="F906" s="57"/>
      <c r="G906" s="57"/>
      <c r="H906" s="54">
        <f t="shared" si="71"/>
        <v>0</v>
      </c>
      <c r="I906" s="58"/>
      <c r="J906" s="54">
        <f t="shared" si="72"/>
        <v>0</v>
      </c>
      <c r="K906" s="57"/>
      <c r="L906" s="54">
        <f t="shared" si="73"/>
        <v>0</v>
      </c>
      <c r="Q906" s="139">
        <f t="shared" si="74"/>
        <v>0</v>
      </c>
    </row>
    <row r="907" spans="1:17" hidden="1" x14ac:dyDescent="0.3">
      <c r="A907" s="54" t="s">
        <v>1741</v>
      </c>
      <c r="B907" s="54"/>
      <c r="C907" s="54">
        <v>800000</v>
      </c>
      <c r="D907" s="54" t="s">
        <v>334</v>
      </c>
      <c r="E907" s="55" t="s">
        <v>1527</v>
      </c>
      <c r="F907" s="57">
        <v>21680</v>
      </c>
      <c r="G907" s="57">
        <v>9280</v>
      </c>
      <c r="H907" s="54">
        <f t="shared" si="71"/>
        <v>12400</v>
      </c>
      <c r="I907" s="58">
        <v>3</v>
      </c>
      <c r="J907" s="54">
        <f t="shared" si="72"/>
        <v>12028</v>
      </c>
      <c r="K907" s="57">
        <v>3700</v>
      </c>
      <c r="L907" s="54">
        <f t="shared" si="73"/>
        <v>44503600</v>
      </c>
      <c r="P907" s="139">
        <v>42340000</v>
      </c>
      <c r="Q907" s="139">
        <f t="shared" si="74"/>
        <v>2163600</v>
      </c>
    </row>
    <row r="908" spans="1:17" hidden="1" x14ac:dyDescent="0.3">
      <c r="B908" s="54"/>
      <c r="C908" s="54"/>
      <c r="D908" s="54"/>
      <c r="E908" s="55" t="s">
        <v>1742</v>
      </c>
      <c r="F908" s="57">
        <v>23260</v>
      </c>
      <c r="G908" s="57">
        <v>9880</v>
      </c>
      <c r="H908" s="54">
        <f t="shared" si="71"/>
        <v>13380</v>
      </c>
      <c r="I908" s="58">
        <v>2</v>
      </c>
      <c r="J908" s="54">
        <f t="shared" si="72"/>
        <v>13112.4</v>
      </c>
      <c r="K908" s="57">
        <v>3650</v>
      </c>
      <c r="L908" s="54">
        <f t="shared" si="73"/>
        <v>47860260</v>
      </c>
      <c r="P908" s="139">
        <v>45700000</v>
      </c>
      <c r="Q908" s="139">
        <f t="shared" si="74"/>
        <v>2160260</v>
      </c>
    </row>
    <row r="909" spans="1:17" hidden="1" x14ac:dyDescent="0.3">
      <c r="A909" s="54"/>
      <c r="B909" s="54"/>
      <c r="C909" s="54"/>
      <c r="D909" s="54"/>
      <c r="E909" s="55" t="s">
        <v>1336</v>
      </c>
      <c r="F909" s="57">
        <v>18000</v>
      </c>
      <c r="G909" s="57">
        <v>8630</v>
      </c>
      <c r="H909" s="54">
        <f t="shared" si="71"/>
        <v>9370</v>
      </c>
      <c r="I909" s="58">
        <v>2.2000000000000002</v>
      </c>
      <c r="J909" s="54">
        <f t="shared" si="72"/>
        <v>9163.86</v>
      </c>
      <c r="K909" s="57">
        <v>3650</v>
      </c>
      <c r="L909" s="54">
        <f t="shared" si="73"/>
        <v>33448089.000000004</v>
      </c>
      <c r="P909" s="139">
        <v>32506000</v>
      </c>
      <c r="Q909" s="139">
        <f t="shared" si="74"/>
        <v>942089.00000000373</v>
      </c>
    </row>
    <row r="910" spans="1:17" hidden="1" x14ac:dyDescent="0.3">
      <c r="A910" s="54"/>
      <c r="B910" s="54"/>
      <c r="C910" s="54">
        <v>119500000</v>
      </c>
      <c r="D910" s="54" t="s">
        <v>610</v>
      </c>
      <c r="E910" s="55"/>
      <c r="F910" s="57"/>
      <c r="G910" s="57"/>
      <c r="H910" s="54">
        <f t="shared" si="71"/>
        <v>0</v>
      </c>
      <c r="I910" s="58"/>
      <c r="J910" s="54">
        <f t="shared" si="72"/>
        <v>0</v>
      </c>
      <c r="K910" s="57"/>
      <c r="L910" s="54">
        <f t="shared" si="73"/>
        <v>0</v>
      </c>
      <c r="Q910" s="139">
        <f t="shared" si="74"/>
        <v>0</v>
      </c>
    </row>
    <row r="911" spans="1:17" hidden="1" x14ac:dyDescent="0.3">
      <c r="A911" s="54"/>
      <c r="B911" s="54"/>
      <c r="C911" s="54"/>
      <c r="D911" s="54"/>
      <c r="E911" s="55"/>
      <c r="F911" s="57"/>
      <c r="G911" s="57"/>
      <c r="H911" s="54">
        <f t="shared" si="71"/>
        <v>0</v>
      </c>
      <c r="I911" s="58"/>
      <c r="J911" s="54">
        <f t="shared" si="72"/>
        <v>0</v>
      </c>
      <c r="K911" s="57"/>
      <c r="L911" s="54">
        <f t="shared" si="73"/>
        <v>0</v>
      </c>
      <c r="Q911" s="139">
        <f t="shared" si="74"/>
        <v>0</v>
      </c>
    </row>
    <row r="912" spans="1:17" hidden="1" x14ac:dyDescent="0.3">
      <c r="A912" s="54"/>
      <c r="B912" s="54"/>
      <c r="C912" s="54"/>
      <c r="D912" s="54"/>
      <c r="E912" s="55"/>
      <c r="F912" s="57"/>
      <c r="G912" s="57"/>
      <c r="H912" s="54">
        <f t="shared" si="71"/>
        <v>0</v>
      </c>
      <c r="I912" s="58"/>
      <c r="J912" s="54">
        <f t="shared" si="72"/>
        <v>0</v>
      </c>
      <c r="K912" s="57"/>
      <c r="L912" s="54">
        <f t="shared" si="73"/>
        <v>0</v>
      </c>
      <c r="Q912" s="139">
        <f t="shared" si="74"/>
        <v>0</v>
      </c>
    </row>
    <row r="913" spans="1:17" hidden="1" x14ac:dyDescent="0.3">
      <c r="A913" s="54" t="s">
        <v>1745</v>
      </c>
      <c r="B913" s="54"/>
      <c r="C913" s="54"/>
      <c r="D913" s="54"/>
      <c r="E913" s="55" t="s">
        <v>1749</v>
      </c>
      <c r="F913" s="57">
        <v>18410</v>
      </c>
      <c r="G913" s="57">
        <v>8920</v>
      </c>
      <c r="H913" s="54">
        <f t="shared" si="71"/>
        <v>9490</v>
      </c>
      <c r="I913" s="58">
        <v>1.9</v>
      </c>
      <c r="J913" s="54">
        <f t="shared" si="72"/>
        <v>9309.69</v>
      </c>
      <c r="K913" s="57">
        <v>3700</v>
      </c>
      <c r="L913" s="54">
        <f t="shared" si="73"/>
        <v>34445853</v>
      </c>
      <c r="P913" s="139">
        <v>33075000</v>
      </c>
      <c r="Q913" s="139">
        <f t="shared" si="74"/>
        <v>1370853</v>
      </c>
    </row>
    <row r="914" spans="1:17" hidden="1" x14ac:dyDescent="0.3">
      <c r="A914" s="54"/>
      <c r="B914" s="54"/>
      <c r="C914" s="54"/>
      <c r="D914" s="54"/>
      <c r="E914" s="55"/>
      <c r="F914" s="57"/>
      <c r="G914" s="57"/>
      <c r="H914" s="54"/>
      <c r="I914" s="58"/>
      <c r="J914" s="54"/>
      <c r="K914" s="57"/>
      <c r="L914" s="54"/>
      <c r="Q914" s="139">
        <f t="shared" si="74"/>
        <v>0</v>
      </c>
    </row>
    <row r="915" spans="1:17" hidden="1" x14ac:dyDescent="0.3">
      <c r="A915" s="54"/>
      <c r="B915" s="54"/>
      <c r="C915" s="54"/>
      <c r="D915" s="54"/>
      <c r="E915" s="55" t="s">
        <v>1611</v>
      </c>
      <c r="F915" s="57">
        <v>25810</v>
      </c>
      <c r="G915" s="57">
        <v>14050</v>
      </c>
      <c r="H915" s="54">
        <f t="shared" si="71"/>
        <v>11760</v>
      </c>
      <c r="I915" s="58">
        <v>3.7</v>
      </c>
      <c r="J915" s="54">
        <f t="shared" si="72"/>
        <v>11324.88</v>
      </c>
      <c r="K915" s="57">
        <v>3650</v>
      </c>
      <c r="L915" s="54">
        <f t="shared" si="73"/>
        <v>41335812</v>
      </c>
      <c r="P915" s="139">
        <v>40840000</v>
      </c>
      <c r="Q915" s="139">
        <f t="shared" si="74"/>
        <v>495812</v>
      </c>
    </row>
    <row r="916" spans="1:17" hidden="1" x14ac:dyDescent="0.3">
      <c r="A916" s="54"/>
      <c r="B916" s="54"/>
      <c r="C916" s="54">
        <v>1500000</v>
      </c>
      <c r="D916" s="54" t="s">
        <v>1752</v>
      </c>
      <c r="E916" s="55" t="s">
        <v>1751</v>
      </c>
      <c r="F916" s="57">
        <v>19900</v>
      </c>
      <c r="G916" s="57">
        <v>10780</v>
      </c>
      <c r="H916" s="54">
        <f t="shared" si="71"/>
        <v>9120</v>
      </c>
      <c r="I916" s="58">
        <v>3</v>
      </c>
      <c r="J916" s="54">
        <f t="shared" si="72"/>
        <v>8846.4</v>
      </c>
      <c r="K916" s="57">
        <v>3380</v>
      </c>
      <c r="L916" s="54">
        <f t="shared" si="73"/>
        <v>29900832</v>
      </c>
      <c r="P916" s="139">
        <v>29250000</v>
      </c>
      <c r="Q916" s="139">
        <f t="shared" si="74"/>
        <v>650832</v>
      </c>
    </row>
    <row r="917" spans="1:17" hidden="1" x14ac:dyDescent="0.3">
      <c r="A917" s="54"/>
      <c r="B917" s="54"/>
      <c r="C917" s="54"/>
      <c r="D917" s="54"/>
      <c r="E917" s="55" t="s">
        <v>1750</v>
      </c>
      <c r="F917" s="57">
        <v>21760</v>
      </c>
      <c r="G917" s="57">
        <v>9000</v>
      </c>
      <c r="H917" s="54">
        <f t="shared" si="71"/>
        <v>12760</v>
      </c>
      <c r="I917" s="58">
        <v>3.38</v>
      </c>
      <c r="J917" s="54">
        <f t="shared" si="72"/>
        <v>12328.712</v>
      </c>
      <c r="K917" s="57">
        <v>3650</v>
      </c>
      <c r="L917" s="54">
        <f t="shared" si="73"/>
        <v>44999798.799999997</v>
      </c>
      <c r="P917" s="139">
        <v>44660000</v>
      </c>
      <c r="Q917" s="139">
        <f t="shared" si="74"/>
        <v>339798.79999999702</v>
      </c>
    </row>
    <row r="918" spans="1:17" hidden="1" x14ac:dyDescent="0.3">
      <c r="A918" s="54"/>
      <c r="B918" s="54"/>
      <c r="C918" s="54"/>
      <c r="D918" s="54"/>
      <c r="E918" s="55"/>
      <c r="F918" s="57"/>
      <c r="G918" s="57"/>
      <c r="H918" s="54">
        <f t="shared" si="71"/>
        <v>0</v>
      </c>
      <c r="I918" s="58"/>
      <c r="J918" s="54">
        <f t="shared" si="72"/>
        <v>0</v>
      </c>
      <c r="K918" s="57"/>
      <c r="L918" s="54">
        <f t="shared" si="73"/>
        <v>0</v>
      </c>
      <c r="Q918" s="139">
        <f t="shared" si="74"/>
        <v>0</v>
      </c>
    </row>
    <row r="919" spans="1:17" hidden="1" x14ac:dyDescent="0.3">
      <c r="A919" s="54"/>
      <c r="B919" s="54"/>
      <c r="C919" s="54"/>
      <c r="D919" s="54"/>
      <c r="E919" s="55"/>
      <c r="F919" s="57"/>
      <c r="G919" s="57"/>
      <c r="H919" s="54">
        <f t="shared" si="71"/>
        <v>0</v>
      </c>
      <c r="I919" s="58"/>
      <c r="J919" s="54">
        <f t="shared" si="72"/>
        <v>0</v>
      </c>
      <c r="K919" s="57"/>
      <c r="L919" s="54">
        <f t="shared" si="73"/>
        <v>0</v>
      </c>
      <c r="Q919" s="139">
        <f t="shared" si="74"/>
        <v>0</v>
      </c>
    </row>
    <row r="920" spans="1:17" hidden="1" x14ac:dyDescent="0.3">
      <c r="A920" s="54"/>
      <c r="B920" s="54"/>
      <c r="C920" s="54"/>
      <c r="D920" s="54"/>
      <c r="E920" s="55"/>
      <c r="F920" s="57"/>
      <c r="G920" s="57"/>
      <c r="H920" s="54">
        <f t="shared" si="71"/>
        <v>0</v>
      </c>
      <c r="I920" s="58"/>
      <c r="J920" s="54">
        <f t="shared" si="72"/>
        <v>0</v>
      </c>
      <c r="K920" s="57"/>
      <c r="L920" s="54">
        <f t="shared" si="73"/>
        <v>0</v>
      </c>
      <c r="Q920" s="139">
        <f t="shared" si="74"/>
        <v>0</v>
      </c>
    </row>
    <row r="921" spans="1:17" hidden="1" x14ac:dyDescent="0.3">
      <c r="A921" s="54" t="s">
        <v>1757</v>
      </c>
      <c r="B921" s="54"/>
      <c r="C921" s="54">
        <f>10000*11950</f>
        <v>119500000</v>
      </c>
      <c r="D921" s="54" t="s">
        <v>610</v>
      </c>
      <c r="E921" s="55" t="s">
        <v>1758</v>
      </c>
      <c r="F921" s="57">
        <v>10380</v>
      </c>
      <c r="G921" s="57">
        <v>4940</v>
      </c>
      <c r="H921" s="54">
        <f t="shared" si="71"/>
        <v>5440</v>
      </c>
      <c r="I921" s="58">
        <v>3.8</v>
      </c>
      <c r="J921" s="54">
        <f t="shared" si="72"/>
        <v>5233.28</v>
      </c>
      <c r="K921" s="57">
        <v>3630</v>
      </c>
      <c r="L921" s="54">
        <f t="shared" si="73"/>
        <v>18996806.399999999</v>
      </c>
      <c r="P921" s="139">
        <v>18682000</v>
      </c>
      <c r="Q921" s="139">
        <f t="shared" si="74"/>
        <v>314806.39999999851</v>
      </c>
    </row>
    <row r="922" spans="1:17" hidden="1" x14ac:dyDescent="0.3">
      <c r="A922" s="54"/>
      <c r="B922" s="54"/>
      <c r="C922" s="54"/>
      <c r="D922" s="54"/>
      <c r="E922" s="55" t="s">
        <v>1759</v>
      </c>
      <c r="F922" s="57">
        <v>26790</v>
      </c>
      <c r="G922" s="57">
        <v>12970</v>
      </c>
      <c r="H922" s="54">
        <f t="shared" si="71"/>
        <v>13820</v>
      </c>
      <c r="I922" s="58">
        <v>2.9</v>
      </c>
      <c r="J922" s="54">
        <f t="shared" si="72"/>
        <v>13419.22</v>
      </c>
      <c r="K922" s="57">
        <v>3650</v>
      </c>
      <c r="L922" s="54">
        <f t="shared" si="73"/>
        <v>48980153</v>
      </c>
      <c r="P922" s="139">
        <v>48227000</v>
      </c>
      <c r="Q922" s="139">
        <f t="shared" si="74"/>
        <v>753153</v>
      </c>
    </row>
    <row r="923" spans="1:17" hidden="1" x14ac:dyDescent="0.3">
      <c r="A923" s="54"/>
      <c r="B923" s="54"/>
      <c r="C923" s="54"/>
      <c r="D923" s="54"/>
      <c r="E923" s="55" t="s">
        <v>1760</v>
      </c>
      <c r="F923" s="57">
        <v>21570</v>
      </c>
      <c r="G923" s="57">
        <v>9740</v>
      </c>
      <c r="H923" s="54">
        <f t="shared" ref="H923:H986" si="75">+F923-G923</f>
        <v>11830</v>
      </c>
      <c r="I923" s="58">
        <v>3.2</v>
      </c>
      <c r="J923" s="54">
        <f t="shared" ref="J923:J986" si="76">+H923-H923*I923/100</f>
        <v>11451.44</v>
      </c>
      <c r="K923" s="57">
        <v>3700</v>
      </c>
      <c r="L923" s="54">
        <f t="shared" ref="L923:L986" si="77">+J923*K923</f>
        <v>42370328</v>
      </c>
      <c r="P923" s="139">
        <v>41900000</v>
      </c>
      <c r="Q923" s="139">
        <f t="shared" si="74"/>
        <v>470328</v>
      </c>
    </row>
    <row r="924" spans="1:17" hidden="1" x14ac:dyDescent="0.3">
      <c r="A924" s="54"/>
      <c r="B924" s="54"/>
      <c r="C924" s="54"/>
      <c r="D924" s="54"/>
      <c r="E924" s="55" t="s">
        <v>1399</v>
      </c>
      <c r="F924" s="57">
        <v>28030</v>
      </c>
      <c r="G924" s="57">
        <v>12930</v>
      </c>
      <c r="H924" s="54">
        <f t="shared" si="75"/>
        <v>15100</v>
      </c>
      <c r="I924" s="58">
        <v>2</v>
      </c>
      <c r="J924" s="54">
        <f t="shared" si="76"/>
        <v>14798</v>
      </c>
      <c r="K924" s="57">
        <v>3380</v>
      </c>
      <c r="L924" s="54">
        <f t="shared" si="77"/>
        <v>50017240</v>
      </c>
      <c r="P924" s="139">
        <v>48335000</v>
      </c>
      <c r="Q924" s="139">
        <f t="shared" ref="Q924:Q987" si="78">+L924-P924</f>
        <v>1682240</v>
      </c>
    </row>
    <row r="925" spans="1:17" hidden="1" x14ac:dyDescent="0.3">
      <c r="A925" s="54"/>
      <c r="B925" s="54"/>
      <c r="C925" s="54"/>
      <c r="D925" s="54"/>
      <c r="E925" s="55"/>
      <c r="F925" s="57"/>
      <c r="G925" s="57"/>
      <c r="H925" s="54">
        <f t="shared" si="75"/>
        <v>0</v>
      </c>
      <c r="I925" s="58"/>
      <c r="J925" s="54">
        <f t="shared" si="76"/>
        <v>0</v>
      </c>
      <c r="K925" s="57"/>
      <c r="L925" s="54">
        <f t="shared" si="77"/>
        <v>0</v>
      </c>
      <c r="Q925" s="139">
        <f t="shared" si="78"/>
        <v>0</v>
      </c>
    </row>
    <row r="926" spans="1:17" hidden="1" x14ac:dyDescent="0.3">
      <c r="A926" s="54" t="s">
        <v>1761</v>
      </c>
      <c r="B926" s="210">
        <v>4500000</v>
      </c>
      <c r="C926" s="210"/>
      <c r="D926" s="210" t="s">
        <v>1775</v>
      </c>
      <c r="E926" s="55" t="s">
        <v>1762</v>
      </c>
      <c r="F926" s="57">
        <v>28840</v>
      </c>
      <c r="G926" s="57">
        <v>13980</v>
      </c>
      <c r="H926" s="54">
        <f t="shared" si="75"/>
        <v>14860</v>
      </c>
      <c r="I926" s="58">
        <v>2</v>
      </c>
      <c r="J926" s="54">
        <f t="shared" si="76"/>
        <v>14562.8</v>
      </c>
      <c r="K926" s="57">
        <v>3680</v>
      </c>
      <c r="L926" s="54">
        <f t="shared" si="77"/>
        <v>53591104</v>
      </c>
      <c r="P926" s="139">
        <v>50500000</v>
      </c>
      <c r="Q926" s="139">
        <f t="shared" si="78"/>
        <v>3091104</v>
      </c>
    </row>
    <row r="927" spans="1:17" hidden="1" x14ac:dyDescent="0.3">
      <c r="A927" s="54"/>
      <c r="B927" s="54"/>
      <c r="C927" s="54">
        <f>20000*11975</f>
        <v>239500000</v>
      </c>
      <c r="D927" s="54" t="s">
        <v>321</v>
      </c>
      <c r="E927" s="55" t="s">
        <v>1763</v>
      </c>
      <c r="F927" s="57">
        <v>22790</v>
      </c>
      <c r="G927" s="57">
        <v>10200</v>
      </c>
      <c r="H927" s="54">
        <f t="shared" si="75"/>
        <v>12590</v>
      </c>
      <c r="I927" s="58">
        <v>2</v>
      </c>
      <c r="J927" s="54">
        <f t="shared" si="76"/>
        <v>12338.2</v>
      </c>
      <c r="K927" s="57">
        <v>3380</v>
      </c>
      <c r="L927" s="54">
        <f t="shared" si="77"/>
        <v>41703116</v>
      </c>
      <c r="P927" s="139">
        <v>40300000</v>
      </c>
      <c r="Q927" s="139">
        <f t="shared" si="78"/>
        <v>1403116</v>
      </c>
    </row>
    <row r="928" spans="1:17" hidden="1" x14ac:dyDescent="0.3">
      <c r="A928" s="54"/>
      <c r="B928" s="54"/>
      <c r="C928" s="54"/>
      <c r="D928" s="54"/>
      <c r="E928" s="55"/>
      <c r="F928" s="57"/>
      <c r="G928" s="57"/>
      <c r="H928" s="54">
        <f t="shared" si="75"/>
        <v>0</v>
      </c>
      <c r="I928" s="58"/>
      <c r="J928" s="54">
        <f t="shared" si="76"/>
        <v>0</v>
      </c>
      <c r="K928" s="57"/>
      <c r="L928" s="54">
        <f t="shared" si="77"/>
        <v>0</v>
      </c>
      <c r="Q928" s="139">
        <f t="shared" si="78"/>
        <v>0</v>
      </c>
    </row>
    <row r="929" spans="1:17" hidden="1" x14ac:dyDescent="0.3">
      <c r="A929" s="54" t="s">
        <v>1767</v>
      </c>
      <c r="B929" s="54"/>
      <c r="C929" s="54"/>
      <c r="D929" s="54"/>
      <c r="E929" s="55" t="s">
        <v>1768</v>
      </c>
      <c r="F929" s="57">
        <v>28045</v>
      </c>
      <c r="G929" s="57">
        <v>13070</v>
      </c>
      <c r="H929" s="54">
        <f t="shared" si="75"/>
        <v>14975</v>
      </c>
      <c r="I929" s="58">
        <v>3</v>
      </c>
      <c r="J929" s="54">
        <f t="shared" si="76"/>
        <v>14525.75</v>
      </c>
      <c r="K929" s="57">
        <v>3650</v>
      </c>
      <c r="L929" s="54">
        <f t="shared" si="77"/>
        <v>53018987.5</v>
      </c>
      <c r="P929" s="139">
        <v>52078000</v>
      </c>
      <c r="Q929" s="139">
        <f t="shared" si="78"/>
        <v>940987.5</v>
      </c>
    </row>
    <row r="930" spans="1:17" hidden="1" x14ac:dyDescent="0.3">
      <c r="A930" s="54"/>
      <c r="B930" s="54"/>
      <c r="C930" s="54">
        <v>200000</v>
      </c>
      <c r="D930" s="54" t="s">
        <v>1769</v>
      </c>
      <c r="E930" s="55" t="s">
        <v>1770</v>
      </c>
      <c r="F930" s="57">
        <v>21310</v>
      </c>
      <c r="G930" s="57">
        <v>11060</v>
      </c>
      <c r="H930" s="54">
        <f t="shared" si="75"/>
        <v>10250</v>
      </c>
      <c r="I930" s="58">
        <v>1.9</v>
      </c>
      <c r="J930" s="54">
        <f t="shared" si="76"/>
        <v>10055.25</v>
      </c>
      <c r="K930" s="57">
        <v>3650</v>
      </c>
      <c r="L930" s="54">
        <f t="shared" si="77"/>
        <v>36701662.5</v>
      </c>
      <c r="P930" s="139">
        <v>36270000</v>
      </c>
      <c r="Q930" s="139">
        <f t="shared" si="78"/>
        <v>431662.5</v>
      </c>
    </row>
    <row r="931" spans="1:17" hidden="1" x14ac:dyDescent="0.3">
      <c r="A931" s="54"/>
      <c r="B931" s="54"/>
      <c r="C931" s="54">
        <v>200000</v>
      </c>
      <c r="D931" s="54" t="s">
        <v>1772</v>
      </c>
      <c r="E931" s="55" t="s">
        <v>1771</v>
      </c>
      <c r="F931" s="57">
        <v>24080</v>
      </c>
      <c r="G931" s="57">
        <v>12300</v>
      </c>
      <c r="H931" s="54">
        <f t="shared" si="75"/>
        <v>11780</v>
      </c>
      <c r="I931" s="58">
        <v>2.2999999999999998</v>
      </c>
      <c r="J931" s="54">
        <f t="shared" si="76"/>
        <v>11509.06</v>
      </c>
      <c r="K931" s="57">
        <v>3750</v>
      </c>
      <c r="L931" s="54">
        <f t="shared" si="77"/>
        <v>43158975</v>
      </c>
      <c r="P931" s="139">
        <v>42250000</v>
      </c>
      <c r="Q931" s="139">
        <f t="shared" si="78"/>
        <v>908975</v>
      </c>
    </row>
    <row r="932" spans="1:17" hidden="1" x14ac:dyDescent="0.3">
      <c r="A932" s="54"/>
      <c r="B932" s="54"/>
      <c r="C932" s="54"/>
      <c r="D932" s="54"/>
      <c r="E932" s="55" t="s">
        <v>1773</v>
      </c>
      <c r="F932" s="57">
        <v>17960</v>
      </c>
      <c r="G932" s="57">
        <v>8540</v>
      </c>
      <c r="H932" s="54">
        <f t="shared" si="75"/>
        <v>9420</v>
      </c>
      <c r="I932" s="58">
        <v>2</v>
      </c>
      <c r="J932" s="54">
        <f t="shared" si="76"/>
        <v>9231.6</v>
      </c>
      <c r="K932" s="57">
        <v>3650</v>
      </c>
      <c r="L932" s="54">
        <f t="shared" si="77"/>
        <v>33695340</v>
      </c>
      <c r="P932" s="139">
        <v>32644000</v>
      </c>
      <c r="Q932" s="139">
        <f t="shared" si="78"/>
        <v>1051340</v>
      </c>
    </row>
    <row r="933" spans="1:17" hidden="1" x14ac:dyDescent="0.3">
      <c r="A933" s="54"/>
      <c r="B933" s="54"/>
      <c r="C933" s="54"/>
      <c r="D933" s="54"/>
      <c r="E933" s="55"/>
      <c r="F933" s="57"/>
      <c r="G933" s="57"/>
      <c r="H933" s="54">
        <f t="shared" si="75"/>
        <v>0</v>
      </c>
      <c r="I933" s="58"/>
      <c r="J933" s="54">
        <f t="shared" si="76"/>
        <v>0</v>
      </c>
      <c r="K933" s="57"/>
      <c r="L933" s="54">
        <f t="shared" si="77"/>
        <v>0</v>
      </c>
      <c r="Q933" s="139">
        <f t="shared" si="78"/>
        <v>0</v>
      </c>
    </row>
    <row r="934" spans="1:17" hidden="1" x14ac:dyDescent="0.3">
      <c r="A934" s="54"/>
      <c r="B934" s="54"/>
      <c r="C934" s="54"/>
      <c r="D934" s="54"/>
      <c r="E934" s="55"/>
      <c r="F934" s="57"/>
      <c r="G934" s="57"/>
      <c r="H934" s="54">
        <f t="shared" si="75"/>
        <v>0</v>
      </c>
      <c r="I934" s="58"/>
      <c r="J934" s="54">
        <f t="shared" si="76"/>
        <v>0</v>
      </c>
      <c r="K934" s="57"/>
      <c r="L934" s="54">
        <f t="shared" si="77"/>
        <v>0</v>
      </c>
      <c r="Q934" s="139">
        <f t="shared" si="78"/>
        <v>0</v>
      </c>
    </row>
    <row r="935" spans="1:17" hidden="1" x14ac:dyDescent="0.3">
      <c r="A935" s="54"/>
      <c r="B935" s="54"/>
      <c r="C935" s="54"/>
      <c r="D935" s="54"/>
      <c r="E935" s="55"/>
      <c r="F935" s="57"/>
      <c r="G935" s="57"/>
      <c r="H935" s="54">
        <f t="shared" si="75"/>
        <v>0</v>
      </c>
      <c r="I935" s="58"/>
      <c r="J935" s="54">
        <f t="shared" si="76"/>
        <v>0</v>
      </c>
      <c r="K935" s="57"/>
      <c r="L935" s="54">
        <f t="shared" si="77"/>
        <v>0</v>
      </c>
      <c r="Q935" s="139">
        <f t="shared" si="78"/>
        <v>0</v>
      </c>
    </row>
    <row r="936" spans="1:17" hidden="1" x14ac:dyDescent="0.3">
      <c r="A936" s="54"/>
      <c r="B936" s="54"/>
      <c r="C936" s="54"/>
      <c r="D936" s="54"/>
      <c r="E936" s="179" t="s">
        <v>1797</v>
      </c>
      <c r="F936" s="57">
        <v>18140</v>
      </c>
      <c r="G936" s="57">
        <v>12800</v>
      </c>
      <c r="H936" s="54">
        <f t="shared" si="75"/>
        <v>5340</v>
      </c>
      <c r="I936" s="58">
        <v>3</v>
      </c>
      <c r="J936" s="54">
        <f t="shared" si="76"/>
        <v>5179.8</v>
      </c>
      <c r="K936" s="57">
        <v>3400</v>
      </c>
      <c r="L936" s="54">
        <f t="shared" si="77"/>
        <v>17611320</v>
      </c>
      <c r="P936" s="139">
        <v>16376000</v>
      </c>
      <c r="Q936" s="139">
        <f t="shared" si="78"/>
        <v>1235320</v>
      </c>
    </row>
    <row r="937" spans="1:17" hidden="1" x14ac:dyDescent="0.3">
      <c r="A937" s="54" t="s">
        <v>1776</v>
      </c>
      <c r="B937" s="54"/>
      <c r="C937" s="54">
        <v>119400000</v>
      </c>
      <c r="D937" s="54" t="s">
        <v>1474</v>
      </c>
      <c r="E937" s="179" t="s">
        <v>1797</v>
      </c>
      <c r="F937" s="57">
        <v>24300</v>
      </c>
      <c r="G937" s="57">
        <v>18140</v>
      </c>
      <c r="H937" s="54">
        <f t="shared" si="75"/>
        <v>6160</v>
      </c>
      <c r="I937" s="58">
        <v>2.7</v>
      </c>
      <c r="J937" s="54">
        <f t="shared" si="76"/>
        <v>5993.68</v>
      </c>
      <c r="K937" s="57">
        <v>3700</v>
      </c>
      <c r="L937" s="54">
        <f t="shared" si="77"/>
        <v>22176616</v>
      </c>
      <c r="P937" s="139">
        <v>21876931</v>
      </c>
      <c r="Q937" s="139">
        <f t="shared" si="78"/>
        <v>299685</v>
      </c>
    </row>
    <row r="938" spans="1:17" hidden="1" x14ac:dyDescent="0.3">
      <c r="A938" s="54"/>
      <c r="B938" s="54"/>
      <c r="C938" s="54"/>
      <c r="D938" s="54"/>
      <c r="E938" s="55" t="s">
        <v>1777</v>
      </c>
      <c r="F938" s="57">
        <v>20620</v>
      </c>
      <c r="G938" s="57">
        <v>8870</v>
      </c>
      <c r="H938" s="54">
        <f t="shared" si="75"/>
        <v>11750</v>
      </c>
      <c r="I938" s="58">
        <v>2</v>
      </c>
      <c r="J938" s="54">
        <f t="shared" si="76"/>
        <v>11515</v>
      </c>
      <c r="K938" s="57">
        <v>3680</v>
      </c>
      <c r="L938" s="54">
        <f t="shared" si="77"/>
        <v>42375200</v>
      </c>
      <c r="P938" s="139">
        <v>40713000</v>
      </c>
      <c r="Q938" s="139">
        <f t="shared" si="78"/>
        <v>1662200</v>
      </c>
    </row>
    <row r="939" spans="1:17" hidden="1" x14ac:dyDescent="0.3">
      <c r="A939" s="54"/>
      <c r="B939" s="54"/>
      <c r="C939" s="54"/>
      <c r="D939" s="54"/>
      <c r="E939" s="55" t="s">
        <v>1778</v>
      </c>
      <c r="F939" s="57">
        <v>33340</v>
      </c>
      <c r="G939" s="57">
        <v>17660</v>
      </c>
      <c r="H939" s="54">
        <f t="shared" si="75"/>
        <v>15680</v>
      </c>
      <c r="I939" s="58">
        <v>1.7</v>
      </c>
      <c r="J939" s="54">
        <f t="shared" si="76"/>
        <v>15413.44</v>
      </c>
      <c r="K939" s="57">
        <v>3650</v>
      </c>
      <c r="L939" s="54">
        <f t="shared" si="77"/>
        <v>56259056</v>
      </c>
      <c r="P939" s="139">
        <v>54820000</v>
      </c>
      <c r="Q939" s="139">
        <f t="shared" si="78"/>
        <v>1439056</v>
      </c>
    </row>
    <row r="940" spans="1:17" hidden="1" x14ac:dyDescent="0.3">
      <c r="A940" s="54"/>
      <c r="B940" s="54"/>
      <c r="C940" s="54">
        <v>800000</v>
      </c>
      <c r="D940" s="54" t="s">
        <v>1779</v>
      </c>
      <c r="E940" s="55" t="s">
        <v>1527</v>
      </c>
      <c r="F940" s="57">
        <v>18490</v>
      </c>
      <c r="G940" s="57">
        <v>9300</v>
      </c>
      <c r="H940" s="54">
        <f t="shared" si="75"/>
        <v>9190</v>
      </c>
      <c r="I940" s="58">
        <v>3.2</v>
      </c>
      <c r="J940" s="54">
        <f t="shared" si="76"/>
        <v>8895.92</v>
      </c>
      <c r="K940" s="57">
        <v>3650</v>
      </c>
      <c r="L940" s="54">
        <f t="shared" si="77"/>
        <v>32470108</v>
      </c>
      <c r="P940" s="139">
        <v>31700000</v>
      </c>
      <c r="Q940" s="139">
        <f t="shared" si="78"/>
        <v>770108</v>
      </c>
    </row>
    <row r="941" spans="1:17" hidden="1" x14ac:dyDescent="0.3">
      <c r="A941" s="54"/>
      <c r="B941" s="54"/>
      <c r="C941" s="54"/>
      <c r="D941" s="54"/>
      <c r="E941" s="55"/>
      <c r="F941" s="57"/>
      <c r="G941" s="57"/>
      <c r="H941" s="54">
        <f t="shared" si="75"/>
        <v>0</v>
      </c>
      <c r="I941" s="58"/>
      <c r="J941" s="54">
        <f t="shared" si="76"/>
        <v>0</v>
      </c>
      <c r="K941" s="57"/>
      <c r="L941" s="54">
        <f t="shared" si="77"/>
        <v>0</v>
      </c>
      <c r="Q941" s="139">
        <f t="shared" si="78"/>
        <v>0</v>
      </c>
    </row>
    <row r="942" spans="1:17" hidden="1" x14ac:dyDescent="0.3">
      <c r="A942" s="54" t="s">
        <v>1781</v>
      </c>
      <c r="B942" s="54"/>
      <c r="C942" s="54">
        <f>19000*11940</f>
        <v>226860000</v>
      </c>
      <c r="D942" s="54" t="s">
        <v>1782</v>
      </c>
      <c r="E942" s="55" t="s">
        <v>1023</v>
      </c>
      <c r="F942" s="57">
        <v>19560</v>
      </c>
      <c r="G942" s="57">
        <v>9470</v>
      </c>
      <c r="H942" s="54">
        <f t="shared" si="75"/>
        <v>10090</v>
      </c>
      <c r="I942" s="58">
        <v>2</v>
      </c>
      <c r="J942" s="54">
        <f t="shared" si="76"/>
        <v>9888.2000000000007</v>
      </c>
      <c r="K942" s="57">
        <v>3650</v>
      </c>
      <c r="L942" s="54">
        <f t="shared" si="77"/>
        <v>36091930</v>
      </c>
      <c r="M942" t="s">
        <v>703</v>
      </c>
      <c r="P942" s="139">
        <v>35158000</v>
      </c>
      <c r="Q942" s="139">
        <f t="shared" si="78"/>
        <v>933930</v>
      </c>
    </row>
    <row r="943" spans="1:17" hidden="1" x14ac:dyDescent="0.3">
      <c r="A943" s="54"/>
      <c r="B943" s="54"/>
      <c r="C943" s="54"/>
      <c r="D943" s="54"/>
      <c r="E943" s="55" t="s">
        <v>1399</v>
      </c>
      <c r="F943" s="57">
        <v>26420</v>
      </c>
      <c r="G943" s="57">
        <v>13020</v>
      </c>
      <c r="H943" s="54">
        <f t="shared" si="75"/>
        <v>13400</v>
      </c>
      <c r="I943" s="58">
        <v>2</v>
      </c>
      <c r="J943" s="54">
        <f t="shared" si="76"/>
        <v>13132</v>
      </c>
      <c r="K943" s="57">
        <v>3380</v>
      </c>
      <c r="L943" s="54">
        <f t="shared" si="77"/>
        <v>44386160</v>
      </c>
      <c r="P943" s="139">
        <v>43278000</v>
      </c>
      <c r="Q943" s="139">
        <f t="shared" si="78"/>
        <v>1108160</v>
      </c>
    </row>
    <row r="944" spans="1:17" hidden="1" x14ac:dyDescent="0.3">
      <c r="A944" s="54"/>
      <c r="B944" s="54"/>
      <c r="C944" s="54"/>
      <c r="D944" s="54"/>
      <c r="E944" s="55" t="s">
        <v>1783</v>
      </c>
      <c r="F944" s="57">
        <v>23545</v>
      </c>
      <c r="G944" s="57">
        <v>12890</v>
      </c>
      <c r="H944" s="54">
        <f t="shared" si="75"/>
        <v>10655</v>
      </c>
      <c r="I944" s="58">
        <v>3</v>
      </c>
      <c r="J944" s="54">
        <f t="shared" si="76"/>
        <v>10335.35</v>
      </c>
      <c r="K944" s="57">
        <v>3650</v>
      </c>
      <c r="L944" s="54">
        <f t="shared" si="77"/>
        <v>37724027.5</v>
      </c>
      <c r="P944" s="139">
        <v>36845000</v>
      </c>
      <c r="Q944" s="139">
        <f t="shared" si="78"/>
        <v>879027.5</v>
      </c>
    </row>
    <row r="945" spans="1:17" hidden="1" x14ac:dyDescent="0.3">
      <c r="A945" s="54"/>
      <c r="B945" s="54"/>
      <c r="C945" s="54"/>
      <c r="D945" s="54"/>
      <c r="E945" s="55"/>
      <c r="F945" s="57"/>
      <c r="G945" s="57"/>
      <c r="H945" s="54">
        <f t="shared" si="75"/>
        <v>0</v>
      </c>
      <c r="I945" s="58"/>
      <c r="J945" s="54">
        <f t="shared" si="76"/>
        <v>0</v>
      </c>
      <c r="K945" s="57"/>
      <c r="L945" s="54">
        <f t="shared" si="77"/>
        <v>0</v>
      </c>
      <c r="Q945" s="139">
        <f t="shared" si="78"/>
        <v>0</v>
      </c>
    </row>
    <row r="946" spans="1:17" hidden="1" x14ac:dyDescent="0.3">
      <c r="A946" s="54"/>
      <c r="B946" s="54"/>
      <c r="C946" s="54"/>
      <c r="D946" s="54"/>
      <c r="E946" s="55"/>
      <c r="F946" s="57"/>
      <c r="G946" s="57"/>
      <c r="H946" s="54">
        <f t="shared" si="75"/>
        <v>0</v>
      </c>
      <c r="I946" s="58"/>
      <c r="J946" s="54">
        <f t="shared" si="76"/>
        <v>0</v>
      </c>
      <c r="K946" s="57"/>
      <c r="L946" s="54">
        <f t="shared" si="77"/>
        <v>0</v>
      </c>
      <c r="Q946" s="139">
        <f t="shared" si="78"/>
        <v>0</v>
      </c>
    </row>
    <row r="947" spans="1:17" hidden="1" x14ac:dyDescent="0.3">
      <c r="A947" s="54" t="s">
        <v>1787</v>
      </c>
      <c r="B947" s="54"/>
      <c r="C947" s="54">
        <f>11000*11930</f>
        <v>131230000</v>
      </c>
      <c r="D947" s="54" t="s">
        <v>1788</v>
      </c>
      <c r="E947" s="55" t="s">
        <v>1789</v>
      </c>
      <c r="F947" s="57">
        <v>24110</v>
      </c>
      <c r="G947" s="57">
        <v>12860</v>
      </c>
      <c r="H947" s="54">
        <f t="shared" si="75"/>
        <v>11250</v>
      </c>
      <c r="I947" s="58">
        <v>1.85</v>
      </c>
      <c r="J947" s="54">
        <f t="shared" si="76"/>
        <v>11041.875</v>
      </c>
      <c r="K947" s="57">
        <v>3650</v>
      </c>
      <c r="L947" s="54">
        <f t="shared" si="77"/>
        <v>40302843.75</v>
      </c>
      <c r="P947" s="139">
        <v>39255000</v>
      </c>
      <c r="Q947" s="139">
        <f t="shared" si="78"/>
        <v>1047843.75</v>
      </c>
    </row>
    <row r="948" spans="1:17" hidden="1" x14ac:dyDescent="0.3">
      <c r="A948" s="54"/>
      <c r="B948" s="54"/>
      <c r="C948" s="54"/>
      <c r="D948" s="54"/>
      <c r="E948" s="55" t="s">
        <v>857</v>
      </c>
      <c r="F948" s="57">
        <v>18570</v>
      </c>
      <c r="G948" s="57">
        <v>9320</v>
      </c>
      <c r="H948" s="54">
        <f t="shared" si="75"/>
        <v>9250</v>
      </c>
      <c r="I948" s="58">
        <v>2</v>
      </c>
      <c r="J948" s="54">
        <f t="shared" si="76"/>
        <v>9065</v>
      </c>
      <c r="K948" s="57">
        <v>3380</v>
      </c>
      <c r="L948" s="54">
        <f t="shared" si="77"/>
        <v>30639700</v>
      </c>
      <c r="P948" s="139">
        <v>29600000</v>
      </c>
      <c r="Q948" s="139">
        <f t="shared" si="78"/>
        <v>1039700</v>
      </c>
    </row>
    <row r="949" spans="1:17" hidden="1" x14ac:dyDescent="0.3">
      <c r="A949" s="54"/>
      <c r="B949" s="54"/>
      <c r="C949" s="54"/>
      <c r="D949" s="54"/>
      <c r="E949" s="55" t="s">
        <v>1112</v>
      </c>
      <c r="F949" s="57">
        <v>20270</v>
      </c>
      <c r="G949" s="57">
        <v>9800</v>
      </c>
      <c r="H949" s="54">
        <f t="shared" si="75"/>
        <v>10470</v>
      </c>
      <c r="I949" s="58">
        <v>1.9</v>
      </c>
      <c r="J949" s="54">
        <f t="shared" si="76"/>
        <v>10271.07</v>
      </c>
      <c r="K949" s="57">
        <v>3700</v>
      </c>
      <c r="L949" s="54">
        <f t="shared" si="77"/>
        <v>38002959</v>
      </c>
      <c r="P949" s="139">
        <v>36535000</v>
      </c>
      <c r="Q949" s="139">
        <f t="shared" si="78"/>
        <v>1467959</v>
      </c>
    </row>
    <row r="950" spans="1:17" hidden="1" x14ac:dyDescent="0.3">
      <c r="A950" s="54"/>
      <c r="B950" s="54"/>
      <c r="C950" s="54">
        <v>250000</v>
      </c>
      <c r="D950" s="54" t="s">
        <v>758</v>
      </c>
      <c r="E950" s="55" t="s">
        <v>1790</v>
      </c>
      <c r="F950" s="57">
        <v>18690</v>
      </c>
      <c r="G950" s="57">
        <v>9920</v>
      </c>
      <c r="H950" s="54">
        <f t="shared" si="75"/>
        <v>8770</v>
      </c>
      <c r="I950" s="58">
        <v>0.9</v>
      </c>
      <c r="J950" s="54">
        <f t="shared" si="76"/>
        <v>8691.07</v>
      </c>
      <c r="K950" s="57">
        <v>3700</v>
      </c>
      <c r="L950" s="54">
        <f t="shared" si="77"/>
        <v>32156959</v>
      </c>
      <c r="P950" s="139">
        <v>31000000</v>
      </c>
      <c r="Q950" s="139">
        <f t="shared" si="78"/>
        <v>1156959</v>
      </c>
    </row>
    <row r="951" spans="1:17" hidden="1" x14ac:dyDescent="0.3">
      <c r="A951" s="54" t="s">
        <v>1791</v>
      </c>
      <c r="B951" s="54"/>
      <c r="C951" s="54"/>
      <c r="D951" s="54"/>
      <c r="E951" s="55" t="s">
        <v>1792</v>
      </c>
      <c r="F951" s="57">
        <v>21720</v>
      </c>
      <c r="G951" s="57">
        <v>9740</v>
      </c>
      <c r="H951" s="54">
        <f t="shared" si="75"/>
        <v>11980</v>
      </c>
      <c r="I951" s="58">
        <v>3.5</v>
      </c>
      <c r="J951" s="54">
        <f t="shared" si="76"/>
        <v>11560.7</v>
      </c>
      <c r="K951" s="57">
        <v>3650</v>
      </c>
      <c r="L951" s="54">
        <f t="shared" si="77"/>
        <v>42196555</v>
      </c>
      <c r="P951" s="139">
        <v>41627000</v>
      </c>
      <c r="Q951" s="139">
        <f t="shared" si="78"/>
        <v>569555</v>
      </c>
    </row>
    <row r="952" spans="1:17" hidden="1" x14ac:dyDescent="0.3">
      <c r="A952" s="54"/>
      <c r="B952" s="54"/>
      <c r="C952" s="54"/>
      <c r="D952" s="54"/>
      <c r="E952" s="55" t="s">
        <v>1039</v>
      </c>
      <c r="F952" s="57">
        <v>17770</v>
      </c>
      <c r="G952" s="57">
        <v>8460</v>
      </c>
      <c r="H952" s="54">
        <f t="shared" si="75"/>
        <v>9310</v>
      </c>
      <c r="I952" s="58">
        <v>2</v>
      </c>
      <c r="J952" s="54">
        <f t="shared" si="76"/>
        <v>9123.7999999999993</v>
      </c>
      <c r="K952" s="57">
        <v>3650</v>
      </c>
      <c r="L952" s="54">
        <f t="shared" si="77"/>
        <v>33301869.999999996</v>
      </c>
      <c r="P952" s="139">
        <v>32085000</v>
      </c>
      <c r="Q952" s="139">
        <f t="shared" si="78"/>
        <v>1216869.9999999963</v>
      </c>
    </row>
    <row r="953" spans="1:17" hidden="1" x14ac:dyDescent="0.3">
      <c r="A953" s="54"/>
      <c r="B953" s="54"/>
      <c r="C953" s="54"/>
      <c r="D953" s="54"/>
      <c r="E953" s="55" t="s">
        <v>1793</v>
      </c>
      <c r="F953" s="57">
        <v>22200</v>
      </c>
      <c r="G953" s="57">
        <v>10800</v>
      </c>
      <c r="H953" s="54">
        <f t="shared" si="75"/>
        <v>11400</v>
      </c>
      <c r="I953" s="58">
        <v>1.9</v>
      </c>
      <c r="J953" s="54">
        <f t="shared" si="76"/>
        <v>11183.4</v>
      </c>
      <c r="K953" s="57">
        <v>3680</v>
      </c>
      <c r="L953" s="54">
        <f t="shared" si="77"/>
        <v>41154912</v>
      </c>
      <c r="P953" s="139">
        <v>39916000</v>
      </c>
      <c r="Q953" s="139">
        <f t="shared" si="78"/>
        <v>1238912</v>
      </c>
    </row>
    <row r="954" spans="1:17" hidden="1" x14ac:dyDescent="0.3">
      <c r="A954" s="54"/>
      <c r="B954" s="54"/>
      <c r="C954" s="54"/>
      <c r="D954" s="54"/>
      <c r="E954" s="55"/>
      <c r="F954" s="57"/>
      <c r="G954" s="57"/>
      <c r="H954" s="54">
        <f t="shared" si="75"/>
        <v>0</v>
      </c>
      <c r="I954" s="58"/>
      <c r="J954" s="54">
        <f t="shared" si="76"/>
        <v>0</v>
      </c>
      <c r="K954" s="57"/>
      <c r="L954" s="54">
        <f t="shared" si="77"/>
        <v>0</v>
      </c>
      <c r="Q954" s="139">
        <f t="shared" si="78"/>
        <v>0</v>
      </c>
    </row>
    <row r="955" spans="1:17" hidden="1" x14ac:dyDescent="0.3">
      <c r="A955" s="54"/>
      <c r="B955" s="54"/>
      <c r="C955" s="54"/>
      <c r="D955" s="54"/>
      <c r="E955" s="55"/>
      <c r="F955" s="57"/>
      <c r="G955" s="57"/>
      <c r="H955" s="54">
        <f t="shared" si="75"/>
        <v>0</v>
      </c>
      <c r="I955" s="58"/>
      <c r="J955" s="54">
        <f t="shared" si="76"/>
        <v>0</v>
      </c>
      <c r="K955" s="57"/>
      <c r="L955" s="54">
        <f t="shared" si="77"/>
        <v>0</v>
      </c>
      <c r="Q955" s="139">
        <f t="shared" si="78"/>
        <v>0</v>
      </c>
    </row>
    <row r="956" spans="1:17" hidden="1" x14ac:dyDescent="0.3">
      <c r="A956" s="54" t="s">
        <v>1796</v>
      </c>
      <c r="B956" s="54"/>
      <c r="C956" s="54">
        <f>29500*11850</f>
        <v>349575000</v>
      </c>
      <c r="D956" s="54" t="s">
        <v>1798</v>
      </c>
      <c r="E956" s="55" t="s">
        <v>1759</v>
      </c>
      <c r="F956" s="57">
        <v>25090</v>
      </c>
      <c r="G956" s="57">
        <v>12800</v>
      </c>
      <c r="H956" s="54">
        <f t="shared" si="75"/>
        <v>12290</v>
      </c>
      <c r="I956" s="58">
        <v>2</v>
      </c>
      <c r="J956" s="54">
        <f t="shared" si="76"/>
        <v>12044.2</v>
      </c>
      <c r="K956" s="57">
        <v>3700</v>
      </c>
      <c r="L956" s="54">
        <f t="shared" si="77"/>
        <v>44563540</v>
      </c>
      <c r="P956" s="139">
        <v>42320000</v>
      </c>
      <c r="Q956" s="139">
        <f t="shared" si="78"/>
        <v>2243540</v>
      </c>
    </row>
    <row r="957" spans="1:17" hidden="1" x14ac:dyDescent="0.3">
      <c r="A957" s="54"/>
      <c r="B957" s="54"/>
      <c r="C957" s="54"/>
      <c r="D957" s="54"/>
      <c r="E957" s="55"/>
      <c r="F957" s="57"/>
      <c r="G957" s="57"/>
      <c r="H957" s="54">
        <f t="shared" si="75"/>
        <v>0</v>
      </c>
      <c r="I957" s="58"/>
      <c r="J957" s="54">
        <f t="shared" si="76"/>
        <v>0</v>
      </c>
      <c r="K957" s="57"/>
      <c r="L957" s="54">
        <f t="shared" si="77"/>
        <v>0</v>
      </c>
      <c r="Q957" s="139">
        <f t="shared" si="78"/>
        <v>0</v>
      </c>
    </row>
    <row r="958" spans="1:17" hidden="1" x14ac:dyDescent="0.3">
      <c r="A958" s="54" t="s">
        <v>1804</v>
      </c>
      <c r="B958" s="54"/>
      <c r="C958" s="54"/>
      <c r="D958" s="54"/>
      <c r="E958" s="55" t="s">
        <v>873</v>
      </c>
      <c r="F958" s="57">
        <v>11700</v>
      </c>
      <c r="G958" s="57">
        <v>4860</v>
      </c>
      <c r="H958" s="54">
        <f t="shared" si="75"/>
        <v>6840</v>
      </c>
      <c r="I958" s="58">
        <v>2.4</v>
      </c>
      <c r="J958" s="54">
        <f t="shared" si="76"/>
        <v>6675.84</v>
      </c>
      <c r="K958" s="57">
        <v>3630</v>
      </c>
      <c r="L958" s="54">
        <f t="shared" si="77"/>
        <v>24233299.199999999</v>
      </c>
      <c r="P958" s="139">
        <v>23986000</v>
      </c>
      <c r="Q958" s="139">
        <f t="shared" si="78"/>
        <v>247299.19999999925</v>
      </c>
    </row>
    <row r="959" spans="1:17" hidden="1" x14ac:dyDescent="0.3">
      <c r="A959" s="54"/>
      <c r="B959" s="54"/>
      <c r="C959" s="54"/>
      <c r="D959" s="54"/>
      <c r="E959" s="55" t="s">
        <v>1023</v>
      </c>
      <c r="F959" s="57">
        <v>19760</v>
      </c>
      <c r="G959" s="57">
        <v>9310</v>
      </c>
      <c r="H959" s="54">
        <f t="shared" si="75"/>
        <v>10450</v>
      </c>
      <c r="I959" s="58">
        <v>2</v>
      </c>
      <c r="J959" s="54">
        <f t="shared" si="76"/>
        <v>10241</v>
      </c>
      <c r="K959" s="57">
        <v>3650</v>
      </c>
      <c r="L959" s="54">
        <f t="shared" si="77"/>
        <v>37379650</v>
      </c>
      <c r="P959" s="139">
        <v>35984000</v>
      </c>
      <c r="Q959" s="139">
        <f t="shared" si="78"/>
        <v>1395650</v>
      </c>
    </row>
    <row r="960" spans="1:17" hidden="1" x14ac:dyDescent="0.3">
      <c r="A960" s="54"/>
      <c r="B960" s="54"/>
      <c r="C960" s="54"/>
      <c r="D960" s="54"/>
      <c r="E960" s="55" t="s">
        <v>1805</v>
      </c>
      <c r="F960" s="57">
        <v>22100</v>
      </c>
      <c r="G960" s="57">
        <v>9660</v>
      </c>
      <c r="H960" s="54">
        <f t="shared" si="75"/>
        <v>12440</v>
      </c>
      <c r="I960" s="58">
        <v>2</v>
      </c>
      <c r="J960" s="54">
        <f t="shared" si="76"/>
        <v>12191.2</v>
      </c>
      <c r="K960" s="57">
        <v>3680</v>
      </c>
      <c r="L960" s="54">
        <f t="shared" si="77"/>
        <v>44863616</v>
      </c>
      <c r="P960" s="139">
        <v>43104000</v>
      </c>
      <c r="Q960" s="139">
        <f t="shared" si="78"/>
        <v>1759616</v>
      </c>
    </row>
    <row r="961" spans="1:17" hidden="1" x14ac:dyDescent="0.3">
      <c r="A961" s="54"/>
      <c r="B961" s="54"/>
      <c r="C961" s="54"/>
      <c r="D961" s="54"/>
      <c r="E961" s="55" t="s">
        <v>1806</v>
      </c>
      <c r="F961" s="57">
        <v>21380</v>
      </c>
      <c r="G961" s="57">
        <v>10950</v>
      </c>
      <c r="H961" s="54">
        <f t="shared" si="75"/>
        <v>10430</v>
      </c>
      <c r="I961" s="58">
        <v>1.7</v>
      </c>
      <c r="J961" s="54">
        <f t="shared" si="76"/>
        <v>10252.69</v>
      </c>
      <c r="K961" s="57">
        <v>3750</v>
      </c>
      <c r="L961" s="54">
        <f t="shared" si="77"/>
        <v>38447587.5</v>
      </c>
      <c r="P961" s="139">
        <v>38522000</v>
      </c>
      <c r="Q961" s="139">
        <f t="shared" si="78"/>
        <v>-74412.5</v>
      </c>
    </row>
    <row r="962" spans="1:17" hidden="1" x14ac:dyDescent="0.3">
      <c r="A962" s="54"/>
      <c r="B962" s="54"/>
      <c r="C962" s="54">
        <v>400000</v>
      </c>
      <c r="D962" s="54" t="s">
        <v>1809</v>
      </c>
      <c r="E962" s="55" t="s">
        <v>1807</v>
      </c>
      <c r="F962" s="57">
        <v>18100</v>
      </c>
      <c r="G962" s="57">
        <v>9780</v>
      </c>
      <c r="H962" s="54">
        <f t="shared" si="75"/>
        <v>8320</v>
      </c>
      <c r="I962" s="58">
        <v>2.7</v>
      </c>
      <c r="J962" s="54">
        <f t="shared" si="76"/>
        <v>8095.36</v>
      </c>
      <c r="K962" s="57">
        <v>3380</v>
      </c>
      <c r="L962" s="54">
        <f t="shared" si="77"/>
        <v>27362316.800000001</v>
      </c>
      <c r="P962" s="139">
        <v>27160000</v>
      </c>
      <c r="Q962" s="139">
        <f t="shared" si="78"/>
        <v>202316.80000000075</v>
      </c>
    </row>
    <row r="963" spans="1:17" hidden="1" x14ac:dyDescent="0.3">
      <c r="A963" s="54"/>
      <c r="B963" s="54"/>
      <c r="C963" s="54"/>
      <c r="D963" s="54"/>
      <c r="E963" s="55"/>
      <c r="F963" s="57"/>
      <c r="G963" s="57"/>
      <c r="H963" s="54">
        <f t="shared" si="75"/>
        <v>0</v>
      </c>
      <c r="I963" s="58"/>
      <c r="J963" s="54">
        <f t="shared" si="76"/>
        <v>0</v>
      </c>
      <c r="K963" s="57"/>
      <c r="L963" s="54">
        <f t="shared" si="77"/>
        <v>0</v>
      </c>
      <c r="Q963" s="139">
        <f t="shared" si="78"/>
        <v>0</v>
      </c>
    </row>
    <row r="964" spans="1:17" hidden="1" x14ac:dyDescent="0.3">
      <c r="A964" s="54" t="s">
        <v>1811</v>
      </c>
      <c r="B964" s="54"/>
      <c r="C964" s="54">
        <f>24000*11890</f>
        <v>285360000</v>
      </c>
      <c r="D964" s="54" t="s">
        <v>1812</v>
      </c>
      <c r="E964" s="55" t="s">
        <v>1399</v>
      </c>
      <c r="F964" s="57">
        <v>25680</v>
      </c>
      <c r="G964" s="57">
        <v>13000</v>
      </c>
      <c r="H964" s="54">
        <f t="shared" si="75"/>
        <v>12680</v>
      </c>
      <c r="I964" s="58">
        <v>2</v>
      </c>
      <c r="J964" s="54">
        <f t="shared" si="76"/>
        <v>12426.4</v>
      </c>
      <c r="K964" s="57">
        <v>3380</v>
      </c>
      <c r="L964" s="54">
        <f t="shared" si="77"/>
        <v>42001232</v>
      </c>
      <c r="P964" s="139">
        <v>40689000</v>
      </c>
      <c r="Q964" s="139">
        <f t="shared" si="78"/>
        <v>1312232</v>
      </c>
    </row>
    <row r="965" spans="1:17" hidden="1" x14ac:dyDescent="0.3">
      <c r="A965" s="54"/>
      <c r="B965" s="54"/>
      <c r="C965" s="54"/>
      <c r="D965" s="54"/>
      <c r="E965" s="55" t="s">
        <v>1813</v>
      </c>
      <c r="F965" s="180">
        <v>24080</v>
      </c>
      <c r="G965" s="180">
        <v>12730</v>
      </c>
      <c r="H965" s="54">
        <f t="shared" si="75"/>
        <v>11350</v>
      </c>
      <c r="I965" s="58">
        <v>1</v>
      </c>
      <c r="J965" s="54">
        <f t="shared" si="76"/>
        <v>11236.5</v>
      </c>
      <c r="K965" s="57">
        <v>3650</v>
      </c>
      <c r="L965" s="54">
        <f t="shared" si="77"/>
        <v>41013225</v>
      </c>
      <c r="P965" s="139">
        <v>39476000</v>
      </c>
      <c r="Q965" s="139">
        <f t="shared" si="78"/>
        <v>1537225</v>
      </c>
    </row>
    <row r="966" spans="1:17" hidden="1" x14ac:dyDescent="0.3">
      <c r="A966" s="54"/>
      <c r="B966" s="54"/>
      <c r="C966" s="54"/>
      <c r="D966" s="54"/>
      <c r="E966" s="55"/>
      <c r="F966" s="57"/>
      <c r="G966" s="57"/>
      <c r="H966" s="54">
        <f t="shared" si="75"/>
        <v>0</v>
      </c>
      <c r="I966" s="58"/>
      <c r="J966" s="54">
        <f t="shared" si="76"/>
        <v>0</v>
      </c>
      <c r="K966" s="57"/>
      <c r="L966" s="54">
        <f t="shared" si="77"/>
        <v>0</v>
      </c>
      <c r="Q966" s="139">
        <f t="shared" si="78"/>
        <v>0</v>
      </c>
    </row>
    <row r="967" spans="1:17" hidden="1" x14ac:dyDescent="0.3">
      <c r="A967" s="54" t="s">
        <v>1816</v>
      </c>
      <c r="B967" s="54">
        <f>2988*11850</f>
        <v>35407800</v>
      </c>
      <c r="C967" s="54"/>
      <c r="D967" s="54" t="s">
        <v>1818</v>
      </c>
      <c r="E967" s="55" t="s">
        <v>1817</v>
      </c>
      <c r="F967" s="57">
        <v>26900</v>
      </c>
      <c r="G967" s="57">
        <v>10860</v>
      </c>
      <c r="H967" s="54">
        <f t="shared" si="75"/>
        <v>16040</v>
      </c>
      <c r="I967" s="58">
        <v>2</v>
      </c>
      <c r="J967" s="54">
        <f t="shared" si="76"/>
        <v>15719.2</v>
      </c>
      <c r="K967" s="57">
        <v>3380</v>
      </c>
      <c r="L967" s="54">
        <f t="shared" si="77"/>
        <v>53130896</v>
      </c>
      <c r="P967" s="139">
        <v>51328000</v>
      </c>
      <c r="Q967" s="139">
        <f t="shared" si="78"/>
        <v>1802896</v>
      </c>
    </row>
    <row r="968" spans="1:17" hidden="1" x14ac:dyDescent="0.3">
      <c r="A968" s="54"/>
      <c r="B968" s="54"/>
      <c r="C968" s="54">
        <v>118900000</v>
      </c>
      <c r="D968" s="54" t="s">
        <v>610</v>
      </c>
      <c r="E968" s="55" t="s">
        <v>1819</v>
      </c>
      <c r="F968" s="57">
        <v>29100</v>
      </c>
      <c r="G968" s="57">
        <v>12820</v>
      </c>
      <c r="H968" s="54">
        <f t="shared" si="75"/>
        <v>16280</v>
      </c>
      <c r="I968" s="58">
        <v>1</v>
      </c>
      <c r="J968" s="54">
        <f t="shared" si="76"/>
        <v>16117.2</v>
      </c>
      <c r="K968" s="57">
        <v>3700</v>
      </c>
      <c r="L968" s="54">
        <f t="shared" si="77"/>
        <v>59633640</v>
      </c>
      <c r="O968" s="136">
        <v>4150</v>
      </c>
      <c r="P968" s="139">
        <v>56060000</v>
      </c>
      <c r="Q968" s="139">
        <f t="shared" si="78"/>
        <v>3573640</v>
      </c>
    </row>
    <row r="969" spans="1:17" hidden="1" x14ac:dyDescent="0.3">
      <c r="A969" s="54"/>
      <c r="B969" s="54"/>
      <c r="C969" s="54"/>
      <c r="D969" s="54"/>
      <c r="E969" s="55" t="s">
        <v>1759</v>
      </c>
      <c r="F969" s="57">
        <v>26590</v>
      </c>
      <c r="G969" s="57">
        <v>12870</v>
      </c>
      <c r="H969" s="54">
        <f t="shared" si="75"/>
        <v>13720</v>
      </c>
      <c r="I969" s="58">
        <v>2.9</v>
      </c>
      <c r="J969" s="54">
        <f t="shared" si="76"/>
        <v>13322.12</v>
      </c>
      <c r="K969" s="57">
        <v>3650</v>
      </c>
      <c r="L969" s="54">
        <f t="shared" si="77"/>
        <v>48625738</v>
      </c>
      <c r="P969" s="139">
        <v>47933000</v>
      </c>
      <c r="Q969" s="139">
        <f t="shared" si="78"/>
        <v>692738</v>
      </c>
    </row>
    <row r="970" spans="1:17" hidden="1" x14ac:dyDescent="0.3">
      <c r="A970" s="54"/>
      <c r="B970" s="54"/>
      <c r="C970" s="54"/>
      <c r="D970" s="54"/>
      <c r="E970" s="55" t="s">
        <v>1820</v>
      </c>
      <c r="F970" s="57">
        <v>17980</v>
      </c>
      <c r="G970" s="57">
        <v>8360</v>
      </c>
      <c r="H970" s="54">
        <f t="shared" si="75"/>
        <v>9620</v>
      </c>
      <c r="I970" s="58">
        <v>2</v>
      </c>
      <c r="J970" s="54">
        <f t="shared" si="76"/>
        <v>9427.6</v>
      </c>
      <c r="K970" s="57">
        <v>3680</v>
      </c>
      <c r="L970" s="54">
        <f t="shared" si="77"/>
        <v>34693568</v>
      </c>
      <c r="P970" s="139">
        <v>33280000</v>
      </c>
      <c r="Q970" s="139">
        <f t="shared" si="78"/>
        <v>1413568</v>
      </c>
    </row>
    <row r="971" spans="1:17" hidden="1" x14ac:dyDescent="0.3">
      <c r="A971" s="54"/>
      <c r="B971" s="54"/>
      <c r="C971" s="54"/>
      <c r="D971" s="54"/>
      <c r="E971" s="55"/>
      <c r="F971" s="57"/>
      <c r="G971" s="57"/>
      <c r="H971" s="54">
        <f t="shared" si="75"/>
        <v>0</v>
      </c>
      <c r="I971" s="58"/>
      <c r="J971" s="54">
        <f t="shared" si="76"/>
        <v>0</v>
      </c>
      <c r="K971" s="57"/>
      <c r="L971" s="54">
        <f t="shared" si="77"/>
        <v>0</v>
      </c>
      <c r="Q971" s="139">
        <f t="shared" si="78"/>
        <v>0</v>
      </c>
    </row>
    <row r="972" spans="1:17" hidden="1" x14ac:dyDescent="0.3">
      <c r="A972" s="54" t="s">
        <v>1822</v>
      </c>
      <c r="B972" s="54"/>
      <c r="C972" s="54"/>
      <c r="D972" s="54"/>
      <c r="E972" s="55"/>
      <c r="F972" s="57"/>
      <c r="G972" s="57"/>
      <c r="H972" s="54">
        <f t="shared" si="75"/>
        <v>0</v>
      </c>
      <c r="I972" s="58"/>
      <c r="J972" s="54">
        <f t="shared" si="76"/>
        <v>0</v>
      </c>
      <c r="K972" s="57"/>
      <c r="L972" s="54">
        <f t="shared" si="77"/>
        <v>0</v>
      </c>
      <c r="Q972" s="139">
        <f t="shared" si="78"/>
        <v>0</v>
      </c>
    </row>
    <row r="973" spans="1:17" hidden="1" x14ac:dyDescent="0.3">
      <c r="A973" s="54"/>
      <c r="B973" s="54"/>
      <c r="C973" s="54">
        <v>200000</v>
      </c>
      <c r="D973" s="54" t="s">
        <v>1175</v>
      </c>
      <c r="E973" s="55" t="s">
        <v>1868</v>
      </c>
      <c r="F973" s="57">
        <v>16395</v>
      </c>
      <c r="G973" s="57">
        <v>9010</v>
      </c>
      <c r="H973" s="54">
        <f t="shared" si="75"/>
        <v>7385</v>
      </c>
      <c r="I973" s="58">
        <v>3</v>
      </c>
      <c r="J973" s="54">
        <f t="shared" si="76"/>
        <v>7163.45</v>
      </c>
      <c r="K973" s="57">
        <v>3700</v>
      </c>
      <c r="L973" s="54">
        <f t="shared" si="77"/>
        <v>26504765</v>
      </c>
      <c r="P973" s="139">
        <v>25880000</v>
      </c>
      <c r="Q973" s="139">
        <f t="shared" si="78"/>
        <v>624765</v>
      </c>
    </row>
    <row r="974" spans="1:17" hidden="1" x14ac:dyDescent="0.3">
      <c r="A974" s="54"/>
      <c r="B974" s="54"/>
      <c r="C974" s="54">
        <v>800000</v>
      </c>
      <c r="D974" s="54" t="s">
        <v>1824</v>
      </c>
      <c r="E974" s="55" t="s">
        <v>1823</v>
      </c>
      <c r="F974" s="57">
        <v>22640</v>
      </c>
      <c r="G974" s="57">
        <v>9270</v>
      </c>
      <c r="H974" s="54">
        <f t="shared" si="75"/>
        <v>13370</v>
      </c>
      <c r="I974" s="58">
        <v>2.7</v>
      </c>
      <c r="J974" s="54">
        <f t="shared" si="76"/>
        <v>13009.01</v>
      </c>
      <c r="K974" s="57">
        <v>3750</v>
      </c>
      <c r="L974" s="54">
        <f t="shared" si="77"/>
        <v>48783787.5</v>
      </c>
      <c r="P974" s="139">
        <v>45500000</v>
      </c>
      <c r="Q974" s="139">
        <f t="shared" si="78"/>
        <v>3283787.5</v>
      </c>
    </row>
    <row r="975" spans="1:17" hidden="1" x14ac:dyDescent="0.3">
      <c r="A975" s="54"/>
      <c r="B975" s="54"/>
      <c r="C975" s="54"/>
      <c r="D975" s="180" t="s">
        <v>1826</v>
      </c>
      <c r="E975" s="55" t="s">
        <v>1825</v>
      </c>
      <c r="F975" s="57">
        <v>13590</v>
      </c>
      <c r="G975" s="57">
        <v>4890</v>
      </c>
      <c r="H975" s="54">
        <f t="shared" si="75"/>
        <v>8700</v>
      </c>
      <c r="I975" s="58">
        <v>3.4</v>
      </c>
      <c r="J975" s="54">
        <f t="shared" si="76"/>
        <v>8404.2000000000007</v>
      </c>
      <c r="K975" s="57">
        <v>3850</v>
      </c>
      <c r="L975" s="54">
        <f t="shared" si="77"/>
        <v>32356170.000000004</v>
      </c>
      <c r="P975" s="139">
        <v>32612000</v>
      </c>
      <c r="Q975" s="139">
        <f t="shared" si="78"/>
        <v>-255829.99999999627</v>
      </c>
    </row>
    <row r="976" spans="1:17" hidden="1" x14ac:dyDescent="0.3">
      <c r="A976" s="54"/>
      <c r="B976" s="54"/>
      <c r="C976" s="54">
        <v>600000</v>
      </c>
      <c r="D976" s="54" t="s">
        <v>1828</v>
      </c>
      <c r="E976" s="55" t="s">
        <v>1829</v>
      </c>
      <c r="F976" s="57">
        <v>24880</v>
      </c>
      <c r="G976" s="57">
        <v>13200</v>
      </c>
      <c r="H976" s="54">
        <f t="shared" si="75"/>
        <v>11680</v>
      </c>
      <c r="I976" s="58">
        <v>1</v>
      </c>
      <c r="J976" s="54">
        <f t="shared" si="76"/>
        <v>11563.2</v>
      </c>
      <c r="K976" s="57">
        <v>3680</v>
      </c>
      <c r="L976" s="54">
        <f t="shared" si="77"/>
        <v>42552576</v>
      </c>
      <c r="P976" s="139">
        <v>41000000</v>
      </c>
      <c r="Q976" s="139">
        <f t="shared" si="78"/>
        <v>1552576</v>
      </c>
    </row>
    <row r="977" spans="1:17" hidden="1" x14ac:dyDescent="0.3">
      <c r="A977" s="54"/>
      <c r="B977" s="54"/>
      <c r="C977" s="54">
        <f>160*250</f>
        <v>40000</v>
      </c>
      <c r="D977" s="54" t="s">
        <v>1653</v>
      </c>
      <c r="E977" s="55" t="s">
        <v>1830</v>
      </c>
      <c r="F977" s="57">
        <v>19550</v>
      </c>
      <c r="G977" s="57">
        <v>9820</v>
      </c>
      <c r="H977" s="54">
        <f t="shared" si="75"/>
        <v>9730</v>
      </c>
      <c r="I977" s="58">
        <v>1</v>
      </c>
      <c r="J977" s="54">
        <f t="shared" si="76"/>
        <v>9632.7000000000007</v>
      </c>
      <c r="K977" s="57">
        <v>3800</v>
      </c>
      <c r="L977" s="54">
        <f t="shared" si="77"/>
        <v>36604260</v>
      </c>
      <c r="O977" s="136">
        <v>4100</v>
      </c>
      <c r="P977" s="139">
        <v>34932000</v>
      </c>
      <c r="Q977" s="139">
        <f t="shared" si="78"/>
        <v>1672260</v>
      </c>
    </row>
    <row r="978" spans="1:17" hidden="1" x14ac:dyDescent="0.3">
      <c r="A978" s="54"/>
      <c r="B978" s="54"/>
      <c r="C978" s="180">
        <v>1728000</v>
      </c>
      <c r="D978" s="54" t="s">
        <v>955</v>
      </c>
      <c r="E978" s="55" t="s">
        <v>1831</v>
      </c>
      <c r="F978" s="57">
        <v>12920</v>
      </c>
      <c r="G978" s="57">
        <v>9645</v>
      </c>
      <c r="H978" s="54">
        <f t="shared" si="75"/>
        <v>3275</v>
      </c>
      <c r="I978" s="58">
        <v>4</v>
      </c>
      <c r="J978" s="54">
        <f t="shared" si="76"/>
        <v>3144</v>
      </c>
      <c r="K978" s="57">
        <v>3500</v>
      </c>
      <c r="L978" s="54">
        <f t="shared" si="77"/>
        <v>11004000</v>
      </c>
      <c r="P978" s="139">
        <v>10000000</v>
      </c>
      <c r="Q978" s="139">
        <f t="shared" si="78"/>
        <v>1004000</v>
      </c>
    </row>
    <row r="979" spans="1:17" hidden="1" x14ac:dyDescent="0.3">
      <c r="A979" s="54"/>
      <c r="B979" s="54"/>
      <c r="C979" s="54"/>
      <c r="D979" s="54"/>
      <c r="E979" s="55" t="s">
        <v>1834</v>
      </c>
      <c r="F979" s="57">
        <v>27185</v>
      </c>
      <c r="G979" s="57">
        <v>12795</v>
      </c>
      <c r="H979" s="54">
        <f t="shared" si="75"/>
        <v>14390</v>
      </c>
      <c r="I979" s="58">
        <v>3</v>
      </c>
      <c r="J979" s="54">
        <f t="shared" si="76"/>
        <v>13958.3</v>
      </c>
      <c r="K979" s="57">
        <v>3650</v>
      </c>
      <c r="L979" s="54">
        <f t="shared" si="77"/>
        <v>50947795</v>
      </c>
      <c r="P979" s="139">
        <f>39653000+9730000</f>
        <v>49383000</v>
      </c>
      <c r="Q979" s="139">
        <f t="shared" si="78"/>
        <v>1564795</v>
      </c>
    </row>
    <row r="980" spans="1:17" hidden="1" x14ac:dyDescent="0.3">
      <c r="A980" s="54"/>
      <c r="B980" s="54"/>
      <c r="C980" s="54"/>
      <c r="D980" s="54"/>
      <c r="E980" s="55" t="s">
        <v>1832</v>
      </c>
      <c r="F980" s="57">
        <v>26020</v>
      </c>
      <c r="G980" s="57">
        <v>12710</v>
      </c>
      <c r="H980" s="54">
        <f t="shared" si="75"/>
        <v>13310</v>
      </c>
      <c r="I980" s="58">
        <v>3</v>
      </c>
      <c r="J980" s="54">
        <f t="shared" si="76"/>
        <v>12910.7</v>
      </c>
      <c r="K980" s="57">
        <v>3700</v>
      </c>
      <c r="L980" s="54">
        <f t="shared" si="77"/>
        <v>47769590</v>
      </c>
      <c r="P980" s="139">
        <v>46108000</v>
      </c>
      <c r="Q980" s="139">
        <f t="shared" si="78"/>
        <v>1661590</v>
      </c>
    </row>
    <row r="981" spans="1:17" hidden="1" x14ac:dyDescent="0.3">
      <c r="A981" s="54"/>
      <c r="B981" s="54"/>
      <c r="C981" s="54"/>
      <c r="D981" s="54"/>
      <c r="E981" s="55" t="s">
        <v>1833</v>
      </c>
      <c r="F981" s="57">
        <v>23670</v>
      </c>
      <c r="G981" s="57">
        <v>9260</v>
      </c>
      <c r="H981" s="54">
        <f t="shared" si="75"/>
        <v>14410</v>
      </c>
      <c r="I981" s="58"/>
      <c r="J981" s="54">
        <f t="shared" si="76"/>
        <v>14410</v>
      </c>
      <c r="K981" s="57">
        <v>3800</v>
      </c>
      <c r="L981" s="54">
        <f t="shared" si="77"/>
        <v>54758000</v>
      </c>
      <c r="P981" s="139">
        <v>53767000</v>
      </c>
      <c r="Q981" s="139">
        <f t="shared" si="78"/>
        <v>991000</v>
      </c>
    </row>
    <row r="982" spans="1:17" hidden="1" x14ac:dyDescent="0.3">
      <c r="A982" s="54" t="s">
        <v>1840</v>
      </c>
      <c r="B982" s="54"/>
      <c r="C982" s="54"/>
      <c r="D982" s="54"/>
      <c r="E982" s="55"/>
      <c r="F982" s="57"/>
      <c r="G982" s="57"/>
      <c r="H982" s="54">
        <f t="shared" si="75"/>
        <v>0</v>
      </c>
      <c r="I982" s="58"/>
      <c r="J982" s="54">
        <f t="shared" si="76"/>
        <v>0</v>
      </c>
      <c r="K982" s="57"/>
      <c r="L982" s="54">
        <f t="shared" si="77"/>
        <v>0</v>
      </c>
      <c r="Q982" s="139">
        <f t="shared" si="78"/>
        <v>0</v>
      </c>
    </row>
    <row r="983" spans="1:17" hidden="1" x14ac:dyDescent="0.3">
      <c r="A983" s="54"/>
      <c r="B983" s="54"/>
      <c r="C983" s="54">
        <f>30000*11845</f>
        <v>355350000</v>
      </c>
      <c r="D983" s="54" t="s">
        <v>376</v>
      </c>
      <c r="E983" s="55"/>
      <c r="F983" s="57"/>
      <c r="G983" s="57"/>
      <c r="H983" s="54">
        <f t="shared" si="75"/>
        <v>0</v>
      </c>
      <c r="I983" s="58"/>
      <c r="J983" s="54">
        <f t="shared" si="76"/>
        <v>0</v>
      </c>
      <c r="K983" s="57"/>
      <c r="L983" s="54">
        <f t="shared" si="77"/>
        <v>0</v>
      </c>
      <c r="Q983" s="139">
        <f t="shared" si="78"/>
        <v>0</v>
      </c>
    </row>
    <row r="984" spans="1:17" hidden="1" x14ac:dyDescent="0.3">
      <c r="A984" s="54"/>
      <c r="B984" s="54"/>
      <c r="C984" s="54">
        <v>342000</v>
      </c>
      <c r="D984" s="54" t="s">
        <v>1844</v>
      </c>
      <c r="E984" s="55" t="s">
        <v>1843</v>
      </c>
      <c r="F984" s="57">
        <v>22430</v>
      </c>
      <c r="G984" s="57">
        <v>10790</v>
      </c>
      <c r="H984" s="54">
        <f t="shared" si="75"/>
        <v>11640</v>
      </c>
      <c r="I984" s="58">
        <v>1</v>
      </c>
      <c r="J984" s="54">
        <f t="shared" si="76"/>
        <v>11523.6</v>
      </c>
      <c r="K984" s="57">
        <v>3800</v>
      </c>
      <c r="L984" s="54">
        <f t="shared" si="77"/>
        <v>43789680</v>
      </c>
      <c r="P984" s="139">
        <v>41286000</v>
      </c>
      <c r="Q984" s="139">
        <f t="shared" si="78"/>
        <v>2503680</v>
      </c>
    </row>
    <row r="985" spans="1:17" hidden="1" x14ac:dyDescent="0.3">
      <c r="A985" s="54"/>
      <c r="B985" s="54"/>
      <c r="C985" s="54">
        <v>250000</v>
      </c>
      <c r="D985" s="54" t="s">
        <v>1845</v>
      </c>
      <c r="E985" s="55" t="s">
        <v>1846</v>
      </c>
      <c r="F985" s="57">
        <v>26800</v>
      </c>
      <c r="G985" s="57">
        <v>14730</v>
      </c>
      <c r="H985" s="54">
        <f t="shared" si="75"/>
        <v>12070</v>
      </c>
      <c r="I985" s="58">
        <v>1</v>
      </c>
      <c r="J985" s="54">
        <f t="shared" si="76"/>
        <v>11949.3</v>
      </c>
      <c r="K985" s="57">
        <v>3800</v>
      </c>
      <c r="L985" s="54">
        <f t="shared" si="77"/>
        <v>45407340</v>
      </c>
      <c r="P985" s="139">
        <v>42600000</v>
      </c>
      <c r="Q985" s="139">
        <f t="shared" si="78"/>
        <v>2807340</v>
      </c>
    </row>
    <row r="986" spans="1:17" hidden="1" x14ac:dyDescent="0.3">
      <c r="A986" s="54"/>
      <c r="B986" s="54"/>
      <c r="C986" s="54"/>
      <c r="D986" s="54" t="s">
        <v>1847</v>
      </c>
      <c r="E986" s="55" t="s">
        <v>1848</v>
      </c>
      <c r="F986" s="57">
        <v>24975</v>
      </c>
      <c r="G986" s="57">
        <v>12780</v>
      </c>
      <c r="H986" s="54">
        <f t="shared" si="75"/>
        <v>12195</v>
      </c>
      <c r="I986" s="58">
        <v>3</v>
      </c>
      <c r="J986" s="54">
        <f t="shared" si="76"/>
        <v>11829.15</v>
      </c>
      <c r="K986" s="57">
        <v>3650</v>
      </c>
      <c r="L986" s="54">
        <f t="shared" si="77"/>
        <v>43176397.5</v>
      </c>
      <c r="P986" s="139">
        <v>41690000</v>
      </c>
      <c r="Q986" s="139">
        <f t="shared" si="78"/>
        <v>1486397.5</v>
      </c>
    </row>
    <row r="987" spans="1:17" hidden="1" x14ac:dyDescent="0.3">
      <c r="A987" s="54"/>
      <c r="B987" s="54"/>
      <c r="C987" s="54">
        <v>200000</v>
      </c>
      <c r="D987" s="54" t="s">
        <v>609</v>
      </c>
      <c r="E987" s="55" t="s">
        <v>1849</v>
      </c>
      <c r="F987" s="57">
        <v>11200</v>
      </c>
      <c r="G987" s="57">
        <v>4750</v>
      </c>
      <c r="H987" s="54">
        <f t="shared" ref="H987:H1050" si="79">+F987-G987</f>
        <v>6450</v>
      </c>
      <c r="I987" s="58">
        <v>1</v>
      </c>
      <c r="J987" s="54">
        <f t="shared" ref="J987:J1050" si="80">+H987-H987*I987/100</f>
        <v>6385.5</v>
      </c>
      <c r="K987" s="57">
        <v>3680</v>
      </c>
      <c r="L987" s="54">
        <f t="shared" ref="L987:L1050" si="81">+J987*K987</f>
        <v>23498640</v>
      </c>
      <c r="P987" s="139">
        <v>22335000</v>
      </c>
      <c r="Q987" s="139">
        <f t="shared" si="78"/>
        <v>1163640</v>
      </c>
    </row>
    <row r="988" spans="1:17" hidden="1" x14ac:dyDescent="0.3">
      <c r="A988" s="54"/>
      <c r="B988" s="54"/>
      <c r="C988" s="54"/>
      <c r="D988" s="54"/>
      <c r="E988" s="55" t="s">
        <v>1850</v>
      </c>
      <c r="F988" s="57">
        <v>27860</v>
      </c>
      <c r="G988" s="57">
        <v>13910</v>
      </c>
      <c r="H988" s="54">
        <f t="shared" si="79"/>
        <v>13950</v>
      </c>
      <c r="I988" s="58">
        <v>2</v>
      </c>
      <c r="J988" s="54">
        <f t="shared" si="80"/>
        <v>13671</v>
      </c>
      <c r="K988" s="57">
        <v>3680</v>
      </c>
      <c r="L988" s="54">
        <f t="shared" si="81"/>
        <v>50309280</v>
      </c>
      <c r="P988" s="139">
        <v>48577000</v>
      </c>
      <c r="Q988" s="139">
        <f t="shared" ref="Q988:Q1051" si="82">+L988-P988</f>
        <v>1732280</v>
      </c>
    </row>
    <row r="989" spans="1:17" hidden="1" x14ac:dyDescent="0.3">
      <c r="A989" s="54"/>
      <c r="B989" s="54"/>
      <c r="C989" s="54">
        <v>150000</v>
      </c>
      <c r="D989" s="54" t="s">
        <v>1852</v>
      </c>
      <c r="E989" s="55" t="s">
        <v>1851</v>
      </c>
      <c r="F989" s="57">
        <v>22500</v>
      </c>
      <c r="G989" s="57">
        <v>13100</v>
      </c>
      <c r="H989" s="54">
        <f t="shared" si="79"/>
        <v>9400</v>
      </c>
      <c r="I989" s="58">
        <v>2</v>
      </c>
      <c r="J989" s="54">
        <f t="shared" si="80"/>
        <v>9212</v>
      </c>
      <c r="K989" s="57">
        <v>3400</v>
      </c>
      <c r="L989" s="54">
        <f t="shared" si="81"/>
        <v>31320800</v>
      </c>
      <c r="P989" s="139">
        <f>30080000+150000</f>
        <v>30230000</v>
      </c>
      <c r="Q989" s="139">
        <f t="shared" si="82"/>
        <v>1090800</v>
      </c>
    </row>
    <row r="990" spans="1:17" hidden="1" x14ac:dyDescent="0.3">
      <c r="A990" s="54"/>
      <c r="B990" s="54"/>
      <c r="C990" s="180">
        <v>10030000</v>
      </c>
      <c r="D990" s="180" t="s">
        <v>1038</v>
      </c>
      <c r="E990" s="55"/>
      <c r="F990" s="57"/>
      <c r="G990" s="57"/>
      <c r="H990" s="54">
        <f t="shared" si="79"/>
        <v>0</v>
      </c>
      <c r="I990" s="58"/>
      <c r="J990" s="54">
        <f t="shared" si="80"/>
        <v>0</v>
      </c>
      <c r="K990" s="57"/>
      <c r="L990" s="54">
        <f t="shared" si="81"/>
        <v>0</v>
      </c>
      <c r="Q990" s="139">
        <f t="shared" si="82"/>
        <v>0</v>
      </c>
    </row>
    <row r="991" spans="1:17" hidden="1" x14ac:dyDescent="0.3">
      <c r="A991" s="54"/>
      <c r="B991" s="54"/>
      <c r="C991" s="54"/>
      <c r="D991" s="54"/>
      <c r="E991" s="55"/>
      <c r="F991" s="57"/>
      <c r="G991" s="57"/>
      <c r="H991" s="54">
        <f t="shared" si="79"/>
        <v>0</v>
      </c>
      <c r="I991" s="58"/>
      <c r="J991" s="54">
        <f t="shared" si="80"/>
        <v>0</v>
      </c>
      <c r="K991" s="57"/>
      <c r="L991" s="54">
        <f t="shared" si="81"/>
        <v>0</v>
      </c>
      <c r="Q991" s="139">
        <f t="shared" si="82"/>
        <v>0</v>
      </c>
    </row>
    <row r="992" spans="1:17" hidden="1" x14ac:dyDescent="0.3">
      <c r="A992" s="54" t="s">
        <v>1853</v>
      </c>
      <c r="B992" s="54">
        <v>400000</v>
      </c>
      <c r="C992" s="54"/>
      <c r="D992" s="54" t="s">
        <v>1533</v>
      </c>
      <c r="E992" s="55" t="s">
        <v>1859</v>
      </c>
      <c r="F992" s="57">
        <v>24640</v>
      </c>
      <c r="G992" s="57">
        <v>13040</v>
      </c>
      <c r="H992" s="54">
        <f t="shared" si="79"/>
        <v>11600</v>
      </c>
      <c r="I992" s="58">
        <v>2.6</v>
      </c>
      <c r="J992" s="54">
        <f t="shared" si="80"/>
        <v>11298.4</v>
      </c>
      <c r="K992" s="57">
        <v>3380</v>
      </c>
      <c r="L992" s="54">
        <f t="shared" si="81"/>
        <v>38188592</v>
      </c>
      <c r="P992" s="139">
        <v>38347000</v>
      </c>
      <c r="Q992" s="139">
        <f t="shared" si="82"/>
        <v>-158408</v>
      </c>
    </row>
    <row r="993" spans="1:17" hidden="1" x14ac:dyDescent="0.3">
      <c r="A993" s="54"/>
      <c r="B993" s="54"/>
      <c r="C993" s="54"/>
      <c r="D993" s="54"/>
      <c r="E993" s="55" t="s">
        <v>1860</v>
      </c>
      <c r="F993" s="57">
        <v>18690</v>
      </c>
      <c r="G993" s="57">
        <v>9800</v>
      </c>
      <c r="H993" s="54">
        <f t="shared" si="79"/>
        <v>8890</v>
      </c>
      <c r="I993" s="58">
        <v>2.7</v>
      </c>
      <c r="J993" s="54">
        <f t="shared" si="80"/>
        <v>8649.9699999999993</v>
      </c>
      <c r="K993" s="57">
        <v>3670</v>
      </c>
      <c r="L993" s="54">
        <f t="shared" si="81"/>
        <v>31745389.899999999</v>
      </c>
      <c r="P993" s="139">
        <v>30940000</v>
      </c>
      <c r="Q993" s="139">
        <f t="shared" si="82"/>
        <v>805389.89999999851</v>
      </c>
    </row>
    <row r="994" spans="1:17" hidden="1" x14ac:dyDescent="0.3">
      <c r="A994" s="54"/>
      <c r="B994" s="54"/>
      <c r="C994" s="54"/>
      <c r="D994" s="54"/>
      <c r="E994" s="55" t="s">
        <v>1861</v>
      </c>
      <c r="F994" s="57">
        <v>22970</v>
      </c>
      <c r="G994" s="57">
        <v>11080</v>
      </c>
      <c r="H994" s="54">
        <f t="shared" si="79"/>
        <v>11890</v>
      </c>
      <c r="I994" s="58">
        <v>2.2000000000000002</v>
      </c>
      <c r="J994" s="54">
        <f t="shared" si="80"/>
        <v>11628.42</v>
      </c>
      <c r="K994" s="57">
        <v>3730</v>
      </c>
      <c r="L994" s="54">
        <f t="shared" si="81"/>
        <v>43374006.600000001</v>
      </c>
      <c r="P994" s="139">
        <v>41730000</v>
      </c>
      <c r="Q994" s="139">
        <f t="shared" si="82"/>
        <v>1644006.6000000015</v>
      </c>
    </row>
    <row r="995" spans="1:17" hidden="1" x14ac:dyDescent="0.3">
      <c r="A995" s="54"/>
      <c r="B995" s="54"/>
      <c r="C995" s="54"/>
      <c r="D995" s="54"/>
      <c r="E995" s="55" t="s">
        <v>1862</v>
      </c>
      <c r="F995" s="57">
        <v>18940</v>
      </c>
      <c r="G995" s="57">
        <v>9290</v>
      </c>
      <c r="H995" s="54">
        <f t="shared" si="79"/>
        <v>9650</v>
      </c>
      <c r="I995" s="58">
        <v>2.2999999999999998</v>
      </c>
      <c r="J995" s="54">
        <f t="shared" si="80"/>
        <v>9428.0499999999993</v>
      </c>
      <c r="K995" s="57">
        <v>3650</v>
      </c>
      <c r="L995" s="54">
        <f t="shared" si="81"/>
        <v>34412382.5</v>
      </c>
      <c r="P995" s="139">
        <v>34435000</v>
      </c>
      <c r="Q995" s="139">
        <f t="shared" si="82"/>
        <v>-22617.5</v>
      </c>
    </row>
    <row r="996" spans="1:17" hidden="1" x14ac:dyDescent="0.3">
      <c r="A996" s="54"/>
      <c r="B996" s="54"/>
      <c r="C996" s="54"/>
      <c r="D996" s="54"/>
      <c r="E996" s="55" t="s">
        <v>1863</v>
      </c>
      <c r="F996" s="57">
        <v>22520</v>
      </c>
      <c r="G996" s="57">
        <v>9580</v>
      </c>
      <c r="H996" s="54">
        <f t="shared" si="79"/>
        <v>12940</v>
      </c>
      <c r="I996" s="58">
        <v>2</v>
      </c>
      <c r="J996" s="54">
        <f t="shared" si="80"/>
        <v>12681.2</v>
      </c>
      <c r="K996" s="57">
        <v>3400</v>
      </c>
      <c r="L996" s="54">
        <f t="shared" si="81"/>
        <v>43116080</v>
      </c>
      <c r="P996" s="139">
        <v>41488000</v>
      </c>
      <c r="Q996" s="139">
        <f t="shared" si="82"/>
        <v>1628080</v>
      </c>
    </row>
    <row r="997" spans="1:17" hidden="1" x14ac:dyDescent="0.3">
      <c r="A997" s="54"/>
      <c r="B997" s="54"/>
      <c r="C997" s="54"/>
      <c r="D997" s="54"/>
      <c r="E997" s="55"/>
      <c r="F997" s="57"/>
      <c r="G997" s="57"/>
      <c r="H997" s="54">
        <f t="shared" si="79"/>
        <v>0</v>
      </c>
      <c r="I997" s="58"/>
      <c r="J997" s="54">
        <f t="shared" si="80"/>
        <v>0</v>
      </c>
      <c r="K997" s="57"/>
      <c r="L997" s="54">
        <f t="shared" si="81"/>
        <v>0</v>
      </c>
      <c r="Q997" s="139">
        <f t="shared" si="82"/>
        <v>0</v>
      </c>
    </row>
    <row r="998" spans="1:17" hidden="1" x14ac:dyDescent="0.3">
      <c r="A998" s="54"/>
      <c r="B998" s="54"/>
      <c r="C998" s="54"/>
      <c r="D998" s="54"/>
      <c r="E998" s="55"/>
      <c r="F998" s="57"/>
      <c r="G998" s="57"/>
      <c r="H998" s="54">
        <f t="shared" si="79"/>
        <v>0</v>
      </c>
      <c r="I998" s="58"/>
      <c r="J998" s="54">
        <f t="shared" si="80"/>
        <v>0</v>
      </c>
      <c r="K998" s="57"/>
      <c r="L998" s="54">
        <f t="shared" si="81"/>
        <v>0</v>
      </c>
      <c r="Q998" s="139">
        <f t="shared" si="82"/>
        <v>0</v>
      </c>
    </row>
    <row r="999" spans="1:17" hidden="1" x14ac:dyDescent="0.3">
      <c r="A999" s="54"/>
      <c r="B999" s="54"/>
      <c r="C999" s="54"/>
      <c r="D999" s="54"/>
      <c r="E999" s="55"/>
      <c r="F999" s="57"/>
      <c r="G999" s="57"/>
      <c r="H999" s="54">
        <f t="shared" si="79"/>
        <v>0</v>
      </c>
      <c r="I999" s="58"/>
      <c r="J999" s="54">
        <f t="shared" si="80"/>
        <v>0</v>
      </c>
      <c r="K999" s="57"/>
      <c r="L999" s="54">
        <f t="shared" si="81"/>
        <v>0</v>
      </c>
      <c r="Q999" s="139">
        <f t="shared" si="82"/>
        <v>0</v>
      </c>
    </row>
    <row r="1000" spans="1:17" hidden="1" x14ac:dyDescent="0.3">
      <c r="A1000" s="54" t="s">
        <v>1869</v>
      </c>
      <c r="B1000" s="54"/>
      <c r="C1000" s="54">
        <v>1000000</v>
      </c>
      <c r="D1000" s="54" t="s">
        <v>1175</v>
      </c>
      <c r="E1000" s="55" t="s">
        <v>1870</v>
      </c>
      <c r="F1000" s="57">
        <v>25220</v>
      </c>
      <c r="G1000" s="57">
        <v>13170</v>
      </c>
      <c r="H1000" s="54">
        <f t="shared" si="79"/>
        <v>12050</v>
      </c>
      <c r="I1000" s="58">
        <v>1</v>
      </c>
      <c r="J1000" s="54">
        <f t="shared" si="80"/>
        <v>11929.5</v>
      </c>
      <c r="K1000" s="57">
        <v>3700</v>
      </c>
      <c r="L1000" s="54">
        <f t="shared" si="81"/>
        <v>44139150</v>
      </c>
      <c r="P1000" s="139">
        <v>41000000</v>
      </c>
      <c r="Q1000" s="139">
        <f t="shared" si="82"/>
        <v>3139150</v>
      </c>
    </row>
    <row r="1001" spans="1:17" hidden="1" x14ac:dyDescent="0.3">
      <c r="A1001" s="54"/>
      <c r="B1001" s="54"/>
      <c r="C1001" s="54"/>
      <c r="D1001" s="54"/>
      <c r="E1001" s="55" t="s">
        <v>1482</v>
      </c>
      <c r="F1001" s="57">
        <v>18040</v>
      </c>
      <c r="G1001" s="57">
        <v>9080</v>
      </c>
      <c r="H1001" s="54">
        <f t="shared" si="79"/>
        <v>8960</v>
      </c>
      <c r="I1001" s="58">
        <v>2</v>
      </c>
      <c r="J1001" s="54">
        <f t="shared" si="80"/>
        <v>8780.7999999999993</v>
      </c>
      <c r="K1001" s="57">
        <v>3400</v>
      </c>
      <c r="L1001" s="54">
        <f t="shared" si="81"/>
        <v>29854719.999999996</v>
      </c>
      <c r="P1001" s="139">
        <v>29661000</v>
      </c>
      <c r="Q1001" s="139">
        <f t="shared" si="82"/>
        <v>193719.99999999627</v>
      </c>
    </row>
    <row r="1002" spans="1:17" hidden="1" x14ac:dyDescent="0.3">
      <c r="A1002" s="54"/>
      <c r="B1002" s="54"/>
      <c r="C1002" s="54">
        <f>1500*250</f>
        <v>375000</v>
      </c>
      <c r="D1002" s="54" t="s">
        <v>1871</v>
      </c>
      <c r="E1002" s="55" t="s">
        <v>1872</v>
      </c>
      <c r="F1002" s="57">
        <v>23780</v>
      </c>
      <c r="G1002" s="57">
        <v>13250</v>
      </c>
      <c r="H1002" s="54">
        <f t="shared" si="79"/>
        <v>10530</v>
      </c>
      <c r="I1002" s="58">
        <v>1</v>
      </c>
      <c r="J1002" s="54">
        <f t="shared" si="80"/>
        <v>10424.700000000001</v>
      </c>
      <c r="K1002" s="57">
        <v>3800</v>
      </c>
      <c r="L1002" s="54">
        <f t="shared" si="81"/>
        <v>39613860</v>
      </c>
      <c r="P1002" s="139">
        <v>37800000</v>
      </c>
      <c r="Q1002" s="139">
        <f t="shared" si="82"/>
        <v>1813860</v>
      </c>
    </row>
    <row r="1003" spans="1:17" hidden="1" x14ac:dyDescent="0.3">
      <c r="A1003" s="54"/>
      <c r="B1003" s="54"/>
      <c r="C1003" s="54">
        <v>250000</v>
      </c>
      <c r="D1003" s="54" t="s">
        <v>1832</v>
      </c>
      <c r="E1003" s="55" t="s">
        <v>1873</v>
      </c>
      <c r="F1003" s="57">
        <v>23120</v>
      </c>
      <c r="G1003" s="57">
        <v>12570</v>
      </c>
      <c r="H1003" s="54">
        <f t="shared" si="79"/>
        <v>10550</v>
      </c>
      <c r="I1003" s="58">
        <v>2</v>
      </c>
      <c r="J1003" s="54">
        <f t="shared" si="80"/>
        <v>10339</v>
      </c>
      <c r="K1003" s="57">
        <v>3680</v>
      </c>
      <c r="L1003" s="54">
        <f t="shared" si="81"/>
        <v>38047520</v>
      </c>
      <c r="P1003" s="139">
        <v>37000000</v>
      </c>
      <c r="Q1003" s="139">
        <f t="shared" si="82"/>
        <v>1047520</v>
      </c>
    </row>
    <row r="1004" spans="1:17" hidden="1" x14ac:dyDescent="0.3">
      <c r="A1004" s="54"/>
      <c r="B1004" s="54"/>
      <c r="C1004" s="54">
        <f>40000*11840</f>
        <v>473600000</v>
      </c>
      <c r="D1004" s="54" t="s">
        <v>1874</v>
      </c>
      <c r="E1004" s="55" t="s">
        <v>1879</v>
      </c>
      <c r="F1004" s="57">
        <v>23210</v>
      </c>
      <c r="G1004" s="57">
        <v>16210</v>
      </c>
      <c r="H1004" s="54">
        <f t="shared" si="79"/>
        <v>7000</v>
      </c>
      <c r="I1004" s="58">
        <v>2</v>
      </c>
      <c r="J1004" s="54">
        <f t="shared" si="80"/>
        <v>6860</v>
      </c>
      <c r="K1004" s="57">
        <v>3650</v>
      </c>
      <c r="L1004" s="54">
        <f t="shared" si="81"/>
        <v>25039000</v>
      </c>
      <c r="P1004" s="139">
        <v>25039000</v>
      </c>
      <c r="Q1004" s="139">
        <f t="shared" si="82"/>
        <v>0</v>
      </c>
    </row>
    <row r="1005" spans="1:17" hidden="1" x14ac:dyDescent="0.3">
      <c r="A1005" s="54"/>
      <c r="B1005" s="54"/>
      <c r="C1005" s="180">
        <v>330000</v>
      </c>
      <c r="D1005" s="180" t="s">
        <v>1875</v>
      </c>
      <c r="E1005" s="55" t="s">
        <v>857</v>
      </c>
      <c r="F1005" s="57">
        <v>16220</v>
      </c>
      <c r="G1005" s="57">
        <v>9380</v>
      </c>
      <c r="H1005" s="54">
        <f t="shared" si="79"/>
        <v>6840</v>
      </c>
      <c r="I1005" s="58">
        <v>2.7</v>
      </c>
      <c r="J1005" s="54">
        <f t="shared" si="80"/>
        <v>6655.32</v>
      </c>
      <c r="K1005" s="57">
        <v>3400</v>
      </c>
      <c r="L1005" s="54">
        <f t="shared" si="81"/>
        <v>22628088</v>
      </c>
      <c r="P1005" s="139">
        <v>23994000</v>
      </c>
      <c r="Q1005" s="139">
        <f t="shared" si="82"/>
        <v>-1365912</v>
      </c>
    </row>
    <row r="1006" spans="1:17" hidden="1" x14ac:dyDescent="0.3">
      <c r="A1006" s="54" t="s">
        <v>1880</v>
      </c>
      <c r="B1006" s="54"/>
      <c r="C1006" s="54"/>
      <c r="D1006" s="54"/>
      <c r="E1006" s="55" t="s">
        <v>1881</v>
      </c>
      <c r="F1006" s="57">
        <v>23850</v>
      </c>
      <c r="G1006" s="57">
        <v>12900</v>
      </c>
      <c r="H1006" s="54">
        <f t="shared" si="79"/>
        <v>10950</v>
      </c>
      <c r="I1006" s="58">
        <v>1</v>
      </c>
      <c r="J1006" s="54">
        <f t="shared" si="80"/>
        <v>10840.5</v>
      </c>
      <c r="K1006" s="57">
        <v>3750</v>
      </c>
      <c r="L1006" s="54">
        <f t="shared" si="81"/>
        <v>40651875</v>
      </c>
      <c r="P1006" s="139">
        <v>38880000</v>
      </c>
      <c r="Q1006" s="139">
        <f t="shared" si="82"/>
        <v>1771875</v>
      </c>
    </row>
    <row r="1007" spans="1:17" hidden="1" x14ac:dyDescent="0.3">
      <c r="A1007" s="54"/>
      <c r="B1007" s="54"/>
      <c r="C1007" s="54"/>
      <c r="D1007" s="54"/>
      <c r="E1007" s="55" t="s">
        <v>1882</v>
      </c>
      <c r="F1007" s="57">
        <v>23840</v>
      </c>
      <c r="G1007" s="57">
        <v>12820</v>
      </c>
      <c r="H1007" s="54">
        <f t="shared" si="79"/>
        <v>11020</v>
      </c>
      <c r="I1007" s="58">
        <v>3.9</v>
      </c>
      <c r="J1007" s="54">
        <f t="shared" si="80"/>
        <v>10590.22</v>
      </c>
      <c r="K1007" s="57">
        <v>3380</v>
      </c>
      <c r="L1007" s="54">
        <f t="shared" si="81"/>
        <v>35794943.600000001</v>
      </c>
      <c r="P1007" s="139">
        <v>35339000</v>
      </c>
      <c r="Q1007" s="139">
        <f t="shared" si="82"/>
        <v>455943.60000000149</v>
      </c>
    </row>
    <row r="1008" spans="1:17" hidden="1" x14ac:dyDescent="0.3">
      <c r="A1008" s="54"/>
      <c r="B1008" s="54"/>
      <c r="C1008" s="54"/>
      <c r="D1008" s="54"/>
      <c r="E1008" s="55" t="s">
        <v>1336</v>
      </c>
      <c r="F1008" s="57">
        <v>17360</v>
      </c>
      <c r="G1008" s="57">
        <v>8410</v>
      </c>
      <c r="H1008" s="54">
        <f t="shared" si="79"/>
        <v>8950</v>
      </c>
      <c r="I1008" s="58">
        <v>2.2999999999999998</v>
      </c>
      <c r="J1008" s="54">
        <f t="shared" si="80"/>
        <v>8744.15</v>
      </c>
      <c r="K1008" s="57">
        <v>3700</v>
      </c>
      <c r="L1008" s="54">
        <f t="shared" si="81"/>
        <v>32353355</v>
      </c>
      <c r="P1008" s="139">
        <v>31183000</v>
      </c>
      <c r="Q1008" s="139">
        <f t="shared" si="82"/>
        <v>1170355</v>
      </c>
    </row>
    <row r="1009" spans="1:17" hidden="1" x14ac:dyDescent="0.3">
      <c r="A1009" s="54"/>
      <c r="B1009" s="54"/>
      <c r="C1009" s="54">
        <v>125000</v>
      </c>
      <c r="D1009" s="54" t="s">
        <v>1346</v>
      </c>
      <c r="E1009" s="55" t="s">
        <v>1883</v>
      </c>
      <c r="F1009" s="57">
        <v>25390</v>
      </c>
      <c r="G1009" s="57">
        <v>13890</v>
      </c>
      <c r="H1009" s="54">
        <f t="shared" si="79"/>
        <v>11500</v>
      </c>
      <c r="I1009" s="58">
        <v>2</v>
      </c>
      <c r="J1009" s="54">
        <f t="shared" si="80"/>
        <v>11270</v>
      </c>
      <c r="K1009" s="57">
        <v>3680</v>
      </c>
      <c r="L1009" s="54">
        <f t="shared" si="81"/>
        <v>41473600</v>
      </c>
      <c r="P1009" s="139">
        <v>40050000</v>
      </c>
      <c r="Q1009" s="139">
        <f t="shared" si="82"/>
        <v>1423600</v>
      </c>
    </row>
    <row r="1010" spans="1:17" hidden="1" x14ac:dyDescent="0.3">
      <c r="A1010" s="54"/>
      <c r="B1010" s="54"/>
      <c r="C1010" s="54">
        <v>250000000</v>
      </c>
      <c r="D1010" s="54" t="s">
        <v>123</v>
      </c>
      <c r="E1010" s="55"/>
      <c r="F1010" s="57"/>
      <c r="G1010" s="57"/>
      <c r="H1010" s="54">
        <f t="shared" si="79"/>
        <v>0</v>
      </c>
      <c r="I1010" s="58"/>
      <c r="J1010" s="54">
        <f t="shared" si="80"/>
        <v>0</v>
      </c>
      <c r="K1010" s="57"/>
      <c r="L1010" s="54">
        <f t="shared" si="81"/>
        <v>0</v>
      </c>
      <c r="Q1010" s="139">
        <f t="shared" si="82"/>
        <v>0</v>
      </c>
    </row>
    <row r="1011" spans="1:17" hidden="1" x14ac:dyDescent="0.3">
      <c r="A1011" s="54" t="s">
        <v>1895</v>
      </c>
      <c r="B1011" s="54"/>
      <c r="C1011" s="54">
        <f>25000*11850</f>
        <v>296250000</v>
      </c>
      <c r="D1011" s="54" t="s">
        <v>1898</v>
      </c>
      <c r="E1011" s="55"/>
      <c r="F1011" s="57"/>
      <c r="G1011" s="57"/>
      <c r="H1011" s="54"/>
      <c r="I1011" s="58"/>
      <c r="J1011" s="54"/>
      <c r="K1011" s="57"/>
      <c r="L1011" s="54"/>
      <c r="Q1011" s="139">
        <f t="shared" si="82"/>
        <v>0</v>
      </c>
    </row>
    <row r="1012" spans="1:17" hidden="1" x14ac:dyDescent="0.3">
      <c r="A1012" s="54"/>
      <c r="B1012" s="54">
        <v>7000000</v>
      </c>
      <c r="C1012" s="54"/>
      <c r="D1012" s="54" t="s">
        <v>967</v>
      </c>
      <c r="E1012" s="55"/>
      <c r="F1012" s="57"/>
      <c r="G1012" s="57"/>
      <c r="H1012" s="54"/>
      <c r="I1012" s="58"/>
      <c r="J1012" s="54"/>
      <c r="K1012" s="57"/>
      <c r="L1012" s="54"/>
      <c r="Q1012" s="139">
        <f t="shared" si="82"/>
        <v>0</v>
      </c>
    </row>
    <row r="1013" spans="1:17" hidden="1" x14ac:dyDescent="0.3">
      <c r="A1013" s="54"/>
      <c r="B1013" s="54">
        <v>4500000</v>
      </c>
      <c r="C1013" s="54"/>
      <c r="D1013" s="54" t="s">
        <v>1906</v>
      </c>
      <c r="E1013" s="55"/>
      <c r="F1013" s="57"/>
      <c r="G1013" s="57"/>
      <c r="H1013" s="54">
        <f t="shared" si="79"/>
        <v>0</v>
      </c>
      <c r="I1013" s="58"/>
      <c r="J1013" s="54">
        <f t="shared" si="80"/>
        <v>0</v>
      </c>
      <c r="K1013" s="57"/>
      <c r="L1013" s="54">
        <f t="shared" si="81"/>
        <v>0</v>
      </c>
      <c r="Q1013" s="139">
        <f t="shared" si="82"/>
        <v>0</v>
      </c>
    </row>
    <row r="1014" spans="1:17" hidden="1" x14ac:dyDescent="0.3">
      <c r="A1014" s="54"/>
      <c r="B1014" s="54"/>
      <c r="C1014" s="180">
        <v>5900000</v>
      </c>
      <c r="D1014" s="180" t="s">
        <v>779</v>
      </c>
      <c r="E1014" s="55" t="s">
        <v>1899</v>
      </c>
      <c r="F1014" s="57">
        <v>36620</v>
      </c>
      <c r="G1014" s="57">
        <v>12680</v>
      </c>
      <c r="H1014" s="54">
        <f t="shared" ref="H1014:H1015" si="83">+F1014-G1014</f>
        <v>23940</v>
      </c>
      <c r="I1014" s="58"/>
      <c r="J1014" s="54">
        <f t="shared" ref="J1014:J1015" si="84">+H1014-H1014*I1014/100</f>
        <v>23940</v>
      </c>
      <c r="K1014" s="57">
        <v>3750</v>
      </c>
      <c r="L1014" s="54">
        <f t="shared" ref="L1014:L1015" si="85">+J1014*K1014</f>
        <v>89775000</v>
      </c>
      <c r="P1014" s="139">
        <f>89775000-1200000</f>
        <v>88575000</v>
      </c>
      <c r="Q1014" s="139">
        <f t="shared" si="82"/>
        <v>1200000</v>
      </c>
    </row>
    <row r="1015" spans="1:17" hidden="1" x14ac:dyDescent="0.3">
      <c r="A1015" s="54"/>
      <c r="B1015" s="54"/>
      <c r="C1015" s="180">
        <v>1800000</v>
      </c>
      <c r="D1015" s="180" t="s">
        <v>1902</v>
      </c>
      <c r="E1015" s="55" t="s">
        <v>1900</v>
      </c>
      <c r="F1015" s="57">
        <v>18960</v>
      </c>
      <c r="G1015" s="57">
        <v>9540</v>
      </c>
      <c r="H1015" s="54">
        <f t="shared" si="83"/>
        <v>9420</v>
      </c>
      <c r="I1015" s="58">
        <v>2</v>
      </c>
      <c r="J1015" s="54">
        <f t="shared" si="84"/>
        <v>9231.6</v>
      </c>
      <c r="K1015" s="57">
        <v>3650</v>
      </c>
      <c r="L1015" s="54">
        <f t="shared" si="85"/>
        <v>33695340</v>
      </c>
      <c r="P1015" s="139">
        <v>32414000</v>
      </c>
      <c r="Q1015" s="139">
        <f t="shared" si="82"/>
        <v>1281340</v>
      </c>
    </row>
    <row r="1016" spans="1:17" hidden="1" x14ac:dyDescent="0.3">
      <c r="A1016" s="54"/>
      <c r="B1016" s="54"/>
      <c r="C1016" s="180">
        <v>1835000</v>
      </c>
      <c r="D1016" s="180" t="s">
        <v>1903</v>
      </c>
      <c r="E1016" s="55"/>
      <c r="F1016" s="57"/>
      <c r="G1016" s="57"/>
      <c r="H1016" s="54">
        <f t="shared" si="79"/>
        <v>0</v>
      </c>
      <c r="I1016" s="58"/>
      <c r="J1016" s="54">
        <f t="shared" si="80"/>
        <v>0</v>
      </c>
      <c r="K1016" s="57"/>
      <c r="L1016" s="54">
        <f t="shared" si="81"/>
        <v>0</v>
      </c>
      <c r="Q1016" s="139">
        <f t="shared" si="82"/>
        <v>0</v>
      </c>
    </row>
    <row r="1017" spans="1:17" hidden="1" x14ac:dyDescent="0.3">
      <c r="A1017" s="54"/>
      <c r="B1017" s="54"/>
      <c r="C1017" s="180">
        <v>4278000</v>
      </c>
      <c r="D1017" s="180" t="s">
        <v>449</v>
      </c>
      <c r="E1017" s="55"/>
      <c r="F1017" s="57"/>
      <c r="G1017" s="57"/>
      <c r="H1017" s="54">
        <f t="shared" si="79"/>
        <v>0</v>
      </c>
      <c r="I1017" s="58"/>
      <c r="J1017" s="54">
        <f t="shared" si="80"/>
        <v>0</v>
      </c>
      <c r="K1017" s="57"/>
      <c r="L1017" s="54">
        <f t="shared" si="81"/>
        <v>0</v>
      </c>
      <c r="Q1017" s="139">
        <f t="shared" si="82"/>
        <v>0</v>
      </c>
    </row>
    <row r="1018" spans="1:17" hidden="1" x14ac:dyDescent="0.3">
      <c r="A1018" s="54"/>
      <c r="B1018" s="54"/>
      <c r="C1018" s="180">
        <v>27349333</v>
      </c>
      <c r="D1018" s="180" t="s">
        <v>750</v>
      </c>
      <c r="E1018" s="55"/>
      <c r="F1018" s="57"/>
      <c r="G1018" s="57"/>
      <c r="H1018" s="54">
        <f t="shared" si="79"/>
        <v>0</v>
      </c>
      <c r="I1018" s="58"/>
      <c r="J1018" s="54">
        <f t="shared" si="80"/>
        <v>0</v>
      </c>
      <c r="K1018" s="57"/>
      <c r="L1018" s="54">
        <f t="shared" si="81"/>
        <v>0</v>
      </c>
      <c r="Q1018" s="139">
        <f t="shared" si="82"/>
        <v>0</v>
      </c>
    </row>
    <row r="1019" spans="1:17" hidden="1" x14ac:dyDescent="0.3">
      <c r="A1019" s="54"/>
      <c r="B1019" s="54"/>
      <c r="C1019" s="54"/>
      <c r="D1019" s="54"/>
      <c r="E1019" s="55"/>
      <c r="F1019" s="57"/>
      <c r="G1019" s="57"/>
      <c r="H1019" s="54">
        <f t="shared" si="79"/>
        <v>0</v>
      </c>
      <c r="I1019" s="58"/>
      <c r="J1019" s="54">
        <f t="shared" si="80"/>
        <v>0</v>
      </c>
      <c r="K1019" s="57"/>
      <c r="L1019" s="54">
        <f t="shared" si="81"/>
        <v>0</v>
      </c>
      <c r="Q1019" s="139">
        <f t="shared" si="82"/>
        <v>0</v>
      </c>
    </row>
    <row r="1020" spans="1:17" hidden="1" x14ac:dyDescent="0.3">
      <c r="A1020" s="54"/>
      <c r="B1020" s="54"/>
      <c r="C1020" s="54"/>
      <c r="D1020" s="54"/>
      <c r="E1020" s="55"/>
      <c r="F1020" s="57"/>
      <c r="G1020" s="57"/>
      <c r="H1020" s="54">
        <f t="shared" si="79"/>
        <v>0</v>
      </c>
      <c r="I1020" s="58"/>
      <c r="J1020" s="54">
        <f t="shared" si="80"/>
        <v>0</v>
      </c>
      <c r="K1020" s="57"/>
      <c r="L1020" s="54">
        <f t="shared" si="81"/>
        <v>0</v>
      </c>
      <c r="Q1020" s="139">
        <f t="shared" si="82"/>
        <v>0</v>
      </c>
    </row>
    <row r="1021" spans="1:17" hidden="1" x14ac:dyDescent="0.3">
      <c r="A1021" s="54"/>
      <c r="B1021" s="54"/>
      <c r="C1021" s="54"/>
      <c r="D1021" s="54"/>
      <c r="E1021" s="55"/>
      <c r="F1021" s="57"/>
      <c r="G1021" s="57"/>
      <c r="H1021" s="54">
        <f t="shared" si="79"/>
        <v>0</v>
      </c>
      <c r="I1021" s="58"/>
      <c r="J1021" s="54">
        <f t="shared" si="80"/>
        <v>0</v>
      </c>
      <c r="K1021" s="57"/>
      <c r="L1021" s="54">
        <f t="shared" si="81"/>
        <v>0</v>
      </c>
      <c r="Q1021" s="139">
        <f t="shared" si="82"/>
        <v>0</v>
      </c>
    </row>
    <row r="1022" spans="1:17" hidden="1" x14ac:dyDescent="0.3">
      <c r="A1022" s="54"/>
      <c r="B1022" s="54"/>
      <c r="C1022" s="54"/>
      <c r="D1022" s="54"/>
      <c r="E1022" s="55"/>
      <c r="F1022" s="57"/>
      <c r="G1022" s="57"/>
      <c r="H1022" s="54">
        <f t="shared" si="79"/>
        <v>0</v>
      </c>
      <c r="I1022" s="58"/>
      <c r="J1022" s="54">
        <f t="shared" si="80"/>
        <v>0</v>
      </c>
      <c r="K1022" s="57"/>
      <c r="L1022" s="54">
        <f t="shared" si="81"/>
        <v>0</v>
      </c>
      <c r="Q1022" s="139">
        <f t="shared" si="82"/>
        <v>0</v>
      </c>
    </row>
    <row r="1023" spans="1:17" hidden="1" x14ac:dyDescent="0.3">
      <c r="A1023" s="54"/>
      <c r="B1023" s="54"/>
      <c r="C1023" s="54"/>
      <c r="D1023" s="54"/>
      <c r="E1023" s="55"/>
      <c r="F1023" s="57"/>
      <c r="G1023" s="57"/>
      <c r="H1023" s="54">
        <f t="shared" si="79"/>
        <v>0</v>
      </c>
      <c r="I1023" s="58"/>
      <c r="J1023" s="54">
        <f t="shared" si="80"/>
        <v>0</v>
      </c>
      <c r="K1023" s="57"/>
      <c r="L1023" s="54">
        <f t="shared" si="81"/>
        <v>0</v>
      </c>
      <c r="Q1023" s="139">
        <f t="shared" si="82"/>
        <v>0</v>
      </c>
    </row>
    <row r="1024" spans="1:17" hidden="1" x14ac:dyDescent="0.3">
      <c r="A1024" s="54"/>
      <c r="B1024" s="54"/>
      <c r="C1024" s="54"/>
      <c r="D1024" s="54"/>
      <c r="E1024" s="55"/>
      <c r="F1024" s="57"/>
      <c r="G1024" s="57"/>
      <c r="H1024" s="54">
        <f t="shared" si="79"/>
        <v>0</v>
      </c>
      <c r="I1024" s="58"/>
      <c r="J1024" s="54">
        <f t="shared" si="80"/>
        <v>0</v>
      </c>
      <c r="K1024" s="57"/>
      <c r="L1024" s="54">
        <f t="shared" si="81"/>
        <v>0</v>
      </c>
      <c r="Q1024" s="139">
        <f t="shared" si="82"/>
        <v>0</v>
      </c>
    </row>
    <row r="1025" spans="1:17" hidden="1" x14ac:dyDescent="0.3">
      <c r="A1025" s="54" t="s">
        <v>1913</v>
      </c>
      <c r="B1025" s="54"/>
      <c r="C1025" s="54"/>
      <c r="D1025" s="54"/>
      <c r="E1025" s="55" t="s">
        <v>1914</v>
      </c>
      <c r="F1025" s="57">
        <v>22370</v>
      </c>
      <c r="G1025" s="57">
        <v>8930</v>
      </c>
      <c r="H1025" s="54">
        <f t="shared" si="79"/>
        <v>13440</v>
      </c>
      <c r="I1025" s="58">
        <v>1.6</v>
      </c>
      <c r="J1025" s="54">
        <f t="shared" si="80"/>
        <v>13224.96</v>
      </c>
      <c r="K1025" s="57">
        <v>3830</v>
      </c>
      <c r="L1025" s="54">
        <f t="shared" si="81"/>
        <v>50651596.799999997</v>
      </c>
      <c r="P1025" s="139">
        <v>49813000</v>
      </c>
      <c r="Q1025" s="139">
        <f t="shared" si="82"/>
        <v>838596.79999999702</v>
      </c>
    </row>
    <row r="1026" spans="1:17" hidden="1" x14ac:dyDescent="0.3">
      <c r="A1026" s="54"/>
      <c r="B1026" s="54"/>
      <c r="C1026" s="54">
        <f>2650*250</f>
        <v>662500</v>
      </c>
      <c r="D1026" s="54"/>
      <c r="E1026" s="55" t="s">
        <v>1915</v>
      </c>
      <c r="F1026" s="57">
        <v>20260</v>
      </c>
      <c r="G1026" s="57">
        <v>12940</v>
      </c>
      <c r="H1026" s="54">
        <f t="shared" si="79"/>
        <v>7320</v>
      </c>
      <c r="I1026" s="58">
        <v>3</v>
      </c>
      <c r="J1026" s="54">
        <f t="shared" si="80"/>
        <v>7100.4</v>
      </c>
      <c r="K1026" s="57">
        <v>3380</v>
      </c>
      <c r="L1026" s="54">
        <f t="shared" si="81"/>
        <v>23999352</v>
      </c>
      <c r="P1026" s="139">
        <v>23100000</v>
      </c>
      <c r="Q1026" s="139">
        <f t="shared" si="82"/>
        <v>899352</v>
      </c>
    </row>
    <row r="1027" spans="1:17" hidden="1" x14ac:dyDescent="0.3">
      <c r="A1027" s="54"/>
      <c r="B1027" s="54"/>
      <c r="C1027" s="54"/>
      <c r="D1027" s="54"/>
      <c r="E1027" s="55" t="s">
        <v>1832</v>
      </c>
      <c r="F1027" s="57">
        <v>24090</v>
      </c>
      <c r="G1027" s="57">
        <v>12580</v>
      </c>
      <c r="H1027" s="54">
        <f t="shared" si="79"/>
        <v>11510</v>
      </c>
      <c r="I1027" s="58">
        <v>2</v>
      </c>
      <c r="J1027" s="54">
        <f t="shared" si="80"/>
        <v>11279.8</v>
      </c>
      <c r="K1027" s="57">
        <v>3650</v>
      </c>
      <c r="L1027" s="54">
        <f t="shared" si="81"/>
        <v>41171270</v>
      </c>
      <c r="P1027" s="139">
        <v>40192000</v>
      </c>
      <c r="Q1027" s="139">
        <f t="shared" si="82"/>
        <v>979270</v>
      </c>
    </row>
    <row r="1028" spans="1:17" hidden="1" x14ac:dyDescent="0.3">
      <c r="A1028" s="54"/>
      <c r="B1028" s="54"/>
      <c r="C1028" s="54"/>
      <c r="D1028" s="54"/>
      <c r="E1028" s="55" t="s">
        <v>1762</v>
      </c>
      <c r="F1028" s="57">
        <v>24950</v>
      </c>
      <c r="G1028" s="57">
        <v>13400</v>
      </c>
      <c r="H1028" s="54">
        <f t="shared" si="79"/>
        <v>11550</v>
      </c>
      <c r="I1028" s="58">
        <v>2</v>
      </c>
      <c r="J1028" s="54">
        <f t="shared" si="80"/>
        <v>11319</v>
      </c>
      <c r="K1028" s="57">
        <v>3820</v>
      </c>
      <c r="L1028" s="54">
        <f t="shared" si="81"/>
        <v>43238580</v>
      </c>
      <c r="P1028" s="139">
        <v>41635000</v>
      </c>
      <c r="Q1028" s="139">
        <f t="shared" si="82"/>
        <v>1603580</v>
      </c>
    </row>
    <row r="1029" spans="1:17" hidden="1" x14ac:dyDescent="0.3">
      <c r="A1029" s="54"/>
      <c r="B1029" s="54"/>
      <c r="C1029" s="54"/>
      <c r="D1029" s="54"/>
      <c r="E1029" s="55"/>
      <c r="F1029" s="57"/>
      <c r="G1029" s="57"/>
      <c r="H1029" s="54">
        <f t="shared" si="79"/>
        <v>0</v>
      </c>
      <c r="I1029" s="58"/>
      <c r="J1029" s="54">
        <f t="shared" si="80"/>
        <v>0</v>
      </c>
      <c r="K1029" s="57"/>
      <c r="L1029" s="54">
        <f t="shared" si="81"/>
        <v>0</v>
      </c>
      <c r="Q1029" s="139">
        <f t="shared" si="82"/>
        <v>0</v>
      </c>
    </row>
    <row r="1030" spans="1:17" hidden="1" x14ac:dyDescent="0.3">
      <c r="A1030" s="54"/>
      <c r="B1030" s="54"/>
      <c r="C1030" s="54"/>
      <c r="D1030" s="54"/>
      <c r="E1030" s="55"/>
      <c r="F1030" s="57"/>
      <c r="G1030" s="57"/>
      <c r="H1030" s="54">
        <f t="shared" si="79"/>
        <v>0</v>
      </c>
      <c r="I1030" s="58"/>
      <c r="J1030" s="54">
        <f t="shared" si="80"/>
        <v>0</v>
      </c>
      <c r="K1030" s="57"/>
      <c r="L1030" s="54">
        <f t="shared" si="81"/>
        <v>0</v>
      </c>
      <c r="Q1030" s="139">
        <f t="shared" si="82"/>
        <v>0</v>
      </c>
    </row>
    <row r="1031" spans="1:17" hidden="1" x14ac:dyDescent="0.3">
      <c r="A1031" s="54"/>
      <c r="B1031" s="54">
        <v>1500000</v>
      </c>
      <c r="C1031" s="54"/>
      <c r="D1031" s="54" t="s">
        <v>1488</v>
      </c>
      <c r="E1031" s="55" t="s">
        <v>1920</v>
      </c>
      <c r="F1031" s="57">
        <v>24510</v>
      </c>
      <c r="G1031" s="57">
        <v>9310</v>
      </c>
      <c r="H1031" s="54">
        <f t="shared" si="79"/>
        <v>15200</v>
      </c>
      <c r="I1031" s="58">
        <v>1</v>
      </c>
      <c r="J1031" s="54">
        <f t="shared" si="80"/>
        <v>15048</v>
      </c>
      <c r="K1031" s="57">
        <v>3760</v>
      </c>
      <c r="L1031" s="54">
        <f t="shared" si="81"/>
        <v>56580480</v>
      </c>
      <c r="P1031" s="139">
        <v>55613000</v>
      </c>
      <c r="Q1031" s="139">
        <f t="shared" si="82"/>
        <v>967480</v>
      </c>
    </row>
    <row r="1032" spans="1:17" x14ac:dyDescent="0.3">
      <c r="A1032" s="54" t="s">
        <v>1918</v>
      </c>
      <c r="B1032" s="54"/>
      <c r="C1032" s="54">
        <v>118500000</v>
      </c>
      <c r="D1032" s="54" t="s">
        <v>610</v>
      </c>
      <c r="E1032" s="55" t="s">
        <v>1921</v>
      </c>
      <c r="F1032" s="57">
        <v>27450</v>
      </c>
      <c r="G1032" s="57">
        <v>12790</v>
      </c>
      <c r="H1032" s="54">
        <f t="shared" si="79"/>
        <v>14660</v>
      </c>
      <c r="I1032" s="58">
        <v>1</v>
      </c>
      <c r="J1032" s="54">
        <f t="shared" si="80"/>
        <v>14513.4</v>
      </c>
      <c r="K1032" s="57">
        <v>3750</v>
      </c>
      <c r="L1032" s="54">
        <f t="shared" si="81"/>
        <v>54425250</v>
      </c>
      <c r="P1032" s="139">
        <v>52248000</v>
      </c>
      <c r="Q1032" s="139">
        <f t="shared" si="82"/>
        <v>2177250</v>
      </c>
    </row>
    <row r="1033" spans="1:17" x14ac:dyDescent="0.3">
      <c r="A1033" s="54"/>
      <c r="B1033" s="54">
        <f>6380*250</f>
        <v>1595000</v>
      </c>
      <c r="C1033" s="54"/>
      <c r="D1033" s="54" t="s">
        <v>1925</v>
      </c>
      <c r="E1033" s="55" t="s">
        <v>1922</v>
      </c>
      <c r="F1033" s="57">
        <v>15540</v>
      </c>
      <c r="G1033" s="57">
        <v>9160</v>
      </c>
      <c r="H1033" s="54">
        <f t="shared" si="79"/>
        <v>6380</v>
      </c>
      <c r="I1033" s="58">
        <v>2</v>
      </c>
      <c r="J1033" s="54">
        <f t="shared" si="80"/>
        <v>6252.4</v>
      </c>
      <c r="K1033" s="57">
        <v>3650</v>
      </c>
      <c r="L1033" s="54">
        <f t="shared" si="81"/>
        <v>22821260</v>
      </c>
      <c r="P1033" s="139">
        <v>21468000</v>
      </c>
      <c r="Q1033" s="139">
        <f t="shared" si="82"/>
        <v>1353260</v>
      </c>
    </row>
    <row r="1034" spans="1:17" x14ac:dyDescent="0.3">
      <c r="A1034" s="54"/>
      <c r="B1034" s="54"/>
      <c r="C1034" s="54"/>
      <c r="D1034" s="54"/>
      <c r="E1034" s="55"/>
      <c r="F1034" s="57"/>
      <c r="G1034" s="57"/>
      <c r="H1034" s="54">
        <f t="shared" si="79"/>
        <v>0</v>
      </c>
      <c r="I1034" s="58"/>
      <c r="J1034" s="54">
        <f t="shared" si="80"/>
        <v>0</v>
      </c>
      <c r="K1034" s="57"/>
      <c r="L1034" s="54">
        <f t="shared" si="81"/>
        <v>0</v>
      </c>
      <c r="Q1034" s="139">
        <f t="shared" si="82"/>
        <v>0</v>
      </c>
    </row>
    <row r="1035" spans="1:17" x14ac:dyDescent="0.3">
      <c r="A1035" s="54"/>
      <c r="B1035" s="54"/>
      <c r="C1035" s="54"/>
      <c r="D1035" s="54"/>
      <c r="E1035" s="55"/>
      <c r="F1035" s="57"/>
      <c r="G1035" s="57"/>
      <c r="H1035" s="54">
        <f t="shared" si="79"/>
        <v>0</v>
      </c>
      <c r="I1035" s="58"/>
      <c r="J1035" s="54">
        <f t="shared" si="80"/>
        <v>0</v>
      </c>
      <c r="K1035" s="57"/>
      <c r="L1035" s="54">
        <f t="shared" si="81"/>
        <v>0</v>
      </c>
      <c r="Q1035" s="139">
        <f t="shared" si="82"/>
        <v>0</v>
      </c>
    </row>
    <row r="1036" spans="1:17" x14ac:dyDescent="0.3">
      <c r="A1036" s="54" t="s">
        <v>1927</v>
      </c>
      <c r="B1036" s="54"/>
      <c r="C1036" s="54"/>
      <c r="D1036" s="54"/>
      <c r="E1036" s="55" t="s">
        <v>1928</v>
      </c>
      <c r="F1036" s="57">
        <v>26820</v>
      </c>
      <c r="G1036" s="57">
        <v>12280</v>
      </c>
      <c r="H1036" s="54">
        <f t="shared" si="79"/>
        <v>14540</v>
      </c>
      <c r="I1036" s="58">
        <v>2</v>
      </c>
      <c r="J1036" s="54">
        <f t="shared" si="80"/>
        <v>14249.2</v>
      </c>
      <c r="K1036" s="57">
        <v>3700</v>
      </c>
      <c r="L1036" s="54">
        <f t="shared" si="81"/>
        <v>52722040</v>
      </c>
      <c r="P1036" s="139">
        <v>50635000</v>
      </c>
      <c r="Q1036" s="139">
        <f t="shared" si="82"/>
        <v>2087040</v>
      </c>
    </row>
    <row r="1037" spans="1:17" x14ac:dyDescent="0.3">
      <c r="A1037" s="54"/>
      <c r="B1037" s="54"/>
      <c r="C1037" s="54"/>
      <c r="D1037" s="54"/>
      <c r="E1037" s="55" t="s">
        <v>1399</v>
      </c>
      <c r="F1037" s="57">
        <v>26040</v>
      </c>
      <c r="G1037" s="57">
        <v>12900</v>
      </c>
      <c r="H1037" s="54">
        <f t="shared" si="79"/>
        <v>13140</v>
      </c>
      <c r="I1037" s="58">
        <v>2</v>
      </c>
      <c r="J1037" s="54">
        <f t="shared" si="80"/>
        <v>12877.2</v>
      </c>
      <c r="K1037" s="57">
        <v>3380</v>
      </c>
      <c r="L1037" s="54">
        <f t="shared" si="81"/>
        <v>43524936</v>
      </c>
      <c r="P1037" s="139">
        <v>42061000</v>
      </c>
      <c r="Q1037" s="139">
        <f t="shared" si="82"/>
        <v>1463936</v>
      </c>
    </row>
    <row r="1038" spans="1:17" x14ac:dyDescent="0.3">
      <c r="A1038" s="54"/>
      <c r="B1038" s="54"/>
      <c r="C1038" s="54"/>
      <c r="D1038" s="54"/>
      <c r="E1038" s="55" t="s">
        <v>1929</v>
      </c>
      <c r="F1038" s="57">
        <v>17200</v>
      </c>
      <c r="G1038" s="57">
        <v>9030</v>
      </c>
      <c r="H1038" s="54">
        <f t="shared" si="79"/>
        <v>8170</v>
      </c>
      <c r="I1038" s="58">
        <v>1</v>
      </c>
      <c r="J1038" s="54">
        <f t="shared" si="80"/>
        <v>8088.3</v>
      </c>
      <c r="K1038" s="57">
        <v>3650</v>
      </c>
      <c r="L1038" s="54">
        <f t="shared" si="81"/>
        <v>29522295</v>
      </c>
      <c r="P1038" s="139">
        <v>28366000</v>
      </c>
      <c r="Q1038" s="139">
        <f t="shared" si="82"/>
        <v>1156295</v>
      </c>
    </row>
    <row r="1039" spans="1:17" x14ac:dyDescent="0.3">
      <c r="A1039" s="54"/>
      <c r="B1039" s="54"/>
      <c r="C1039" s="54"/>
      <c r="D1039" s="54"/>
      <c r="E1039" s="55" t="s">
        <v>1930</v>
      </c>
      <c r="F1039" s="57">
        <v>24580</v>
      </c>
      <c r="G1039" s="57">
        <v>9180</v>
      </c>
      <c r="H1039" s="54">
        <f t="shared" si="79"/>
        <v>15400</v>
      </c>
      <c r="I1039" s="58">
        <v>1</v>
      </c>
      <c r="J1039" s="54">
        <f t="shared" si="80"/>
        <v>15246</v>
      </c>
      <c r="K1039" s="57">
        <v>3680</v>
      </c>
      <c r="L1039" s="54">
        <f t="shared" si="81"/>
        <v>56105280</v>
      </c>
      <c r="P1039" s="139">
        <v>54670000</v>
      </c>
      <c r="Q1039" s="139">
        <f t="shared" si="82"/>
        <v>1435280</v>
      </c>
    </row>
    <row r="1040" spans="1:17" x14ac:dyDescent="0.3">
      <c r="A1040" s="54"/>
      <c r="B1040" s="54"/>
      <c r="C1040" s="54"/>
      <c r="D1040" s="54"/>
      <c r="E1040" s="55" t="s">
        <v>1644</v>
      </c>
      <c r="F1040" s="57">
        <v>28730</v>
      </c>
      <c r="G1040" s="57">
        <v>14730</v>
      </c>
      <c r="H1040" s="54">
        <f t="shared" si="79"/>
        <v>14000</v>
      </c>
      <c r="I1040" s="58">
        <v>2</v>
      </c>
      <c r="J1040" s="54">
        <f t="shared" si="80"/>
        <v>13720</v>
      </c>
      <c r="K1040" s="57">
        <v>3680</v>
      </c>
      <c r="L1040" s="54">
        <f t="shared" si="81"/>
        <v>50489600</v>
      </c>
      <c r="P1040" s="139">
        <v>48888000</v>
      </c>
      <c r="Q1040" s="139">
        <f t="shared" si="82"/>
        <v>1601600</v>
      </c>
    </row>
    <row r="1041" spans="1:17" x14ac:dyDescent="0.3">
      <c r="A1041" s="54"/>
      <c r="B1041" s="54"/>
      <c r="C1041" s="54"/>
      <c r="D1041" s="54"/>
      <c r="E1041" s="55" t="s">
        <v>1931</v>
      </c>
      <c r="F1041" s="57">
        <v>30460</v>
      </c>
      <c r="G1041" s="57">
        <v>14660</v>
      </c>
      <c r="H1041" s="54">
        <f t="shared" si="79"/>
        <v>15800</v>
      </c>
      <c r="I1041" s="58">
        <v>1</v>
      </c>
      <c r="J1041" s="54">
        <f t="shared" si="80"/>
        <v>15642</v>
      </c>
      <c r="K1041" s="57">
        <v>3700</v>
      </c>
      <c r="L1041" s="54">
        <f t="shared" si="81"/>
        <v>57875400</v>
      </c>
      <c r="P1041" s="139">
        <v>54775000</v>
      </c>
      <c r="Q1041" s="139">
        <f t="shared" si="82"/>
        <v>3100400</v>
      </c>
    </row>
    <row r="1042" spans="1:17" x14ac:dyDescent="0.3">
      <c r="A1042" s="54"/>
      <c r="B1042" s="54"/>
      <c r="C1042" s="54"/>
      <c r="D1042" s="54"/>
      <c r="E1042" s="55" t="s">
        <v>1336</v>
      </c>
      <c r="F1042" s="57">
        <v>17450</v>
      </c>
      <c r="G1042" s="57">
        <v>8370</v>
      </c>
      <c r="H1042" s="54">
        <f t="shared" si="79"/>
        <v>9080</v>
      </c>
      <c r="I1042" s="58">
        <v>2</v>
      </c>
      <c r="J1042" s="54">
        <f t="shared" si="80"/>
        <v>8898.4</v>
      </c>
      <c r="K1042" s="57">
        <v>3680</v>
      </c>
      <c r="L1042" s="54">
        <f t="shared" si="81"/>
        <v>32746112</v>
      </c>
      <c r="P1042" s="139">
        <v>31707000</v>
      </c>
      <c r="Q1042" s="139">
        <f t="shared" si="82"/>
        <v>1039112</v>
      </c>
    </row>
    <row r="1043" spans="1:17" x14ac:dyDescent="0.3">
      <c r="A1043" s="54"/>
      <c r="B1043" s="54"/>
      <c r="C1043" s="54"/>
      <c r="D1043" s="180" t="s">
        <v>831</v>
      </c>
      <c r="E1043" s="55" t="s">
        <v>1934</v>
      </c>
      <c r="F1043" s="57">
        <v>22820</v>
      </c>
      <c r="G1043" s="57">
        <v>10780</v>
      </c>
      <c r="H1043" s="54">
        <f t="shared" si="79"/>
        <v>12040</v>
      </c>
      <c r="I1043" s="58">
        <v>1</v>
      </c>
      <c r="J1043" s="54">
        <f t="shared" si="80"/>
        <v>11919.6</v>
      </c>
      <c r="K1043" s="57">
        <v>3750</v>
      </c>
      <c r="L1043" s="54">
        <f t="shared" si="81"/>
        <v>44698500</v>
      </c>
      <c r="P1043" s="139">
        <v>42537000</v>
      </c>
      <c r="Q1043" s="139">
        <f t="shared" si="82"/>
        <v>2161500</v>
      </c>
    </row>
    <row r="1044" spans="1:17" x14ac:dyDescent="0.3">
      <c r="A1044" s="54" t="s">
        <v>1939</v>
      </c>
      <c r="B1044" s="54"/>
      <c r="C1044" s="54"/>
      <c r="D1044" s="54"/>
      <c r="E1044" s="55" t="s">
        <v>1940</v>
      </c>
      <c r="F1044" s="57">
        <v>26610</v>
      </c>
      <c r="G1044" s="57">
        <v>13890</v>
      </c>
      <c r="H1044" s="54">
        <f t="shared" si="79"/>
        <v>12720</v>
      </c>
      <c r="I1044" s="58">
        <v>1</v>
      </c>
      <c r="J1044" s="54">
        <f t="shared" si="80"/>
        <v>12592.8</v>
      </c>
      <c r="K1044" s="57">
        <v>3700</v>
      </c>
      <c r="L1044" s="54">
        <f t="shared" si="81"/>
        <v>46593360</v>
      </c>
      <c r="P1044" s="139">
        <v>44972950</v>
      </c>
      <c r="Q1044" s="139">
        <f t="shared" si="82"/>
        <v>1620410</v>
      </c>
    </row>
    <row r="1045" spans="1:17" x14ac:dyDescent="0.3">
      <c r="A1045" s="54"/>
      <c r="B1045" s="54"/>
      <c r="C1045" s="54"/>
      <c r="D1045" s="54"/>
      <c r="E1045" s="55"/>
      <c r="F1045" s="57"/>
      <c r="G1045" s="57"/>
      <c r="H1045" s="54">
        <f t="shared" si="79"/>
        <v>0</v>
      </c>
      <c r="I1045" s="58"/>
      <c r="J1045" s="54">
        <f t="shared" si="80"/>
        <v>0</v>
      </c>
      <c r="K1045" s="57"/>
      <c r="L1045" s="54">
        <f t="shared" si="81"/>
        <v>0</v>
      </c>
      <c r="Q1045" s="139">
        <f t="shared" si="82"/>
        <v>0</v>
      </c>
    </row>
    <row r="1046" spans="1:17" x14ac:dyDescent="0.3">
      <c r="A1046" s="54"/>
      <c r="B1046" s="54"/>
      <c r="C1046" s="54"/>
      <c r="D1046" s="54"/>
      <c r="E1046" s="55"/>
      <c r="F1046" s="57"/>
      <c r="G1046" s="57"/>
      <c r="H1046" s="54">
        <f t="shared" si="79"/>
        <v>0</v>
      </c>
      <c r="I1046" s="58"/>
      <c r="J1046" s="54">
        <f t="shared" si="80"/>
        <v>0</v>
      </c>
      <c r="K1046" s="57"/>
      <c r="L1046" s="54">
        <f t="shared" si="81"/>
        <v>0</v>
      </c>
      <c r="Q1046" s="139">
        <f t="shared" si="82"/>
        <v>0</v>
      </c>
    </row>
    <row r="1047" spans="1:17" x14ac:dyDescent="0.3">
      <c r="A1047" s="54"/>
      <c r="B1047" s="54"/>
      <c r="C1047" s="54"/>
      <c r="D1047" s="54"/>
      <c r="E1047" s="55"/>
      <c r="F1047" s="57"/>
      <c r="G1047" s="57"/>
      <c r="H1047" s="54">
        <f t="shared" si="79"/>
        <v>0</v>
      </c>
      <c r="I1047" s="58"/>
      <c r="J1047" s="54">
        <f t="shared" si="80"/>
        <v>0</v>
      </c>
      <c r="K1047" s="57"/>
      <c r="L1047" s="54">
        <f t="shared" si="81"/>
        <v>0</v>
      </c>
      <c r="Q1047" s="139">
        <f t="shared" si="82"/>
        <v>0</v>
      </c>
    </row>
    <row r="1048" spans="1:17" x14ac:dyDescent="0.3">
      <c r="A1048" s="54"/>
      <c r="B1048" s="54"/>
      <c r="C1048" s="54"/>
      <c r="D1048" s="54"/>
      <c r="E1048" s="55"/>
      <c r="F1048" s="57"/>
      <c r="G1048" s="57"/>
      <c r="H1048" s="54">
        <f t="shared" si="79"/>
        <v>0</v>
      </c>
      <c r="I1048" s="58"/>
      <c r="J1048" s="54">
        <f t="shared" si="80"/>
        <v>0</v>
      </c>
      <c r="K1048" s="57"/>
      <c r="L1048" s="54">
        <f t="shared" si="81"/>
        <v>0</v>
      </c>
      <c r="Q1048" s="139">
        <f t="shared" si="82"/>
        <v>0</v>
      </c>
    </row>
    <row r="1049" spans="1:17" x14ac:dyDescent="0.3">
      <c r="A1049" s="54"/>
      <c r="B1049" s="54"/>
      <c r="C1049" s="54"/>
      <c r="D1049" s="54"/>
      <c r="E1049" s="55"/>
      <c r="F1049" s="57"/>
      <c r="G1049" s="57"/>
      <c r="H1049" s="54">
        <f t="shared" si="79"/>
        <v>0</v>
      </c>
      <c r="I1049" s="58"/>
      <c r="J1049" s="54">
        <f t="shared" si="80"/>
        <v>0</v>
      </c>
      <c r="K1049" s="57"/>
      <c r="L1049" s="54">
        <f t="shared" si="81"/>
        <v>0</v>
      </c>
      <c r="Q1049" s="139">
        <f t="shared" si="82"/>
        <v>0</v>
      </c>
    </row>
    <row r="1050" spans="1:17" x14ac:dyDescent="0.3">
      <c r="A1050" s="54"/>
      <c r="B1050" s="54"/>
      <c r="C1050" s="54"/>
      <c r="D1050" s="54"/>
      <c r="E1050" s="55"/>
      <c r="F1050" s="57"/>
      <c r="G1050" s="57"/>
      <c r="H1050" s="54">
        <f t="shared" si="79"/>
        <v>0</v>
      </c>
      <c r="I1050" s="58"/>
      <c r="J1050" s="54">
        <f t="shared" si="80"/>
        <v>0</v>
      </c>
      <c r="K1050" s="57"/>
      <c r="L1050" s="54">
        <f t="shared" si="81"/>
        <v>0</v>
      </c>
      <c r="Q1050" s="139">
        <f t="shared" si="82"/>
        <v>0</v>
      </c>
    </row>
    <row r="1051" spans="1:17" x14ac:dyDescent="0.3">
      <c r="A1051" s="54"/>
      <c r="B1051" s="54"/>
      <c r="C1051" s="54"/>
      <c r="D1051" s="54"/>
      <c r="E1051" s="55"/>
      <c r="F1051" s="57"/>
      <c r="G1051" s="57"/>
      <c r="H1051" s="54">
        <f t="shared" ref="H1051:H1114" si="86">+F1051-G1051</f>
        <v>0</v>
      </c>
      <c r="I1051" s="58"/>
      <c r="J1051" s="54">
        <f t="shared" ref="J1051:J1114" si="87">+H1051-H1051*I1051/100</f>
        <v>0</v>
      </c>
      <c r="K1051" s="57"/>
      <c r="L1051" s="54">
        <f t="shared" ref="L1051:L1114" si="88">+J1051*K1051</f>
        <v>0</v>
      </c>
      <c r="Q1051" s="139">
        <f t="shared" si="82"/>
        <v>0</v>
      </c>
    </row>
    <row r="1052" spans="1:17" x14ac:dyDescent="0.3">
      <c r="A1052" s="54"/>
      <c r="B1052" s="54"/>
      <c r="C1052" s="54"/>
      <c r="D1052" s="54"/>
      <c r="E1052" s="55"/>
      <c r="F1052" s="57"/>
      <c r="G1052" s="57"/>
      <c r="H1052" s="54">
        <f t="shared" si="86"/>
        <v>0</v>
      </c>
      <c r="I1052" s="58"/>
      <c r="J1052" s="54">
        <f t="shared" si="87"/>
        <v>0</v>
      </c>
      <c r="K1052" s="57"/>
      <c r="L1052" s="54">
        <f t="shared" si="88"/>
        <v>0</v>
      </c>
      <c r="Q1052" s="139">
        <f t="shared" ref="Q1052:Q1061" si="89">+L1052-P1052</f>
        <v>0</v>
      </c>
    </row>
    <row r="1053" spans="1:17" x14ac:dyDescent="0.3">
      <c r="A1053" s="54"/>
      <c r="B1053" s="54"/>
      <c r="C1053" s="54"/>
      <c r="D1053" s="54"/>
      <c r="E1053" s="55"/>
      <c r="F1053" s="57"/>
      <c r="G1053" s="57"/>
      <c r="H1053" s="54">
        <f t="shared" si="86"/>
        <v>0</v>
      </c>
      <c r="I1053" s="58"/>
      <c r="J1053" s="54">
        <f t="shared" si="87"/>
        <v>0</v>
      </c>
      <c r="K1053" s="57"/>
      <c r="L1053" s="54">
        <f t="shared" si="88"/>
        <v>0</v>
      </c>
      <c r="Q1053" s="139">
        <f t="shared" si="89"/>
        <v>0</v>
      </c>
    </row>
    <row r="1054" spans="1:17" x14ac:dyDescent="0.3">
      <c r="A1054" s="54"/>
      <c r="B1054" s="54"/>
      <c r="C1054" s="54"/>
      <c r="D1054" s="54"/>
      <c r="E1054" s="55"/>
      <c r="F1054" s="57"/>
      <c r="G1054" s="57"/>
      <c r="H1054" s="54">
        <f t="shared" si="86"/>
        <v>0</v>
      </c>
      <c r="I1054" s="58"/>
      <c r="J1054" s="54">
        <f t="shared" si="87"/>
        <v>0</v>
      </c>
      <c r="K1054" s="57"/>
      <c r="L1054" s="54">
        <f t="shared" si="88"/>
        <v>0</v>
      </c>
      <c r="Q1054" s="139">
        <f t="shared" si="89"/>
        <v>0</v>
      </c>
    </row>
    <row r="1055" spans="1:17" x14ac:dyDescent="0.3">
      <c r="A1055" s="54"/>
      <c r="B1055" s="54"/>
      <c r="C1055" s="54"/>
      <c r="D1055" s="54"/>
      <c r="E1055" s="55"/>
      <c r="F1055" s="57"/>
      <c r="G1055" s="57"/>
      <c r="H1055" s="54">
        <f t="shared" si="86"/>
        <v>0</v>
      </c>
      <c r="I1055" s="58"/>
      <c r="J1055" s="54">
        <f t="shared" si="87"/>
        <v>0</v>
      </c>
      <c r="K1055" s="57"/>
      <c r="L1055" s="54">
        <f t="shared" si="88"/>
        <v>0</v>
      </c>
      <c r="Q1055" s="139">
        <f t="shared" si="89"/>
        <v>0</v>
      </c>
    </row>
    <row r="1056" spans="1:17" x14ac:dyDescent="0.3">
      <c r="A1056" s="54"/>
      <c r="B1056" s="54"/>
      <c r="C1056" s="54"/>
      <c r="D1056" s="54"/>
      <c r="E1056" s="55"/>
      <c r="F1056" s="57"/>
      <c r="G1056" s="57"/>
      <c r="H1056" s="54">
        <f t="shared" si="86"/>
        <v>0</v>
      </c>
      <c r="I1056" s="58"/>
      <c r="J1056" s="54">
        <f t="shared" si="87"/>
        <v>0</v>
      </c>
      <c r="K1056" s="57"/>
      <c r="L1056" s="54">
        <f t="shared" si="88"/>
        <v>0</v>
      </c>
      <c r="Q1056" s="139">
        <f t="shared" si="89"/>
        <v>0</v>
      </c>
    </row>
    <row r="1057" spans="1:17" x14ac:dyDescent="0.3">
      <c r="A1057" s="54"/>
      <c r="B1057" s="54"/>
      <c r="C1057" s="54"/>
      <c r="D1057" s="54"/>
      <c r="E1057" s="55"/>
      <c r="F1057" s="57"/>
      <c r="G1057" s="57"/>
      <c r="H1057" s="54">
        <f t="shared" si="86"/>
        <v>0</v>
      </c>
      <c r="I1057" s="58"/>
      <c r="J1057" s="54">
        <f t="shared" si="87"/>
        <v>0</v>
      </c>
      <c r="K1057" s="57"/>
      <c r="L1057" s="54">
        <f t="shared" si="88"/>
        <v>0</v>
      </c>
      <c r="Q1057" s="139">
        <f t="shared" si="89"/>
        <v>0</v>
      </c>
    </row>
    <row r="1058" spans="1:17" x14ac:dyDescent="0.3">
      <c r="A1058" s="54"/>
      <c r="B1058" s="54"/>
      <c r="C1058" s="54"/>
      <c r="D1058" s="54"/>
      <c r="E1058" s="55"/>
      <c r="F1058" s="57"/>
      <c r="G1058" s="57"/>
      <c r="H1058" s="54">
        <f t="shared" si="86"/>
        <v>0</v>
      </c>
      <c r="I1058" s="58"/>
      <c r="J1058" s="54">
        <f t="shared" si="87"/>
        <v>0</v>
      </c>
      <c r="K1058" s="57"/>
      <c r="L1058" s="54">
        <f t="shared" si="88"/>
        <v>0</v>
      </c>
      <c r="Q1058" s="139">
        <f t="shared" si="89"/>
        <v>0</v>
      </c>
    </row>
    <row r="1059" spans="1:17" x14ac:dyDescent="0.3">
      <c r="A1059" s="54"/>
      <c r="B1059" s="54"/>
      <c r="C1059" s="54"/>
      <c r="D1059" s="54"/>
      <c r="E1059" s="55"/>
      <c r="F1059" s="57"/>
      <c r="G1059" s="57"/>
      <c r="H1059" s="54">
        <f t="shared" si="86"/>
        <v>0</v>
      </c>
      <c r="I1059" s="58"/>
      <c r="J1059" s="54">
        <f t="shared" si="87"/>
        <v>0</v>
      </c>
      <c r="K1059" s="57"/>
      <c r="L1059" s="54">
        <f t="shared" si="88"/>
        <v>0</v>
      </c>
      <c r="Q1059" s="139">
        <f t="shared" si="89"/>
        <v>0</v>
      </c>
    </row>
    <row r="1060" spans="1:17" x14ac:dyDescent="0.3">
      <c r="A1060" s="54"/>
      <c r="B1060" s="54"/>
      <c r="C1060" s="54"/>
      <c r="D1060" s="54"/>
      <c r="E1060" s="55"/>
      <c r="F1060" s="57"/>
      <c r="G1060" s="57"/>
      <c r="H1060" s="54">
        <f t="shared" si="86"/>
        <v>0</v>
      </c>
      <c r="I1060" s="58"/>
      <c r="J1060" s="54">
        <f t="shared" si="87"/>
        <v>0</v>
      </c>
      <c r="K1060" s="57"/>
      <c r="L1060" s="54">
        <f t="shared" si="88"/>
        <v>0</v>
      </c>
      <c r="Q1060" s="139">
        <f t="shared" si="89"/>
        <v>0</v>
      </c>
    </row>
    <row r="1061" spans="1:17" x14ac:dyDescent="0.3">
      <c r="A1061" s="54"/>
      <c r="B1061" s="54"/>
      <c r="C1061" s="54"/>
      <c r="D1061" s="54"/>
      <c r="E1061" s="55"/>
      <c r="F1061" s="57"/>
      <c r="G1061" s="57"/>
      <c r="H1061" s="54">
        <f t="shared" si="86"/>
        <v>0</v>
      </c>
      <c r="I1061" s="58"/>
      <c r="J1061" s="54">
        <f t="shared" si="87"/>
        <v>0</v>
      </c>
      <c r="K1061" s="57"/>
      <c r="L1061" s="54">
        <f t="shared" si="88"/>
        <v>0</v>
      </c>
      <c r="Q1061" s="139">
        <f t="shared" si="89"/>
        <v>0</v>
      </c>
    </row>
    <row r="1062" spans="1:17" x14ac:dyDescent="0.3">
      <c r="A1062" s="54"/>
      <c r="B1062" s="54"/>
      <c r="C1062" s="54"/>
      <c r="D1062" s="54"/>
      <c r="E1062" s="55"/>
      <c r="F1062" s="57"/>
      <c r="G1062" s="57"/>
      <c r="H1062" s="54">
        <f t="shared" si="86"/>
        <v>0</v>
      </c>
      <c r="I1062" s="58"/>
      <c r="J1062" s="54">
        <f t="shared" si="87"/>
        <v>0</v>
      </c>
      <c r="K1062" s="57"/>
      <c r="L1062" s="54">
        <f t="shared" si="88"/>
        <v>0</v>
      </c>
    </row>
    <row r="1063" spans="1:17" x14ac:dyDescent="0.3">
      <c r="A1063" s="54"/>
      <c r="B1063" s="54"/>
      <c r="C1063" s="54"/>
      <c r="D1063" s="54"/>
      <c r="E1063" s="55"/>
      <c r="F1063" s="57"/>
      <c r="G1063" s="57"/>
      <c r="H1063" s="54">
        <f t="shared" si="86"/>
        <v>0</v>
      </c>
      <c r="I1063" s="58"/>
      <c r="J1063" s="54">
        <f t="shared" si="87"/>
        <v>0</v>
      </c>
      <c r="K1063" s="57"/>
      <c r="L1063" s="54">
        <f t="shared" si="88"/>
        <v>0</v>
      </c>
    </row>
    <row r="1064" spans="1:17" x14ac:dyDescent="0.3">
      <c r="A1064" s="54"/>
      <c r="B1064" s="54"/>
      <c r="C1064" s="54"/>
      <c r="D1064" s="54"/>
      <c r="E1064" s="55"/>
      <c r="F1064" s="57"/>
      <c r="G1064" s="57"/>
      <c r="H1064" s="54">
        <f t="shared" si="86"/>
        <v>0</v>
      </c>
      <c r="I1064" s="58"/>
      <c r="J1064" s="54">
        <f t="shared" si="87"/>
        <v>0</v>
      </c>
      <c r="K1064" s="57"/>
      <c r="L1064" s="54">
        <f t="shared" si="88"/>
        <v>0</v>
      </c>
    </row>
    <row r="1065" spans="1:17" x14ac:dyDescent="0.3">
      <c r="A1065" s="54"/>
      <c r="B1065" s="54"/>
      <c r="C1065" s="54"/>
      <c r="D1065" s="54"/>
      <c r="E1065" s="55"/>
      <c r="F1065" s="57"/>
      <c r="G1065" s="57"/>
      <c r="H1065" s="54">
        <f t="shared" si="86"/>
        <v>0</v>
      </c>
      <c r="I1065" s="58"/>
      <c r="J1065" s="54">
        <f t="shared" si="87"/>
        <v>0</v>
      </c>
      <c r="K1065" s="57"/>
      <c r="L1065" s="54">
        <f t="shared" si="88"/>
        <v>0</v>
      </c>
    </row>
    <row r="1066" spans="1:17" x14ac:dyDescent="0.3">
      <c r="A1066" s="54"/>
      <c r="B1066" s="54"/>
      <c r="C1066" s="54"/>
      <c r="D1066" s="54"/>
      <c r="E1066" s="55"/>
      <c r="F1066" s="57"/>
      <c r="G1066" s="57"/>
      <c r="H1066" s="54">
        <f t="shared" si="86"/>
        <v>0</v>
      </c>
      <c r="I1066" s="58"/>
      <c r="J1066" s="54">
        <f t="shared" si="87"/>
        <v>0</v>
      </c>
      <c r="K1066" s="57"/>
      <c r="L1066" s="54">
        <f t="shared" si="88"/>
        <v>0</v>
      </c>
    </row>
    <row r="1067" spans="1:17" x14ac:dyDescent="0.3">
      <c r="A1067" s="54"/>
      <c r="B1067" s="54"/>
      <c r="C1067" s="54"/>
      <c r="D1067" s="54"/>
      <c r="E1067" s="55"/>
      <c r="F1067" s="57"/>
      <c r="G1067" s="57"/>
      <c r="H1067" s="54">
        <f t="shared" si="86"/>
        <v>0</v>
      </c>
      <c r="I1067" s="58"/>
      <c r="J1067" s="54">
        <f t="shared" si="87"/>
        <v>0</v>
      </c>
      <c r="K1067" s="57"/>
      <c r="L1067" s="54">
        <f t="shared" si="88"/>
        <v>0</v>
      </c>
    </row>
    <row r="1068" spans="1:17" x14ac:dyDescent="0.3">
      <c r="A1068" s="54"/>
      <c r="B1068" s="54"/>
      <c r="C1068" s="54"/>
      <c r="D1068" s="54"/>
      <c r="E1068" s="55"/>
      <c r="F1068" s="57"/>
      <c r="G1068" s="57"/>
      <c r="H1068" s="54">
        <f t="shared" si="86"/>
        <v>0</v>
      </c>
      <c r="I1068" s="58"/>
      <c r="J1068" s="54">
        <f t="shared" si="87"/>
        <v>0</v>
      </c>
      <c r="K1068" s="57"/>
      <c r="L1068" s="54">
        <f t="shared" si="88"/>
        <v>0</v>
      </c>
    </row>
    <row r="1069" spans="1:17" x14ac:dyDescent="0.3">
      <c r="A1069" s="54"/>
      <c r="B1069" s="54"/>
      <c r="C1069" s="54"/>
      <c r="D1069" s="54"/>
      <c r="E1069" s="55"/>
      <c r="F1069" s="57"/>
      <c r="G1069" s="57"/>
      <c r="H1069" s="54">
        <f t="shared" si="86"/>
        <v>0</v>
      </c>
      <c r="I1069" s="58"/>
      <c r="J1069" s="54">
        <f t="shared" si="87"/>
        <v>0</v>
      </c>
      <c r="K1069" s="57"/>
      <c r="L1069" s="54">
        <f t="shared" si="88"/>
        <v>0</v>
      </c>
    </row>
    <row r="1070" spans="1:17" x14ac:dyDescent="0.3">
      <c r="A1070" s="54"/>
      <c r="B1070" s="54"/>
      <c r="C1070" s="54"/>
      <c r="D1070" s="54"/>
      <c r="E1070" s="55"/>
      <c r="F1070" s="57"/>
      <c r="G1070" s="57"/>
      <c r="H1070" s="54">
        <f t="shared" si="86"/>
        <v>0</v>
      </c>
      <c r="I1070" s="58"/>
      <c r="J1070" s="54">
        <f t="shared" si="87"/>
        <v>0</v>
      </c>
      <c r="K1070" s="57"/>
      <c r="L1070" s="54">
        <f t="shared" si="88"/>
        <v>0</v>
      </c>
    </row>
    <row r="1071" spans="1:17" x14ac:dyDescent="0.3">
      <c r="A1071" s="54"/>
      <c r="B1071" s="54"/>
      <c r="C1071" s="54"/>
      <c r="D1071" s="54"/>
      <c r="E1071" s="55"/>
      <c r="F1071" s="57"/>
      <c r="G1071" s="57"/>
      <c r="H1071" s="54">
        <f t="shared" si="86"/>
        <v>0</v>
      </c>
      <c r="I1071" s="58"/>
      <c r="J1071" s="54">
        <f t="shared" si="87"/>
        <v>0</v>
      </c>
      <c r="K1071" s="57"/>
      <c r="L1071" s="54">
        <f t="shared" si="88"/>
        <v>0</v>
      </c>
    </row>
    <row r="1072" spans="1:17" x14ac:dyDescent="0.3">
      <c r="A1072" s="54"/>
      <c r="B1072" s="54"/>
      <c r="C1072" s="54"/>
      <c r="D1072" s="54"/>
      <c r="E1072" s="55"/>
      <c r="F1072" s="57"/>
      <c r="G1072" s="57"/>
      <c r="H1072" s="54">
        <f t="shared" si="86"/>
        <v>0</v>
      </c>
      <c r="I1072" s="58"/>
      <c r="J1072" s="54">
        <f t="shared" si="87"/>
        <v>0</v>
      </c>
      <c r="K1072" s="57"/>
      <c r="L1072" s="54">
        <f t="shared" si="88"/>
        <v>0</v>
      </c>
    </row>
    <row r="1073" spans="1:12" x14ac:dyDescent="0.3">
      <c r="A1073" s="54"/>
      <c r="B1073" s="54"/>
      <c r="C1073" s="54"/>
      <c r="D1073" s="54"/>
      <c r="E1073" s="55"/>
      <c r="F1073" s="57"/>
      <c r="G1073" s="57"/>
      <c r="H1073" s="54">
        <f t="shared" si="86"/>
        <v>0</v>
      </c>
      <c r="I1073" s="58"/>
      <c r="J1073" s="54">
        <f t="shared" si="87"/>
        <v>0</v>
      </c>
      <c r="K1073" s="57"/>
      <c r="L1073" s="54">
        <f t="shared" si="88"/>
        <v>0</v>
      </c>
    </row>
    <row r="1074" spans="1:12" x14ac:dyDescent="0.3">
      <c r="A1074" s="54"/>
      <c r="B1074" s="54"/>
      <c r="C1074" s="54"/>
      <c r="D1074" s="54"/>
      <c r="E1074" s="55"/>
      <c r="F1074" s="57"/>
      <c r="G1074" s="57"/>
      <c r="H1074" s="54">
        <f t="shared" si="86"/>
        <v>0</v>
      </c>
      <c r="I1074" s="58"/>
      <c r="J1074" s="54">
        <f t="shared" si="87"/>
        <v>0</v>
      </c>
      <c r="K1074" s="57"/>
      <c r="L1074" s="54">
        <f t="shared" si="88"/>
        <v>0</v>
      </c>
    </row>
    <row r="1075" spans="1:12" x14ac:dyDescent="0.3">
      <c r="A1075" s="54"/>
      <c r="B1075" s="54"/>
      <c r="C1075" s="54"/>
      <c r="D1075" s="54"/>
      <c r="E1075" s="55"/>
      <c r="F1075" s="57"/>
      <c r="G1075" s="57"/>
      <c r="H1075" s="54">
        <f t="shared" si="86"/>
        <v>0</v>
      </c>
      <c r="I1075" s="58"/>
      <c r="J1075" s="54">
        <f t="shared" si="87"/>
        <v>0</v>
      </c>
      <c r="K1075" s="57"/>
      <c r="L1075" s="54">
        <f t="shared" si="88"/>
        <v>0</v>
      </c>
    </row>
    <row r="1076" spans="1:12" x14ac:dyDescent="0.3">
      <c r="A1076" s="54"/>
      <c r="B1076" s="54"/>
      <c r="C1076" s="54"/>
      <c r="D1076" s="54"/>
      <c r="E1076" s="55"/>
      <c r="F1076" s="57"/>
      <c r="G1076" s="57"/>
      <c r="H1076" s="54">
        <f t="shared" si="86"/>
        <v>0</v>
      </c>
      <c r="I1076" s="58"/>
      <c r="J1076" s="54">
        <f t="shared" si="87"/>
        <v>0</v>
      </c>
      <c r="K1076" s="57"/>
      <c r="L1076" s="54">
        <f t="shared" si="88"/>
        <v>0</v>
      </c>
    </row>
    <row r="1077" spans="1:12" x14ac:dyDescent="0.3">
      <c r="A1077" s="54"/>
      <c r="B1077" s="54"/>
      <c r="C1077" s="54"/>
      <c r="D1077" s="54"/>
      <c r="E1077" s="55"/>
      <c r="F1077" s="57"/>
      <c r="G1077" s="57"/>
      <c r="H1077" s="54">
        <f t="shared" si="86"/>
        <v>0</v>
      </c>
      <c r="I1077" s="58"/>
      <c r="J1077" s="54">
        <f t="shared" si="87"/>
        <v>0</v>
      </c>
      <c r="K1077" s="57"/>
      <c r="L1077" s="54">
        <f t="shared" si="88"/>
        <v>0</v>
      </c>
    </row>
    <row r="1078" spans="1:12" x14ac:dyDescent="0.3">
      <c r="A1078" s="54"/>
      <c r="B1078" s="54"/>
      <c r="C1078" s="54"/>
      <c r="D1078" s="54"/>
      <c r="E1078" s="55"/>
      <c r="F1078" s="57"/>
      <c r="G1078" s="57"/>
      <c r="H1078" s="54">
        <f t="shared" si="86"/>
        <v>0</v>
      </c>
      <c r="I1078" s="58"/>
      <c r="J1078" s="54">
        <f t="shared" si="87"/>
        <v>0</v>
      </c>
      <c r="K1078" s="57"/>
      <c r="L1078" s="54">
        <f t="shared" si="88"/>
        <v>0</v>
      </c>
    </row>
    <row r="1079" spans="1:12" x14ac:dyDescent="0.3">
      <c r="A1079" s="54"/>
      <c r="B1079" s="54"/>
      <c r="C1079" s="54"/>
      <c r="D1079" s="54"/>
      <c r="E1079" s="55"/>
      <c r="F1079" s="57"/>
      <c r="G1079" s="57"/>
      <c r="H1079" s="54">
        <f t="shared" si="86"/>
        <v>0</v>
      </c>
      <c r="I1079" s="58"/>
      <c r="J1079" s="54">
        <f t="shared" si="87"/>
        <v>0</v>
      </c>
      <c r="K1079" s="57"/>
      <c r="L1079" s="54">
        <f t="shared" si="88"/>
        <v>0</v>
      </c>
    </row>
    <row r="1080" spans="1:12" x14ac:dyDescent="0.3">
      <c r="A1080" s="54"/>
      <c r="B1080" s="54"/>
      <c r="C1080" s="54"/>
      <c r="D1080" s="54"/>
      <c r="E1080" s="55"/>
      <c r="F1080" s="57"/>
      <c r="G1080" s="57"/>
      <c r="H1080" s="54">
        <f t="shared" si="86"/>
        <v>0</v>
      </c>
      <c r="I1080" s="58"/>
      <c r="J1080" s="54">
        <f t="shared" si="87"/>
        <v>0</v>
      </c>
      <c r="K1080" s="57"/>
      <c r="L1080" s="54">
        <f t="shared" si="88"/>
        <v>0</v>
      </c>
    </row>
    <row r="1081" spans="1:12" x14ac:dyDescent="0.3">
      <c r="A1081" s="54"/>
      <c r="B1081" s="54"/>
      <c r="C1081" s="54"/>
      <c r="D1081" s="54"/>
      <c r="E1081" s="55"/>
      <c r="F1081" s="57"/>
      <c r="G1081" s="57"/>
      <c r="H1081" s="54">
        <f t="shared" si="86"/>
        <v>0</v>
      </c>
      <c r="I1081" s="58"/>
      <c r="J1081" s="54">
        <f t="shared" si="87"/>
        <v>0</v>
      </c>
      <c r="K1081" s="57"/>
      <c r="L1081" s="54">
        <f t="shared" si="88"/>
        <v>0</v>
      </c>
    </row>
    <row r="1082" spans="1:12" x14ac:dyDescent="0.3">
      <c r="A1082" s="54"/>
      <c r="B1082" s="54"/>
      <c r="C1082" s="54"/>
      <c r="D1082" s="54"/>
      <c r="E1082" s="55"/>
      <c r="F1082" s="57"/>
      <c r="G1082" s="57"/>
      <c r="H1082" s="54">
        <f t="shared" si="86"/>
        <v>0</v>
      </c>
      <c r="I1082" s="58"/>
      <c r="J1082" s="54">
        <f t="shared" si="87"/>
        <v>0</v>
      </c>
      <c r="K1082" s="57"/>
      <c r="L1082" s="54">
        <f t="shared" si="88"/>
        <v>0</v>
      </c>
    </row>
    <row r="1083" spans="1:12" x14ac:dyDescent="0.3">
      <c r="A1083" s="54"/>
      <c r="B1083" s="54"/>
      <c r="C1083" s="54"/>
      <c r="D1083" s="54"/>
      <c r="E1083" s="55"/>
      <c r="F1083" s="57"/>
      <c r="G1083" s="57"/>
      <c r="H1083" s="54">
        <f t="shared" si="86"/>
        <v>0</v>
      </c>
      <c r="I1083" s="58"/>
      <c r="J1083" s="54">
        <f t="shared" si="87"/>
        <v>0</v>
      </c>
      <c r="K1083" s="57"/>
      <c r="L1083" s="54">
        <f t="shared" si="88"/>
        <v>0</v>
      </c>
    </row>
    <row r="1084" spans="1:12" x14ac:dyDescent="0.3">
      <c r="A1084" s="54"/>
      <c r="B1084" s="54"/>
      <c r="C1084" s="54"/>
      <c r="D1084" s="54"/>
      <c r="E1084" s="55"/>
      <c r="F1084" s="57"/>
      <c r="G1084" s="57"/>
      <c r="H1084" s="54">
        <f t="shared" si="86"/>
        <v>0</v>
      </c>
      <c r="I1084" s="58"/>
      <c r="J1084" s="54">
        <f t="shared" si="87"/>
        <v>0</v>
      </c>
      <c r="K1084" s="57"/>
      <c r="L1084" s="54">
        <f t="shared" si="88"/>
        <v>0</v>
      </c>
    </row>
    <row r="1085" spans="1:12" x14ac:dyDescent="0.3">
      <c r="A1085" s="54"/>
      <c r="B1085" s="54"/>
      <c r="C1085" s="54"/>
      <c r="D1085" s="54"/>
      <c r="E1085" s="55"/>
      <c r="F1085" s="57"/>
      <c r="G1085" s="57"/>
      <c r="H1085" s="54">
        <f t="shared" si="86"/>
        <v>0</v>
      </c>
      <c r="I1085" s="58"/>
      <c r="J1085" s="54">
        <f t="shared" si="87"/>
        <v>0</v>
      </c>
      <c r="K1085" s="57"/>
      <c r="L1085" s="54">
        <f t="shared" si="88"/>
        <v>0</v>
      </c>
    </row>
    <row r="1086" spans="1:12" x14ac:dyDescent="0.3">
      <c r="A1086" s="54"/>
      <c r="B1086" s="54"/>
      <c r="C1086" s="54"/>
      <c r="D1086" s="54"/>
      <c r="E1086" s="55"/>
      <c r="F1086" s="57"/>
      <c r="G1086" s="57"/>
      <c r="H1086" s="54">
        <f t="shared" si="86"/>
        <v>0</v>
      </c>
      <c r="I1086" s="58"/>
      <c r="J1086" s="54">
        <f t="shared" si="87"/>
        <v>0</v>
      </c>
      <c r="K1086" s="57"/>
      <c r="L1086" s="54">
        <f t="shared" si="88"/>
        <v>0</v>
      </c>
    </row>
    <row r="1087" spans="1:12" x14ac:dyDescent="0.3">
      <c r="A1087" s="54"/>
      <c r="B1087" s="54"/>
      <c r="C1087" s="54"/>
      <c r="D1087" s="54"/>
      <c r="E1087" s="55"/>
      <c r="F1087" s="57"/>
      <c r="G1087" s="57"/>
      <c r="H1087" s="54">
        <f t="shared" si="86"/>
        <v>0</v>
      </c>
      <c r="I1087" s="58"/>
      <c r="J1087" s="54">
        <f t="shared" si="87"/>
        <v>0</v>
      </c>
      <c r="K1087" s="57"/>
      <c r="L1087" s="54">
        <f t="shared" si="88"/>
        <v>0</v>
      </c>
    </row>
    <row r="1088" spans="1:12" x14ac:dyDescent="0.3">
      <c r="A1088" s="54"/>
      <c r="B1088" s="54"/>
      <c r="C1088" s="54"/>
      <c r="D1088" s="54"/>
      <c r="E1088" s="55"/>
      <c r="F1088" s="57"/>
      <c r="G1088" s="57"/>
      <c r="H1088" s="54">
        <f t="shared" si="86"/>
        <v>0</v>
      </c>
      <c r="I1088" s="58"/>
      <c r="J1088" s="54">
        <f t="shared" si="87"/>
        <v>0</v>
      </c>
      <c r="K1088" s="57"/>
      <c r="L1088" s="54">
        <f t="shared" si="88"/>
        <v>0</v>
      </c>
    </row>
    <row r="1089" spans="1:12" x14ac:dyDescent="0.3">
      <c r="A1089" s="54"/>
      <c r="B1089" s="54"/>
      <c r="C1089" s="54"/>
      <c r="D1089" s="54"/>
      <c r="E1089" s="55"/>
      <c r="F1089" s="57"/>
      <c r="G1089" s="57"/>
      <c r="H1089" s="54">
        <f t="shared" si="86"/>
        <v>0</v>
      </c>
      <c r="I1089" s="58"/>
      <c r="J1089" s="54">
        <f t="shared" si="87"/>
        <v>0</v>
      </c>
      <c r="K1089" s="57"/>
      <c r="L1089" s="54">
        <f t="shared" si="88"/>
        <v>0</v>
      </c>
    </row>
    <row r="1090" spans="1:12" x14ac:dyDescent="0.3">
      <c r="A1090" s="54"/>
      <c r="B1090" s="54"/>
      <c r="C1090" s="54"/>
      <c r="D1090" s="54"/>
      <c r="E1090" s="55"/>
      <c r="F1090" s="57"/>
      <c r="G1090" s="57"/>
      <c r="H1090" s="54">
        <f t="shared" si="86"/>
        <v>0</v>
      </c>
      <c r="I1090" s="58"/>
      <c r="J1090" s="54">
        <f t="shared" si="87"/>
        <v>0</v>
      </c>
      <c r="K1090" s="57"/>
      <c r="L1090" s="54">
        <f t="shared" si="88"/>
        <v>0</v>
      </c>
    </row>
    <row r="1091" spans="1:12" x14ac:dyDescent="0.3">
      <c r="A1091" s="54"/>
      <c r="B1091" s="54"/>
      <c r="C1091" s="54"/>
      <c r="D1091" s="54"/>
      <c r="E1091" s="55"/>
      <c r="F1091" s="57"/>
      <c r="G1091" s="57"/>
      <c r="H1091" s="54">
        <f t="shared" si="86"/>
        <v>0</v>
      </c>
      <c r="I1091" s="58"/>
      <c r="J1091" s="54">
        <f t="shared" si="87"/>
        <v>0</v>
      </c>
      <c r="K1091" s="57"/>
      <c r="L1091" s="54">
        <f t="shared" si="88"/>
        <v>0</v>
      </c>
    </row>
    <row r="1092" spans="1:12" x14ac:dyDescent="0.3">
      <c r="A1092" s="54"/>
      <c r="B1092" s="54"/>
      <c r="C1092" s="54"/>
      <c r="D1092" s="54"/>
      <c r="E1092" s="55"/>
      <c r="F1092" s="57"/>
      <c r="G1092" s="57"/>
      <c r="H1092" s="54">
        <f t="shared" si="86"/>
        <v>0</v>
      </c>
      <c r="I1092" s="58"/>
      <c r="J1092" s="54">
        <f t="shared" si="87"/>
        <v>0</v>
      </c>
      <c r="K1092" s="57"/>
      <c r="L1092" s="54">
        <f t="shared" si="88"/>
        <v>0</v>
      </c>
    </row>
    <row r="1093" spans="1:12" x14ac:dyDescent="0.3">
      <c r="A1093" s="54"/>
      <c r="B1093" s="54"/>
      <c r="C1093" s="54"/>
      <c r="D1093" s="54"/>
      <c r="E1093" s="55"/>
      <c r="F1093" s="57"/>
      <c r="G1093" s="57"/>
      <c r="H1093" s="54">
        <f t="shared" si="86"/>
        <v>0</v>
      </c>
      <c r="I1093" s="58"/>
      <c r="J1093" s="54">
        <f t="shared" si="87"/>
        <v>0</v>
      </c>
      <c r="K1093" s="57"/>
      <c r="L1093" s="54">
        <f t="shared" si="88"/>
        <v>0</v>
      </c>
    </row>
    <row r="1094" spans="1:12" x14ac:dyDescent="0.3">
      <c r="A1094" s="54"/>
      <c r="B1094" s="54"/>
      <c r="C1094" s="54"/>
      <c r="D1094" s="54"/>
      <c r="E1094" s="55"/>
      <c r="F1094" s="57"/>
      <c r="G1094" s="57"/>
      <c r="H1094" s="54">
        <f t="shared" si="86"/>
        <v>0</v>
      </c>
      <c r="I1094" s="58"/>
      <c r="J1094" s="54">
        <f t="shared" si="87"/>
        <v>0</v>
      </c>
      <c r="K1094" s="57"/>
      <c r="L1094" s="54">
        <f t="shared" si="88"/>
        <v>0</v>
      </c>
    </row>
    <row r="1095" spans="1:12" x14ac:dyDescent="0.3">
      <c r="A1095" s="54"/>
      <c r="B1095" s="54"/>
      <c r="C1095" s="54"/>
      <c r="D1095" s="54"/>
      <c r="E1095" s="55"/>
      <c r="F1095" s="57"/>
      <c r="G1095" s="57"/>
      <c r="H1095" s="54">
        <f t="shared" si="86"/>
        <v>0</v>
      </c>
      <c r="I1095" s="58"/>
      <c r="J1095" s="54">
        <f t="shared" si="87"/>
        <v>0</v>
      </c>
      <c r="K1095" s="57"/>
      <c r="L1095" s="54">
        <f t="shared" si="88"/>
        <v>0</v>
      </c>
    </row>
    <row r="1096" spans="1:12" x14ac:dyDescent="0.3">
      <c r="A1096" s="54"/>
      <c r="B1096" s="54"/>
      <c r="C1096" s="54"/>
      <c r="D1096" s="54"/>
      <c r="E1096" s="55"/>
      <c r="F1096" s="57"/>
      <c r="G1096" s="57"/>
      <c r="H1096" s="54">
        <f t="shared" si="86"/>
        <v>0</v>
      </c>
      <c r="I1096" s="58"/>
      <c r="J1096" s="54">
        <f t="shared" si="87"/>
        <v>0</v>
      </c>
      <c r="K1096" s="57"/>
      <c r="L1096" s="54">
        <f t="shared" si="88"/>
        <v>0</v>
      </c>
    </row>
    <row r="1097" spans="1:12" x14ac:dyDescent="0.3">
      <c r="A1097" s="54"/>
      <c r="B1097" s="54"/>
      <c r="C1097" s="54"/>
      <c r="D1097" s="54"/>
      <c r="E1097" s="55"/>
      <c r="F1097" s="57"/>
      <c r="G1097" s="57"/>
      <c r="H1097" s="54">
        <f t="shared" si="86"/>
        <v>0</v>
      </c>
      <c r="I1097" s="58"/>
      <c r="J1097" s="54">
        <f t="shared" si="87"/>
        <v>0</v>
      </c>
      <c r="K1097" s="57"/>
      <c r="L1097" s="54">
        <f t="shared" si="88"/>
        <v>0</v>
      </c>
    </row>
    <row r="1098" spans="1:12" x14ac:dyDescent="0.3">
      <c r="A1098" s="54"/>
      <c r="B1098" s="54"/>
      <c r="C1098" s="54"/>
      <c r="D1098" s="54"/>
      <c r="E1098" s="55"/>
      <c r="F1098" s="57"/>
      <c r="G1098" s="57"/>
      <c r="H1098" s="54">
        <f t="shared" si="86"/>
        <v>0</v>
      </c>
      <c r="I1098" s="58"/>
      <c r="J1098" s="54">
        <f t="shared" si="87"/>
        <v>0</v>
      </c>
      <c r="K1098" s="57"/>
      <c r="L1098" s="54">
        <f t="shared" si="88"/>
        <v>0</v>
      </c>
    </row>
    <row r="1099" spans="1:12" x14ac:dyDescent="0.3">
      <c r="A1099" s="54"/>
      <c r="B1099" s="54"/>
      <c r="C1099" s="54"/>
      <c r="D1099" s="54"/>
      <c r="E1099" s="55"/>
      <c r="F1099" s="57"/>
      <c r="G1099" s="57"/>
      <c r="H1099" s="54">
        <f t="shared" si="86"/>
        <v>0</v>
      </c>
      <c r="I1099" s="58"/>
      <c r="J1099" s="54">
        <f t="shared" si="87"/>
        <v>0</v>
      </c>
      <c r="K1099" s="57"/>
      <c r="L1099" s="54">
        <f t="shared" si="88"/>
        <v>0</v>
      </c>
    </row>
    <row r="1100" spans="1:12" x14ac:dyDescent="0.3">
      <c r="A1100" s="54"/>
      <c r="B1100" s="54"/>
      <c r="C1100" s="54"/>
      <c r="D1100" s="54"/>
      <c r="E1100" s="55"/>
      <c r="F1100" s="57"/>
      <c r="G1100" s="57"/>
      <c r="H1100" s="54">
        <f t="shared" si="86"/>
        <v>0</v>
      </c>
      <c r="I1100" s="58"/>
      <c r="J1100" s="54">
        <f t="shared" si="87"/>
        <v>0</v>
      </c>
      <c r="K1100" s="57"/>
      <c r="L1100" s="54">
        <f t="shared" si="88"/>
        <v>0</v>
      </c>
    </row>
    <row r="1101" spans="1:12" x14ac:dyDescent="0.3">
      <c r="A1101" s="54"/>
      <c r="B1101" s="54"/>
      <c r="C1101" s="54"/>
      <c r="D1101" s="54"/>
      <c r="E1101" s="55"/>
      <c r="F1101" s="57"/>
      <c r="G1101" s="57"/>
      <c r="H1101" s="54">
        <f t="shared" si="86"/>
        <v>0</v>
      </c>
      <c r="I1101" s="58"/>
      <c r="J1101" s="54">
        <f t="shared" si="87"/>
        <v>0</v>
      </c>
      <c r="K1101" s="57"/>
      <c r="L1101" s="54">
        <f t="shared" si="88"/>
        <v>0</v>
      </c>
    </row>
    <row r="1102" spans="1:12" x14ac:dyDescent="0.3">
      <c r="A1102" s="54"/>
      <c r="B1102" s="54"/>
      <c r="C1102" s="54"/>
      <c r="D1102" s="54"/>
      <c r="E1102" s="55"/>
      <c r="F1102" s="57"/>
      <c r="G1102" s="57"/>
      <c r="H1102" s="54">
        <f t="shared" si="86"/>
        <v>0</v>
      </c>
      <c r="I1102" s="58"/>
      <c r="J1102" s="54">
        <f t="shared" si="87"/>
        <v>0</v>
      </c>
      <c r="K1102" s="57"/>
      <c r="L1102" s="54">
        <f t="shared" si="88"/>
        <v>0</v>
      </c>
    </row>
    <row r="1103" spans="1:12" x14ac:dyDescent="0.3">
      <c r="A1103" s="54"/>
      <c r="B1103" s="54"/>
      <c r="C1103" s="54"/>
      <c r="D1103" s="54"/>
      <c r="E1103" s="55"/>
      <c r="F1103" s="57"/>
      <c r="G1103" s="57"/>
      <c r="H1103" s="54">
        <f t="shared" si="86"/>
        <v>0</v>
      </c>
      <c r="I1103" s="58"/>
      <c r="J1103" s="54">
        <f t="shared" si="87"/>
        <v>0</v>
      </c>
      <c r="K1103" s="57"/>
      <c r="L1103" s="54">
        <f t="shared" si="88"/>
        <v>0</v>
      </c>
    </row>
    <row r="1104" spans="1:12" x14ac:dyDescent="0.3">
      <c r="A1104" s="54"/>
      <c r="B1104" s="54"/>
      <c r="C1104" s="54"/>
      <c r="D1104" s="54"/>
      <c r="E1104" s="55"/>
      <c r="F1104" s="57"/>
      <c r="G1104" s="57"/>
      <c r="H1104" s="54">
        <f t="shared" si="86"/>
        <v>0</v>
      </c>
      <c r="I1104" s="58"/>
      <c r="J1104" s="54">
        <f t="shared" si="87"/>
        <v>0</v>
      </c>
      <c r="K1104" s="57"/>
      <c r="L1104" s="54">
        <f t="shared" si="88"/>
        <v>0</v>
      </c>
    </row>
    <row r="1105" spans="1:12" x14ac:dyDescent="0.3">
      <c r="A1105" s="54"/>
      <c r="B1105" s="54"/>
      <c r="C1105" s="54"/>
      <c r="D1105" s="54"/>
      <c r="E1105" s="55"/>
      <c r="F1105" s="57"/>
      <c r="G1105" s="57"/>
      <c r="H1105" s="54">
        <f t="shared" si="86"/>
        <v>0</v>
      </c>
      <c r="I1105" s="58"/>
      <c r="J1105" s="54">
        <f t="shared" si="87"/>
        <v>0</v>
      </c>
      <c r="K1105" s="57"/>
      <c r="L1105" s="54">
        <f t="shared" si="88"/>
        <v>0</v>
      </c>
    </row>
    <row r="1106" spans="1:12" x14ac:dyDescent="0.3">
      <c r="A1106" s="54"/>
      <c r="B1106" s="54"/>
      <c r="C1106" s="54"/>
      <c r="D1106" s="54"/>
      <c r="E1106" s="55"/>
      <c r="F1106" s="57"/>
      <c r="G1106" s="57"/>
      <c r="H1106" s="54">
        <f t="shared" si="86"/>
        <v>0</v>
      </c>
      <c r="I1106" s="58"/>
      <c r="J1106" s="54">
        <f t="shared" si="87"/>
        <v>0</v>
      </c>
      <c r="K1106" s="57"/>
      <c r="L1106" s="54">
        <f t="shared" si="88"/>
        <v>0</v>
      </c>
    </row>
    <row r="1107" spans="1:12" x14ac:dyDescent="0.3">
      <c r="A1107" s="54"/>
      <c r="B1107" s="54"/>
      <c r="C1107" s="54"/>
      <c r="D1107" s="54"/>
      <c r="E1107" s="55"/>
      <c r="F1107" s="57"/>
      <c r="G1107" s="57"/>
      <c r="H1107" s="54">
        <f t="shared" si="86"/>
        <v>0</v>
      </c>
      <c r="I1107" s="58"/>
      <c r="J1107" s="54">
        <f t="shared" si="87"/>
        <v>0</v>
      </c>
      <c r="K1107" s="57"/>
      <c r="L1107" s="54">
        <f t="shared" si="88"/>
        <v>0</v>
      </c>
    </row>
    <row r="1108" spans="1:12" x14ac:dyDescent="0.3">
      <c r="A1108" s="54"/>
      <c r="B1108" s="54"/>
      <c r="C1108" s="54"/>
      <c r="D1108" s="54"/>
      <c r="E1108" s="55"/>
      <c r="F1108" s="57"/>
      <c r="G1108" s="57"/>
      <c r="H1108" s="54">
        <f t="shared" si="86"/>
        <v>0</v>
      </c>
      <c r="I1108" s="58"/>
      <c r="J1108" s="54">
        <f t="shared" si="87"/>
        <v>0</v>
      </c>
      <c r="K1108" s="57"/>
      <c r="L1108" s="54">
        <f t="shared" si="88"/>
        <v>0</v>
      </c>
    </row>
    <row r="1109" spans="1:12" x14ac:dyDescent="0.3">
      <c r="A1109" s="54"/>
      <c r="B1109" s="54"/>
      <c r="C1109" s="54"/>
      <c r="D1109" s="54"/>
      <c r="E1109" s="55"/>
      <c r="F1109" s="57"/>
      <c r="G1109" s="57"/>
      <c r="H1109" s="54">
        <f t="shared" si="86"/>
        <v>0</v>
      </c>
      <c r="I1109" s="58"/>
      <c r="J1109" s="54">
        <f t="shared" si="87"/>
        <v>0</v>
      </c>
      <c r="K1109" s="57"/>
      <c r="L1109" s="54">
        <f t="shared" si="88"/>
        <v>0</v>
      </c>
    </row>
    <row r="1110" spans="1:12" x14ac:dyDescent="0.3">
      <c r="A1110" s="54"/>
      <c r="B1110" s="54"/>
      <c r="C1110" s="54"/>
      <c r="D1110" s="54"/>
      <c r="E1110" s="55"/>
      <c r="F1110" s="57"/>
      <c r="G1110" s="57"/>
      <c r="H1110" s="54">
        <f t="shared" si="86"/>
        <v>0</v>
      </c>
      <c r="I1110" s="58"/>
      <c r="J1110" s="54">
        <f t="shared" si="87"/>
        <v>0</v>
      </c>
      <c r="K1110" s="57"/>
      <c r="L1110" s="54">
        <f t="shared" si="88"/>
        <v>0</v>
      </c>
    </row>
    <row r="1111" spans="1:12" x14ac:dyDescent="0.3">
      <c r="A1111" s="54"/>
      <c r="B1111" s="54"/>
      <c r="C1111" s="54"/>
      <c r="D1111" s="54"/>
      <c r="E1111" s="55"/>
      <c r="F1111" s="57"/>
      <c r="G1111" s="57"/>
      <c r="H1111" s="54">
        <f t="shared" si="86"/>
        <v>0</v>
      </c>
      <c r="I1111" s="58"/>
      <c r="J1111" s="54">
        <f t="shared" si="87"/>
        <v>0</v>
      </c>
      <c r="K1111" s="57"/>
      <c r="L1111" s="54">
        <f t="shared" si="88"/>
        <v>0</v>
      </c>
    </row>
    <row r="1112" spans="1:12" x14ac:dyDescent="0.3">
      <c r="A1112" s="54"/>
      <c r="B1112" s="54"/>
      <c r="C1112" s="54"/>
      <c r="D1112" s="54"/>
      <c r="E1112" s="55"/>
      <c r="F1112" s="57"/>
      <c r="G1112" s="57"/>
      <c r="H1112" s="54">
        <f t="shared" si="86"/>
        <v>0</v>
      </c>
      <c r="I1112" s="58"/>
      <c r="J1112" s="54">
        <f t="shared" si="87"/>
        <v>0</v>
      </c>
      <c r="K1112" s="57"/>
      <c r="L1112" s="54">
        <f t="shared" si="88"/>
        <v>0</v>
      </c>
    </row>
    <row r="1113" spans="1:12" x14ac:dyDescent="0.3">
      <c r="A1113" s="54"/>
      <c r="B1113" s="54"/>
      <c r="C1113" s="54"/>
      <c r="D1113" s="54"/>
      <c r="E1113" s="55"/>
      <c r="F1113" s="57"/>
      <c r="G1113" s="57"/>
      <c r="H1113" s="54">
        <f t="shared" si="86"/>
        <v>0</v>
      </c>
      <c r="I1113" s="58"/>
      <c r="J1113" s="54">
        <f t="shared" si="87"/>
        <v>0</v>
      </c>
      <c r="K1113" s="57"/>
      <c r="L1113" s="54">
        <f t="shared" si="88"/>
        <v>0</v>
      </c>
    </row>
    <row r="1114" spans="1:12" x14ac:dyDescent="0.3">
      <c r="A1114" s="54"/>
      <c r="B1114" s="54"/>
      <c r="C1114" s="54"/>
      <c r="D1114" s="54"/>
      <c r="E1114" s="55"/>
      <c r="F1114" s="57"/>
      <c r="G1114" s="57"/>
      <c r="H1114" s="54">
        <f t="shared" si="86"/>
        <v>0</v>
      </c>
      <c r="I1114" s="58"/>
      <c r="J1114" s="54">
        <f t="shared" si="87"/>
        <v>0</v>
      </c>
      <c r="K1114" s="57"/>
      <c r="L1114" s="54">
        <f t="shared" si="88"/>
        <v>0</v>
      </c>
    </row>
    <row r="1115" spans="1:12" x14ac:dyDescent="0.3">
      <c r="A1115" s="54"/>
      <c r="B1115" s="54"/>
      <c r="C1115" s="54"/>
      <c r="D1115" s="54"/>
      <c r="E1115" s="55"/>
      <c r="F1115" s="57"/>
      <c r="G1115" s="57"/>
      <c r="H1115" s="54">
        <f t="shared" ref="H1115:H1178" si="90">+F1115-G1115</f>
        <v>0</v>
      </c>
      <c r="I1115" s="58"/>
      <c r="J1115" s="54">
        <f t="shared" ref="J1115:J1178" si="91">+H1115-H1115*I1115/100</f>
        <v>0</v>
      </c>
      <c r="K1115" s="57"/>
      <c r="L1115" s="54">
        <f t="shared" ref="L1115:L1178" si="92">+J1115*K1115</f>
        <v>0</v>
      </c>
    </row>
    <row r="1116" spans="1:12" x14ac:dyDescent="0.3">
      <c r="A1116" s="54"/>
      <c r="B1116" s="54"/>
      <c r="C1116" s="54"/>
      <c r="D1116" s="54"/>
      <c r="E1116" s="55"/>
      <c r="F1116" s="57"/>
      <c r="G1116" s="57"/>
      <c r="H1116" s="54">
        <f t="shared" si="90"/>
        <v>0</v>
      </c>
      <c r="I1116" s="58"/>
      <c r="J1116" s="54">
        <f t="shared" si="91"/>
        <v>0</v>
      </c>
      <c r="K1116" s="57"/>
      <c r="L1116" s="54">
        <f t="shared" si="92"/>
        <v>0</v>
      </c>
    </row>
    <row r="1117" spans="1:12" x14ac:dyDescent="0.3">
      <c r="A1117" s="54"/>
      <c r="B1117" s="54"/>
      <c r="C1117" s="54"/>
      <c r="D1117" s="54"/>
      <c r="E1117" s="55"/>
      <c r="F1117" s="57"/>
      <c r="G1117" s="57"/>
      <c r="H1117" s="54">
        <f t="shared" si="90"/>
        <v>0</v>
      </c>
      <c r="I1117" s="58"/>
      <c r="J1117" s="54">
        <f t="shared" si="91"/>
        <v>0</v>
      </c>
      <c r="K1117" s="57"/>
      <c r="L1117" s="54">
        <f t="shared" si="92"/>
        <v>0</v>
      </c>
    </row>
    <row r="1118" spans="1:12" x14ac:dyDescent="0.3">
      <c r="A1118" s="54"/>
      <c r="B1118" s="54"/>
      <c r="C1118" s="54"/>
      <c r="D1118" s="54"/>
      <c r="E1118" s="55"/>
      <c r="F1118" s="57"/>
      <c r="G1118" s="57"/>
      <c r="H1118" s="54">
        <f t="shared" si="90"/>
        <v>0</v>
      </c>
      <c r="I1118" s="58"/>
      <c r="J1118" s="54">
        <f t="shared" si="91"/>
        <v>0</v>
      </c>
      <c r="K1118" s="57"/>
      <c r="L1118" s="54">
        <f t="shared" si="92"/>
        <v>0</v>
      </c>
    </row>
    <row r="1119" spans="1:12" x14ac:dyDescent="0.3">
      <c r="A1119" s="54"/>
      <c r="B1119" s="54"/>
      <c r="C1119" s="54"/>
      <c r="D1119" s="54"/>
      <c r="E1119" s="55"/>
      <c r="F1119" s="57"/>
      <c r="G1119" s="57"/>
      <c r="H1119" s="54">
        <f t="shared" si="90"/>
        <v>0</v>
      </c>
      <c r="I1119" s="58"/>
      <c r="J1119" s="54">
        <f t="shared" si="91"/>
        <v>0</v>
      </c>
      <c r="K1119" s="57"/>
      <c r="L1119" s="54">
        <f t="shared" si="92"/>
        <v>0</v>
      </c>
    </row>
    <row r="1120" spans="1:12" x14ac:dyDescent="0.3">
      <c r="A1120" s="54"/>
      <c r="B1120" s="54"/>
      <c r="C1120" s="54"/>
      <c r="D1120" s="54"/>
      <c r="E1120" s="55"/>
      <c r="F1120" s="57"/>
      <c r="G1120" s="57"/>
      <c r="H1120" s="54">
        <f t="shared" si="90"/>
        <v>0</v>
      </c>
      <c r="I1120" s="58"/>
      <c r="J1120" s="54">
        <f t="shared" si="91"/>
        <v>0</v>
      </c>
      <c r="K1120" s="57"/>
      <c r="L1120" s="54">
        <f t="shared" si="92"/>
        <v>0</v>
      </c>
    </row>
    <row r="1121" spans="1:12" x14ac:dyDescent="0.3">
      <c r="A1121" s="54"/>
      <c r="B1121" s="54"/>
      <c r="C1121" s="54"/>
      <c r="D1121" s="54"/>
      <c r="E1121" s="55"/>
      <c r="F1121" s="57"/>
      <c r="G1121" s="57"/>
      <c r="H1121" s="54">
        <f t="shared" si="90"/>
        <v>0</v>
      </c>
      <c r="I1121" s="58"/>
      <c r="J1121" s="54">
        <f t="shared" si="91"/>
        <v>0</v>
      </c>
      <c r="K1121" s="57"/>
      <c r="L1121" s="54">
        <f t="shared" si="92"/>
        <v>0</v>
      </c>
    </row>
    <row r="1122" spans="1:12" x14ac:dyDescent="0.3">
      <c r="A1122" s="54"/>
      <c r="B1122" s="54"/>
      <c r="C1122" s="54"/>
      <c r="D1122" s="54"/>
      <c r="E1122" s="55"/>
      <c r="F1122" s="57"/>
      <c r="G1122" s="57"/>
      <c r="H1122" s="54">
        <f t="shared" si="90"/>
        <v>0</v>
      </c>
      <c r="I1122" s="58"/>
      <c r="J1122" s="54">
        <f t="shared" si="91"/>
        <v>0</v>
      </c>
      <c r="K1122" s="57"/>
      <c r="L1122" s="54">
        <f t="shared" si="92"/>
        <v>0</v>
      </c>
    </row>
    <row r="1123" spans="1:12" x14ac:dyDescent="0.3">
      <c r="A1123" s="54"/>
      <c r="B1123" s="54"/>
      <c r="C1123" s="54"/>
      <c r="D1123" s="54"/>
      <c r="E1123" s="55"/>
      <c r="F1123" s="57"/>
      <c r="G1123" s="57"/>
      <c r="H1123" s="54">
        <f t="shared" si="90"/>
        <v>0</v>
      </c>
      <c r="I1123" s="58"/>
      <c r="J1123" s="54">
        <f t="shared" si="91"/>
        <v>0</v>
      </c>
      <c r="K1123" s="57"/>
      <c r="L1123" s="54">
        <f t="shared" si="92"/>
        <v>0</v>
      </c>
    </row>
    <row r="1124" spans="1:12" x14ac:dyDescent="0.3">
      <c r="A1124" s="54"/>
      <c r="B1124" s="54"/>
      <c r="C1124" s="54"/>
      <c r="D1124" s="54"/>
      <c r="E1124" s="55"/>
      <c r="F1124" s="57"/>
      <c r="G1124" s="57"/>
      <c r="H1124" s="54">
        <f t="shared" si="90"/>
        <v>0</v>
      </c>
      <c r="I1124" s="58"/>
      <c r="J1124" s="54">
        <f t="shared" si="91"/>
        <v>0</v>
      </c>
      <c r="K1124" s="57"/>
      <c r="L1124" s="54">
        <f t="shared" si="92"/>
        <v>0</v>
      </c>
    </row>
    <row r="1125" spans="1:12" x14ac:dyDescent="0.3">
      <c r="A1125" s="54"/>
      <c r="B1125" s="54"/>
      <c r="C1125" s="54"/>
      <c r="D1125" s="54"/>
      <c r="E1125" s="55"/>
      <c r="F1125" s="57"/>
      <c r="G1125" s="57"/>
      <c r="H1125" s="54">
        <f t="shared" si="90"/>
        <v>0</v>
      </c>
      <c r="I1125" s="58"/>
      <c r="J1125" s="54">
        <f t="shared" si="91"/>
        <v>0</v>
      </c>
      <c r="K1125" s="57"/>
      <c r="L1125" s="54">
        <f t="shared" si="92"/>
        <v>0</v>
      </c>
    </row>
    <row r="1126" spans="1:12" x14ac:dyDescent="0.3">
      <c r="A1126" s="54"/>
      <c r="B1126" s="54"/>
      <c r="C1126" s="54"/>
      <c r="D1126" s="54"/>
      <c r="E1126" s="55"/>
      <c r="F1126" s="57"/>
      <c r="G1126" s="57"/>
      <c r="H1126" s="54">
        <f t="shared" si="90"/>
        <v>0</v>
      </c>
      <c r="I1126" s="58"/>
      <c r="J1126" s="54">
        <f t="shared" si="91"/>
        <v>0</v>
      </c>
      <c r="K1126" s="57"/>
      <c r="L1126" s="54">
        <f t="shared" si="92"/>
        <v>0</v>
      </c>
    </row>
    <row r="1127" spans="1:12" x14ac:dyDescent="0.3">
      <c r="A1127" s="54"/>
      <c r="B1127" s="54"/>
      <c r="C1127" s="54"/>
      <c r="D1127" s="54"/>
      <c r="E1127" s="55"/>
      <c r="F1127" s="57"/>
      <c r="G1127" s="57"/>
      <c r="H1127" s="54">
        <f t="shared" si="90"/>
        <v>0</v>
      </c>
      <c r="I1127" s="58"/>
      <c r="J1127" s="54">
        <f t="shared" si="91"/>
        <v>0</v>
      </c>
      <c r="K1127" s="57"/>
      <c r="L1127" s="54">
        <f t="shared" si="92"/>
        <v>0</v>
      </c>
    </row>
    <row r="1128" spans="1:12" x14ac:dyDescent="0.3">
      <c r="A1128" s="54"/>
      <c r="B1128" s="54"/>
      <c r="C1128" s="54"/>
      <c r="D1128" s="54"/>
      <c r="E1128" s="55"/>
      <c r="F1128" s="57"/>
      <c r="G1128" s="57"/>
      <c r="H1128" s="54">
        <f t="shared" si="90"/>
        <v>0</v>
      </c>
      <c r="I1128" s="58"/>
      <c r="J1128" s="54">
        <f t="shared" si="91"/>
        <v>0</v>
      </c>
      <c r="K1128" s="57"/>
      <c r="L1128" s="54">
        <f t="shared" si="92"/>
        <v>0</v>
      </c>
    </row>
    <row r="1129" spans="1:12" x14ac:dyDescent="0.3">
      <c r="A1129" s="54"/>
      <c r="B1129" s="54"/>
      <c r="C1129" s="54"/>
      <c r="D1129" s="54"/>
      <c r="E1129" s="55"/>
      <c r="F1129" s="57"/>
      <c r="G1129" s="57"/>
      <c r="H1129" s="54">
        <f t="shared" si="90"/>
        <v>0</v>
      </c>
      <c r="I1129" s="58"/>
      <c r="J1129" s="54">
        <f t="shared" si="91"/>
        <v>0</v>
      </c>
      <c r="K1129" s="57"/>
      <c r="L1129" s="54">
        <f t="shared" si="92"/>
        <v>0</v>
      </c>
    </row>
    <row r="1130" spans="1:12" x14ac:dyDescent="0.3">
      <c r="A1130" s="54"/>
      <c r="B1130" s="54"/>
      <c r="C1130" s="54"/>
      <c r="D1130" s="54"/>
      <c r="E1130" s="55"/>
      <c r="F1130" s="57"/>
      <c r="G1130" s="57"/>
      <c r="H1130" s="54">
        <f t="shared" si="90"/>
        <v>0</v>
      </c>
      <c r="I1130" s="58"/>
      <c r="J1130" s="54">
        <f t="shared" si="91"/>
        <v>0</v>
      </c>
      <c r="K1130" s="57"/>
      <c r="L1130" s="54">
        <f t="shared" si="92"/>
        <v>0</v>
      </c>
    </row>
    <row r="1131" spans="1:12" x14ac:dyDescent="0.3">
      <c r="A1131" s="54"/>
      <c r="B1131" s="54"/>
      <c r="C1131" s="54"/>
      <c r="D1131" s="54"/>
      <c r="E1131" s="55"/>
      <c r="F1131" s="57"/>
      <c r="G1131" s="57"/>
      <c r="H1131" s="54">
        <f t="shared" si="90"/>
        <v>0</v>
      </c>
      <c r="I1131" s="58"/>
      <c r="J1131" s="54">
        <f t="shared" si="91"/>
        <v>0</v>
      </c>
      <c r="K1131" s="57"/>
      <c r="L1131" s="54">
        <f t="shared" si="92"/>
        <v>0</v>
      </c>
    </row>
    <row r="1132" spans="1:12" x14ac:dyDescent="0.3">
      <c r="A1132" s="54"/>
      <c r="B1132" s="54"/>
      <c r="C1132" s="54"/>
      <c r="D1132" s="54"/>
      <c r="E1132" s="55"/>
      <c r="F1132" s="57"/>
      <c r="G1132" s="57"/>
      <c r="H1132" s="54">
        <f t="shared" si="90"/>
        <v>0</v>
      </c>
      <c r="I1132" s="58"/>
      <c r="J1132" s="54">
        <f t="shared" si="91"/>
        <v>0</v>
      </c>
      <c r="K1132" s="57"/>
      <c r="L1132" s="54">
        <f t="shared" si="92"/>
        <v>0</v>
      </c>
    </row>
    <row r="1133" spans="1:12" x14ac:dyDescent="0.3">
      <c r="A1133" s="54"/>
      <c r="B1133" s="54"/>
      <c r="C1133" s="54"/>
      <c r="D1133" s="54"/>
      <c r="E1133" s="55"/>
      <c r="F1133" s="57"/>
      <c r="G1133" s="57"/>
      <c r="H1133" s="54">
        <f t="shared" si="90"/>
        <v>0</v>
      </c>
      <c r="I1133" s="58"/>
      <c r="J1133" s="54">
        <f t="shared" si="91"/>
        <v>0</v>
      </c>
      <c r="K1133" s="57"/>
      <c r="L1133" s="54">
        <f t="shared" si="92"/>
        <v>0</v>
      </c>
    </row>
    <row r="1134" spans="1:12" x14ac:dyDescent="0.3">
      <c r="A1134" s="54"/>
      <c r="B1134" s="54"/>
      <c r="C1134" s="54"/>
      <c r="D1134" s="54"/>
      <c r="E1134" s="55"/>
      <c r="F1134" s="57"/>
      <c r="G1134" s="57"/>
      <c r="H1134" s="54">
        <f t="shared" si="90"/>
        <v>0</v>
      </c>
      <c r="I1134" s="58"/>
      <c r="J1134" s="54">
        <f t="shared" si="91"/>
        <v>0</v>
      </c>
      <c r="K1134" s="57"/>
      <c r="L1134" s="54">
        <f t="shared" si="92"/>
        <v>0</v>
      </c>
    </row>
    <row r="1135" spans="1:12" x14ac:dyDescent="0.3">
      <c r="A1135" s="54"/>
      <c r="B1135" s="54"/>
      <c r="C1135" s="54"/>
      <c r="D1135" s="54"/>
      <c r="E1135" s="55"/>
      <c r="F1135" s="57"/>
      <c r="G1135" s="57"/>
      <c r="H1135" s="54">
        <f t="shared" si="90"/>
        <v>0</v>
      </c>
      <c r="I1135" s="58"/>
      <c r="J1135" s="54">
        <f t="shared" si="91"/>
        <v>0</v>
      </c>
      <c r="K1135" s="57"/>
      <c r="L1135" s="54">
        <f t="shared" si="92"/>
        <v>0</v>
      </c>
    </row>
    <row r="1136" spans="1:12" x14ac:dyDescent="0.3">
      <c r="A1136" s="54"/>
      <c r="B1136" s="54"/>
      <c r="C1136" s="54"/>
      <c r="D1136" s="54"/>
      <c r="E1136" s="55"/>
      <c r="F1136" s="57"/>
      <c r="G1136" s="57"/>
      <c r="H1136" s="54">
        <f t="shared" si="90"/>
        <v>0</v>
      </c>
      <c r="I1136" s="58"/>
      <c r="J1136" s="54">
        <f t="shared" si="91"/>
        <v>0</v>
      </c>
      <c r="K1136" s="57"/>
      <c r="L1136" s="54">
        <f t="shared" si="92"/>
        <v>0</v>
      </c>
    </row>
    <row r="1137" spans="1:12" x14ac:dyDescent="0.3">
      <c r="A1137" s="54"/>
      <c r="B1137" s="54"/>
      <c r="C1137" s="54"/>
      <c r="D1137" s="54"/>
      <c r="E1137" s="55"/>
      <c r="F1137" s="57"/>
      <c r="G1137" s="57"/>
      <c r="H1137" s="54">
        <f t="shared" si="90"/>
        <v>0</v>
      </c>
      <c r="I1137" s="58"/>
      <c r="J1137" s="54">
        <f t="shared" si="91"/>
        <v>0</v>
      </c>
      <c r="K1137" s="57"/>
      <c r="L1137" s="54">
        <f t="shared" si="92"/>
        <v>0</v>
      </c>
    </row>
    <row r="1138" spans="1:12" x14ac:dyDescent="0.3">
      <c r="A1138" s="54"/>
      <c r="B1138" s="54"/>
      <c r="C1138" s="54"/>
      <c r="D1138" s="54"/>
      <c r="E1138" s="55"/>
      <c r="F1138" s="57"/>
      <c r="G1138" s="57"/>
      <c r="H1138" s="54">
        <f t="shared" si="90"/>
        <v>0</v>
      </c>
      <c r="I1138" s="58"/>
      <c r="J1138" s="54">
        <f t="shared" si="91"/>
        <v>0</v>
      </c>
      <c r="K1138" s="57"/>
      <c r="L1138" s="54">
        <f t="shared" si="92"/>
        <v>0</v>
      </c>
    </row>
    <row r="1139" spans="1:12" x14ac:dyDescent="0.3">
      <c r="A1139" s="54"/>
      <c r="B1139" s="54"/>
      <c r="C1139" s="54"/>
      <c r="D1139" s="54"/>
      <c r="E1139" s="55"/>
      <c r="F1139" s="57"/>
      <c r="G1139" s="57"/>
      <c r="H1139" s="54">
        <f t="shared" si="90"/>
        <v>0</v>
      </c>
      <c r="I1139" s="58"/>
      <c r="J1139" s="54">
        <f t="shared" si="91"/>
        <v>0</v>
      </c>
      <c r="K1139" s="57"/>
      <c r="L1139" s="54">
        <f t="shared" si="92"/>
        <v>0</v>
      </c>
    </row>
    <row r="1140" spans="1:12" x14ac:dyDescent="0.3">
      <c r="A1140" s="54"/>
      <c r="B1140" s="54"/>
      <c r="C1140" s="54"/>
      <c r="D1140" s="54"/>
      <c r="E1140" s="55"/>
      <c r="F1140" s="57"/>
      <c r="G1140" s="57"/>
      <c r="H1140" s="54">
        <f t="shared" si="90"/>
        <v>0</v>
      </c>
      <c r="I1140" s="58"/>
      <c r="J1140" s="54">
        <f t="shared" si="91"/>
        <v>0</v>
      </c>
      <c r="K1140" s="57"/>
      <c r="L1140" s="54">
        <f t="shared" si="92"/>
        <v>0</v>
      </c>
    </row>
    <row r="1141" spans="1:12" x14ac:dyDescent="0.3">
      <c r="A1141" s="54"/>
      <c r="B1141" s="54"/>
      <c r="C1141" s="54"/>
      <c r="D1141" s="54"/>
      <c r="E1141" s="55"/>
      <c r="F1141" s="57"/>
      <c r="G1141" s="57"/>
      <c r="H1141" s="54">
        <f t="shared" si="90"/>
        <v>0</v>
      </c>
      <c r="I1141" s="58"/>
      <c r="J1141" s="54">
        <f t="shared" si="91"/>
        <v>0</v>
      </c>
      <c r="K1141" s="57"/>
      <c r="L1141" s="54">
        <f t="shared" si="92"/>
        <v>0</v>
      </c>
    </row>
    <row r="1142" spans="1:12" x14ac:dyDescent="0.3">
      <c r="A1142" s="54"/>
      <c r="B1142" s="54"/>
      <c r="C1142" s="54"/>
      <c r="D1142" s="54"/>
      <c r="E1142" s="55"/>
      <c r="F1142" s="57"/>
      <c r="G1142" s="57"/>
      <c r="H1142" s="54">
        <f t="shared" si="90"/>
        <v>0</v>
      </c>
      <c r="I1142" s="58"/>
      <c r="J1142" s="54">
        <f t="shared" si="91"/>
        <v>0</v>
      </c>
      <c r="K1142" s="57"/>
      <c r="L1142" s="54">
        <f t="shared" si="92"/>
        <v>0</v>
      </c>
    </row>
    <row r="1143" spans="1:12" x14ac:dyDescent="0.3">
      <c r="A1143" s="54"/>
      <c r="B1143" s="54"/>
      <c r="C1143" s="54"/>
      <c r="D1143" s="54"/>
      <c r="E1143" s="55"/>
      <c r="F1143" s="57"/>
      <c r="G1143" s="57"/>
      <c r="H1143" s="54">
        <f t="shared" si="90"/>
        <v>0</v>
      </c>
      <c r="I1143" s="58"/>
      <c r="J1143" s="54">
        <f t="shared" si="91"/>
        <v>0</v>
      </c>
      <c r="K1143" s="57"/>
      <c r="L1143" s="54">
        <f t="shared" si="92"/>
        <v>0</v>
      </c>
    </row>
    <row r="1144" spans="1:12" x14ac:dyDescent="0.3">
      <c r="A1144" s="54"/>
      <c r="B1144" s="54"/>
      <c r="C1144" s="54"/>
      <c r="D1144" s="54"/>
      <c r="E1144" s="55"/>
      <c r="F1144" s="57"/>
      <c r="G1144" s="57"/>
      <c r="H1144" s="54">
        <f t="shared" si="90"/>
        <v>0</v>
      </c>
      <c r="I1144" s="58"/>
      <c r="J1144" s="54">
        <f t="shared" si="91"/>
        <v>0</v>
      </c>
      <c r="K1144" s="57"/>
      <c r="L1144" s="54">
        <f t="shared" si="92"/>
        <v>0</v>
      </c>
    </row>
    <row r="1145" spans="1:12" x14ac:dyDescent="0.3">
      <c r="A1145" s="54"/>
      <c r="B1145" s="54"/>
      <c r="C1145" s="54"/>
      <c r="D1145" s="54"/>
      <c r="E1145" s="55"/>
      <c r="F1145" s="57"/>
      <c r="G1145" s="57"/>
      <c r="H1145" s="54">
        <f t="shared" si="90"/>
        <v>0</v>
      </c>
      <c r="I1145" s="58"/>
      <c r="J1145" s="54">
        <f t="shared" si="91"/>
        <v>0</v>
      </c>
      <c r="K1145" s="57"/>
      <c r="L1145" s="54">
        <f t="shared" si="92"/>
        <v>0</v>
      </c>
    </row>
    <row r="1146" spans="1:12" x14ac:dyDescent="0.3">
      <c r="A1146" s="54"/>
      <c r="B1146" s="54"/>
      <c r="C1146" s="54"/>
      <c r="D1146" s="54"/>
      <c r="E1146" s="55"/>
      <c r="F1146" s="57"/>
      <c r="G1146" s="57"/>
      <c r="H1146" s="54">
        <f t="shared" si="90"/>
        <v>0</v>
      </c>
      <c r="I1146" s="58"/>
      <c r="J1146" s="54">
        <f t="shared" si="91"/>
        <v>0</v>
      </c>
      <c r="K1146" s="57"/>
      <c r="L1146" s="54">
        <f t="shared" si="92"/>
        <v>0</v>
      </c>
    </row>
    <row r="1147" spans="1:12" x14ac:dyDescent="0.3">
      <c r="A1147" s="54"/>
      <c r="B1147" s="54"/>
      <c r="C1147" s="54"/>
      <c r="D1147" s="54"/>
      <c r="E1147" s="55"/>
      <c r="F1147" s="57"/>
      <c r="G1147" s="57"/>
      <c r="H1147" s="54">
        <f t="shared" si="90"/>
        <v>0</v>
      </c>
      <c r="I1147" s="58"/>
      <c r="J1147" s="54">
        <f t="shared" si="91"/>
        <v>0</v>
      </c>
      <c r="K1147" s="57"/>
      <c r="L1147" s="54">
        <f t="shared" si="92"/>
        <v>0</v>
      </c>
    </row>
    <row r="1148" spans="1:12" x14ac:dyDescent="0.3">
      <c r="A1148" s="54"/>
      <c r="B1148" s="54"/>
      <c r="C1148" s="54"/>
      <c r="D1148" s="54"/>
      <c r="E1148" s="55"/>
      <c r="F1148" s="57"/>
      <c r="G1148" s="57"/>
      <c r="H1148" s="54">
        <f t="shared" si="90"/>
        <v>0</v>
      </c>
      <c r="I1148" s="58"/>
      <c r="J1148" s="54">
        <f t="shared" si="91"/>
        <v>0</v>
      </c>
      <c r="K1148" s="57"/>
      <c r="L1148" s="54">
        <f t="shared" si="92"/>
        <v>0</v>
      </c>
    </row>
    <row r="1149" spans="1:12" x14ac:dyDescent="0.3">
      <c r="A1149" s="54"/>
      <c r="B1149" s="54"/>
      <c r="C1149" s="54"/>
      <c r="D1149" s="54"/>
      <c r="E1149" s="55"/>
      <c r="F1149" s="57"/>
      <c r="G1149" s="57"/>
      <c r="H1149" s="54">
        <f t="shared" si="90"/>
        <v>0</v>
      </c>
      <c r="I1149" s="58"/>
      <c r="J1149" s="54">
        <f t="shared" si="91"/>
        <v>0</v>
      </c>
      <c r="K1149" s="57"/>
      <c r="L1149" s="54">
        <f t="shared" si="92"/>
        <v>0</v>
      </c>
    </row>
    <row r="1150" spans="1:12" x14ac:dyDescent="0.3">
      <c r="A1150" s="54"/>
      <c r="B1150" s="54"/>
      <c r="C1150" s="54"/>
      <c r="D1150" s="54"/>
      <c r="E1150" s="55"/>
      <c r="F1150" s="57"/>
      <c r="G1150" s="57"/>
      <c r="H1150" s="54">
        <f t="shared" si="90"/>
        <v>0</v>
      </c>
      <c r="I1150" s="58"/>
      <c r="J1150" s="54">
        <f t="shared" si="91"/>
        <v>0</v>
      </c>
      <c r="K1150" s="57"/>
      <c r="L1150" s="54">
        <f t="shared" si="92"/>
        <v>0</v>
      </c>
    </row>
    <row r="1151" spans="1:12" x14ac:dyDescent="0.3">
      <c r="A1151" s="54"/>
      <c r="B1151" s="54"/>
      <c r="C1151" s="54"/>
      <c r="D1151" s="54"/>
      <c r="E1151" s="55"/>
      <c r="F1151" s="57"/>
      <c r="G1151" s="57"/>
      <c r="H1151" s="54">
        <f t="shared" si="90"/>
        <v>0</v>
      </c>
      <c r="I1151" s="58"/>
      <c r="J1151" s="54">
        <f t="shared" si="91"/>
        <v>0</v>
      </c>
      <c r="K1151" s="57"/>
      <c r="L1151" s="54">
        <f t="shared" si="92"/>
        <v>0</v>
      </c>
    </row>
    <row r="1152" spans="1:12" x14ac:dyDescent="0.3">
      <c r="A1152" s="54"/>
      <c r="B1152" s="54"/>
      <c r="C1152" s="54"/>
      <c r="D1152" s="54"/>
      <c r="E1152" s="55"/>
      <c r="F1152" s="57"/>
      <c r="G1152" s="57"/>
      <c r="H1152" s="54">
        <f t="shared" si="90"/>
        <v>0</v>
      </c>
      <c r="I1152" s="58"/>
      <c r="J1152" s="54">
        <f t="shared" si="91"/>
        <v>0</v>
      </c>
      <c r="K1152" s="57"/>
      <c r="L1152" s="54">
        <f t="shared" si="92"/>
        <v>0</v>
      </c>
    </row>
    <row r="1153" spans="1:12" x14ac:dyDescent="0.3">
      <c r="A1153" s="54"/>
      <c r="B1153" s="54"/>
      <c r="C1153" s="54"/>
      <c r="D1153" s="54"/>
      <c r="E1153" s="55"/>
      <c r="F1153" s="57"/>
      <c r="G1153" s="57"/>
      <c r="H1153" s="54">
        <f t="shared" si="90"/>
        <v>0</v>
      </c>
      <c r="I1153" s="58"/>
      <c r="J1153" s="54">
        <f t="shared" si="91"/>
        <v>0</v>
      </c>
      <c r="K1153" s="57"/>
      <c r="L1153" s="54">
        <f t="shared" si="92"/>
        <v>0</v>
      </c>
    </row>
    <row r="1154" spans="1:12" x14ac:dyDescent="0.3">
      <c r="A1154" s="54"/>
      <c r="B1154" s="54"/>
      <c r="C1154" s="54"/>
      <c r="D1154" s="54"/>
      <c r="E1154" s="55"/>
      <c r="F1154" s="57"/>
      <c r="G1154" s="57"/>
      <c r="H1154" s="54">
        <f t="shared" si="90"/>
        <v>0</v>
      </c>
      <c r="I1154" s="58"/>
      <c r="J1154" s="54">
        <f t="shared" si="91"/>
        <v>0</v>
      </c>
      <c r="K1154" s="57"/>
      <c r="L1154" s="54">
        <f t="shared" si="92"/>
        <v>0</v>
      </c>
    </row>
    <row r="1155" spans="1:12" x14ac:dyDescent="0.3">
      <c r="A1155" s="54"/>
      <c r="B1155" s="54"/>
      <c r="C1155" s="54"/>
      <c r="D1155" s="54"/>
      <c r="E1155" s="55"/>
      <c r="F1155" s="57"/>
      <c r="G1155" s="57"/>
      <c r="H1155" s="54">
        <f t="shared" si="90"/>
        <v>0</v>
      </c>
      <c r="I1155" s="58"/>
      <c r="J1155" s="54">
        <f t="shared" si="91"/>
        <v>0</v>
      </c>
      <c r="K1155" s="57"/>
      <c r="L1155" s="54">
        <f t="shared" si="92"/>
        <v>0</v>
      </c>
    </row>
    <row r="1156" spans="1:12" x14ac:dyDescent="0.3">
      <c r="A1156" s="54"/>
      <c r="B1156" s="54"/>
      <c r="C1156" s="54"/>
      <c r="D1156" s="54"/>
      <c r="E1156" s="55"/>
      <c r="F1156" s="57"/>
      <c r="G1156" s="57"/>
      <c r="H1156" s="54">
        <f t="shared" si="90"/>
        <v>0</v>
      </c>
      <c r="I1156" s="58"/>
      <c r="J1156" s="54">
        <f t="shared" si="91"/>
        <v>0</v>
      </c>
      <c r="K1156" s="57"/>
      <c r="L1156" s="54">
        <f t="shared" si="92"/>
        <v>0</v>
      </c>
    </row>
    <row r="1157" spans="1:12" x14ac:dyDescent="0.3">
      <c r="A1157" s="54"/>
      <c r="B1157" s="54"/>
      <c r="C1157" s="54"/>
      <c r="D1157" s="54"/>
      <c r="E1157" s="55"/>
      <c r="F1157" s="57"/>
      <c r="G1157" s="57"/>
      <c r="H1157" s="54">
        <f t="shared" si="90"/>
        <v>0</v>
      </c>
      <c r="I1157" s="58"/>
      <c r="J1157" s="54">
        <f t="shared" si="91"/>
        <v>0</v>
      </c>
      <c r="K1157" s="57"/>
      <c r="L1157" s="54">
        <f t="shared" si="92"/>
        <v>0</v>
      </c>
    </row>
    <row r="1158" spans="1:12" x14ac:dyDescent="0.3">
      <c r="A1158" s="54"/>
      <c r="B1158" s="54"/>
      <c r="C1158" s="54"/>
      <c r="D1158" s="54"/>
      <c r="E1158" s="55"/>
      <c r="F1158" s="57"/>
      <c r="G1158" s="57"/>
      <c r="H1158" s="54">
        <f t="shared" si="90"/>
        <v>0</v>
      </c>
      <c r="I1158" s="58"/>
      <c r="J1158" s="54">
        <f t="shared" si="91"/>
        <v>0</v>
      </c>
      <c r="K1158" s="57"/>
      <c r="L1158" s="54">
        <f t="shared" si="92"/>
        <v>0</v>
      </c>
    </row>
    <row r="1159" spans="1:12" x14ac:dyDescent="0.3">
      <c r="A1159" s="54"/>
      <c r="B1159" s="54"/>
      <c r="C1159" s="54"/>
      <c r="D1159" s="54"/>
      <c r="E1159" s="55"/>
      <c r="F1159" s="57"/>
      <c r="G1159" s="57"/>
      <c r="H1159" s="54">
        <f t="shared" si="90"/>
        <v>0</v>
      </c>
      <c r="I1159" s="58"/>
      <c r="J1159" s="54">
        <f t="shared" si="91"/>
        <v>0</v>
      </c>
      <c r="K1159" s="57"/>
      <c r="L1159" s="54">
        <f t="shared" si="92"/>
        <v>0</v>
      </c>
    </row>
    <row r="1160" spans="1:12" x14ac:dyDescent="0.3">
      <c r="A1160" s="54"/>
      <c r="B1160" s="54"/>
      <c r="C1160" s="54"/>
      <c r="D1160" s="54"/>
      <c r="E1160" s="55"/>
      <c r="F1160" s="57"/>
      <c r="G1160" s="57"/>
      <c r="H1160" s="54">
        <f t="shared" si="90"/>
        <v>0</v>
      </c>
      <c r="I1160" s="58"/>
      <c r="J1160" s="54">
        <f t="shared" si="91"/>
        <v>0</v>
      </c>
      <c r="K1160" s="57"/>
      <c r="L1160" s="54">
        <f t="shared" si="92"/>
        <v>0</v>
      </c>
    </row>
    <row r="1161" spans="1:12" x14ac:dyDescent="0.3">
      <c r="A1161" s="54"/>
      <c r="B1161" s="54"/>
      <c r="C1161" s="54"/>
      <c r="D1161" s="54"/>
      <c r="E1161" s="55"/>
      <c r="F1161" s="57"/>
      <c r="G1161" s="57"/>
      <c r="H1161" s="54">
        <f t="shared" si="90"/>
        <v>0</v>
      </c>
      <c r="I1161" s="58"/>
      <c r="J1161" s="54">
        <f t="shared" si="91"/>
        <v>0</v>
      </c>
      <c r="K1161" s="57"/>
      <c r="L1161" s="54">
        <f t="shared" si="92"/>
        <v>0</v>
      </c>
    </row>
    <row r="1162" spans="1:12" x14ac:dyDescent="0.3">
      <c r="A1162" s="54"/>
      <c r="B1162" s="54"/>
      <c r="C1162" s="54"/>
      <c r="D1162" s="54"/>
      <c r="E1162" s="55"/>
      <c r="F1162" s="57"/>
      <c r="G1162" s="57"/>
      <c r="H1162" s="54">
        <f t="shared" si="90"/>
        <v>0</v>
      </c>
      <c r="I1162" s="58"/>
      <c r="J1162" s="54">
        <f t="shared" si="91"/>
        <v>0</v>
      </c>
      <c r="K1162" s="57"/>
      <c r="L1162" s="54">
        <f t="shared" si="92"/>
        <v>0</v>
      </c>
    </row>
    <row r="1163" spans="1:12" x14ac:dyDescent="0.3">
      <c r="A1163" s="54"/>
      <c r="B1163" s="54"/>
      <c r="C1163" s="54"/>
      <c r="D1163" s="54"/>
      <c r="E1163" s="55"/>
      <c r="F1163" s="57"/>
      <c r="G1163" s="57"/>
      <c r="H1163" s="54">
        <f t="shared" si="90"/>
        <v>0</v>
      </c>
      <c r="I1163" s="58"/>
      <c r="J1163" s="54">
        <f t="shared" si="91"/>
        <v>0</v>
      </c>
      <c r="K1163" s="57"/>
      <c r="L1163" s="54">
        <f t="shared" si="92"/>
        <v>0</v>
      </c>
    </row>
    <row r="1164" spans="1:12" x14ac:dyDescent="0.3">
      <c r="A1164" s="54"/>
      <c r="B1164" s="54"/>
      <c r="C1164" s="54"/>
      <c r="D1164" s="54"/>
      <c r="E1164" s="55"/>
      <c r="F1164" s="57"/>
      <c r="G1164" s="57"/>
      <c r="H1164" s="54">
        <f t="shared" si="90"/>
        <v>0</v>
      </c>
      <c r="I1164" s="58"/>
      <c r="J1164" s="54">
        <f t="shared" si="91"/>
        <v>0</v>
      </c>
      <c r="K1164" s="57"/>
      <c r="L1164" s="54">
        <f t="shared" si="92"/>
        <v>0</v>
      </c>
    </row>
    <row r="1165" spans="1:12" x14ac:dyDescent="0.3">
      <c r="A1165" s="54"/>
      <c r="B1165" s="54"/>
      <c r="C1165" s="54"/>
      <c r="D1165" s="54"/>
      <c r="E1165" s="55"/>
      <c r="F1165" s="57"/>
      <c r="G1165" s="57"/>
      <c r="H1165" s="54">
        <f t="shared" si="90"/>
        <v>0</v>
      </c>
      <c r="I1165" s="58"/>
      <c r="J1165" s="54">
        <f t="shared" si="91"/>
        <v>0</v>
      </c>
      <c r="K1165" s="57"/>
      <c r="L1165" s="54">
        <f t="shared" si="92"/>
        <v>0</v>
      </c>
    </row>
    <row r="1166" spans="1:12" x14ac:dyDescent="0.3">
      <c r="A1166" s="54"/>
      <c r="B1166" s="54"/>
      <c r="C1166" s="54"/>
      <c r="D1166" s="54"/>
      <c r="E1166" s="55"/>
      <c r="F1166" s="57"/>
      <c r="G1166" s="57"/>
      <c r="H1166" s="54">
        <f t="shared" si="90"/>
        <v>0</v>
      </c>
      <c r="I1166" s="58"/>
      <c r="J1166" s="54">
        <f t="shared" si="91"/>
        <v>0</v>
      </c>
      <c r="K1166" s="57"/>
      <c r="L1166" s="54">
        <f t="shared" si="92"/>
        <v>0</v>
      </c>
    </row>
    <row r="1167" spans="1:12" x14ac:dyDescent="0.3">
      <c r="A1167" s="54"/>
      <c r="B1167" s="54"/>
      <c r="C1167" s="54"/>
      <c r="D1167" s="54"/>
      <c r="E1167" s="55"/>
      <c r="F1167" s="57"/>
      <c r="G1167" s="57"/>
      <c r="H1167" s="54">
        <f t="shared" si="90"/>
        <v>0</v>
      </c>
      <c r="I1167" s="58"/>
      <c r="J1167" s="54">
        <f t="shared" si="91"/>
        <v>0</v>
      </c>
      <c r="K1167" s="57"/>
      <c r="L1167" s="54">
        <f t="shared" si="92"/>
        <v>0</v>
      </c>
    </row>
    <row r="1168" spans="1:12" x14ac:dyDescent="0.3">
      <c r="A1168" s="54"/>
      <c r="B1168" s="54"/>
      <c r="C1168" s="54"/>
      <c r="D1168" s="54"/>
      <c r="E1168" s="55"/>
      <c r="F1168" s="57"/>
      <c r="G1168" s="57"/>
      <c r="H1168" s="54">
        <f t="shared" si="90"/>
        <v>0</v>
      </c>
      <c r="I1168" s="58"/>
      <c r="J1168" s="54">
        <f t="shared" si="91"/>
        <v>0</v>
      </c>
      <c r="K1168" s="57"/>
      <c r="L1168" s="54">
        <f t="shared" si="92"/>
        <v>0</v>
      </c>
    </row>
    <row r="1169" spans="1:12" x14ac:dyDescent="0.3">
      <c r="A1169" s="54"/>
      <c r="B1169" s="54"/>
      <c r="C1169" s="54"/>
      <c r="D1169" s="54"/>
      <c r="E1169" s="55"/>
      <c r="F1169" s="57"/>
      <c r="G1169" s="57"/>
      <c r="H1169" s="54">
        <f t="shared" si="90"/>
        <v>0</v>
      </c>
      <c r="I1169" s="58"/>
      <c r="J1169" s="54">
        <f t="shared" si="91"/>
        <v>0</v>
      </c>
      <c r="K1169" s="57"/>
      <c r="L1169" s="54">
        <f t="shared" si="92"/>
        <v>0</v>
      </c>
    </row>
    <row r="1170" spans="1:12" x14ac:dyDescent="0.3">
      <c r="A1170" s="54"/>
      <c r="B1170" s="54"/>
      <c r="C1170" s="54"/>
      <c r="D1170" s="54"/>
      <c r="E1170" s="55"/>
      <c r="F1170" s="57"/>
      <c r="G1170" s="57"/>
      <c r="H1170" s="54">
        <f t="shared" si="90"/>
        <v>0</v>
      </c>
      <c r="I1170" s="58"/>
      <c r="J1170" s="54">
        <f t="shared" si="91"/>
        <v>0</v>
      </c>
      <c r="K1170" s="57"/>
      <c r="L1170" s="54">
        <f t="shared" si="92"/>
        <v>0</v>
      </c>
    </row>
    <row r="1171" spans="1:12" x14ac:dyDescent="0.3">
      <c r="A1171" s="54"/>
      <c r="B1171" s="54"/>
      <c r="C1171" s="54"/>
      <c r="D1171" s="54"/>
      <c r="E1171" s="55"/>
      <c r="F1171" s="57"/>
      <c r="G1171" s="57"/>
      <c r="H1171" s="54">
        <f t="shared" si="90"/>
        <v>0</v>
      </c>
      <c r="I1171" s="58"/>
      <c r="J1171" s="54">
        <f t="shared" si="91"/>
        <v>0</v>
      </c>
      <c r="K1171" s="57"/>
      <c r="L1171" s="54">
        <f t="shared" si="92"/>
        <v>0</v>
      </c>
    </row>
    <row r="1172" spans="1:12" x14ac:dyDescent="0.3">
      <c r="A1172" s="54"/>
      <c r="B1172" s="54"/>
      <c r="C1172" s="54"/>
      <c r="D1172" s="54"/>
      <c r="E1172" s="55"/>
      <c r="F1172" s="57"/>
      <c r="G1172" s="57"/>
      <c r="H1172" s="54">
        <f t="shared" si="90"/>
        <v>0</v>
      </c>
      <c r="I1172" s="58"/>
      <c r="J1172" s="54">
        <f t="shared" si="91"/>
        <v>0</v>
      </c>
      <c r="K1172" s="57"/>
      <c r="L1172" s="54">
        <f t="shared" si="92"/>
        <v>0</v>
      </c>
    </row>
    <row r="1173" spans="1:12" x14ac:dyDescent="0.3">
      <c r="A1173" s="54"/>
      <c r="B1173" s="54"/>
      <c r="C1173" s="54"/>
      <c r="D1173" s="54"/>
      <c r="E1173" s="55"/>
      <c r="F1173" s="57"/>
      <c r="G1173" s="57"/>
      <c r="H1173" s="54">
        <f t="shared" si="90"/>
        <v>0</v>
      </c>
      <c r="I1173" s="58"/>
      <c r="J1173" s="54">
        <f t="shared" si="91"/>
        <v>0</v>
      </c>
      <c r="K1173" s="57"/>
      <c r="L1173" s="54">
        <f t="shared" si="92"/>
        <v>0</v>
      </c>
    </row>
    <row r="1174" spans="1:12" x14ac:dyDescent="0.3">
      <c r="A1174" s="54"/>
      <c r="B1174" s="54"/>
      <c r="C1174" s="54"/>
      <c r="D1174" s="54"/>
      <c r="E1174" s="55"/>
      <c r="F1174" s="57"/>
      <c r="G1174" s="57"/>
      <c r="H1174" s="54">
        <f t="shared" si="90"/>
        <v>0</v>
      </c>
      <c r="I1174" s="58"/>
      <c r="J1174" s="54">
        <f t="shared" si="91"/>
        <v>0</v>
      </c>
      <c r="K1174" s="57"/>
      <c r="L1174" s="54">
        <f t="shared" si="92"/>
        <v>0</v>
      </c>
    </row>
    <row r="1175" spans="1:12" x14ac:dyDescent="0.3">
      <c r="A1175" s="54"/>
      <c r="B1175" s="54"/>
      <c r="C1175" s="54"/>
      <c r="D1175" s="54"/>
      <c r="E1175" s="55"/>
      <c r="F1175" s="57"/>
      <c r="G1175" s="57"/>
      <c r="H1175" s="54">
        <f t="shared" si="90"/>
        <v>0</v>
      </c>
      <c r="I1175" s="58"/>
      <c r="J1175" s="54">
        <f t="shared" si="91"/>
        <v>0</v>
      </c>
      <c r="K1175" s="57"/>
      <c r="L1175" s="54">
        <f t="shared" si="92"/>
        <v>0</v>
      </c>
    </row>
    <row r="1176" spans="1:12" x14ac:dyDescent="0.3">
      <c r="A1176" s="54"/>
      <c r="B1176" s="54"/>
      <c r="C1176" s="54"/>
      <c r="D1176" s="54"/>
      <c r="E1176" s="55"/>
      <c r="F1176" s="57"/>
      <c r="G1176" s="57"/>
      <c r="H1176" s="54">
        <f t="shared" si="90"/>
        <v>0</v>
      </c>
      <c r="I1176" s="58"/>
      <c r="J1176" s="54">
        <f t="shared" si="91"/>
        <v>0</v>
      </c>
      <c r="K1176" s="57"/>
      <c r="L1176" s="54">
        <f t="shared" si="92"/>
        <v>0</v>
      </c>
    </row>
    <row r="1177" spans="1:12" x14ac:dyDescent="0.3">
      <c r="A1177" s="54"/>
      <c r="B1177" s="54"/>
      <c r="C1177" s="54"/>
      <c r="D1177" s="54"/>
      <c r="E1177" s="55"/>
      <c r="F1177" s="57"/>
      <c r="G1177" s="57"/>
      <c r="H1177" s="54">
        <f t="shared" si="90"/>
        <v>0</v>
      </c>
      <c r="I1177" s="58"/>
      <c r="J1177" s="54">
        <f t="shared" si="91"/>
        <v>0</v>
      </c>
      <c r="K1177" s="57"/>
      <c r="L1177" s="54">
        <f t="shared" si="92"/>
        <v>0</v>
      </c>
    </row>
    <row r="1178" spans="1:12" x14ac:dyDescent="0.3">
      <c r="A1178" s="54"/>
      <c r="B1178" s="54"/>
      <c r="C1178" s="54"/>
      <c r="D1178" s="54"/>
      <c r="E1178" s="55"/>
      <c r="F1178" s="57"/>
      <c r="G1178" s="57"/>
      <c r="H1178" s="54">
        <f t="shared" si="90"/>
        <v>0</v>
      </c>
      <c r="I1178" s="58"/>
      <c r="J1178" s="54">
        <f t="shared" si="91"/>
        <v>0</v>
      </c>
      <c r="K1178" s="57"/>
      <c r="L1178" s="54">
        <f t="shared" si="92"/>
        <v>0</v>
      </c>
    </row>
    <row r="1179" spans="1:12" x14ac:dyDescent="0.3">
      <c r="A1179" s="54"/>
      <c r="B1179" s="54"/>
      <c r="C1179" s="54"/>
      <c r="D1179" s="54"/>
      <c r="E1179" s="55"/>
      <c r="F1179" s="57"/>
      <c r="G1179" s="57"/>
      <c r="H1179" s="54">
        <f t="shared" ref="H1179:H1242" si="93">+F1179-G1179</f>
        <v>0</v>
      </c>
      <c r="I1179" s="58"/>
      <c r="J1179" s="54">
        <f t="shared" ref="J1179:J1242" si="94">+H1179-H1179*I1179/100</f>
        <v>0</v>
      </c>
      <c r="K1179" s="57"/>
      <c r="L1179" s="54">
        <f t="shared" ref="L1179:L1242" si="95">+J1179*K1179</f>
        <v>0</v>
      </c>
    </row>
    <row r="1180" spans="1:12" x14ac:dyDescent="0.3">
      <c r="A1180" s="54"/>
      <c r="B1180" s="54"/>
      <c r="C1180" s="54"/>
      <c r="D1180" s="54"/>
      <c r="E1180" s="55"/>
      <c r="F1180" s="57"/>
      <c r="G1180" s="57"/>
      <c r="H1180" s="54">
        <f t="shared" si="93"/>
        <v>0</v>
      </c>
      <c r="I1180" s="58"/>
      <c r="J1180" s="54">
        <f t="shared" si="94"/>
        <v>0</v>
      </c>
      <c r="K1180" s="57"/>
      <c r="L1180" s="54">
        <f t="shared" si="95"/>
        <v>0</v>
      </c>
    </row>
    <row r="1181" spans="1:12" x14ac:dyDescent="0.3">
      <c r="A1181" s="54"/>
      <c r="B1181" s="54"/>
      <c r="C1181" s="54"/>
      <c r="D1181" s="54"/>
      <c r="E1181" s="55"/>
      <c r="F1181" s="57"/>
      <c r="G1181" s="57"/>
      <c r="H1181" s="54">
        <f t="shared" si="93"/>
        <v>0</v>
      </c>
      <c r="I1181" s="58"/>
      <c r="J1181" s="54">
        <f t="shared" si="94"/>
        <v>0</v>
      </c>
      <c r="K1181" s="57"/>
      <c r="L1181" s="54">
        <f t="shared" si="95"/>
        <v>0</v>
      </c>
    </row>
    <row r="1182" spans="1:12" x14ac:dyDescent="0.3">
      <c r="A1182" s="54"/>
      <c r="B1182" s="54"/>
      <c r="C1182" s="54"/>
      <c r="D1182" s="54"/>
      <c r="E1182" s="55"/>
      <c r="F1182" s="57"/>
      <c r="G1182" s="57"/>
      <c r="H1182" s="54">
        <f t="shared" si="93"/>
        <v>0</v>
      </c>
      <c r="I1182" s="58"/>
      <c r="J1182" s="54">
        <f t="shared" si="94"/>
        <v>0</v>
      </c>
      <c r="K1182" s="57"/>
      <c r="L1182" s="54">
        <f t="shared" si="95"/>
        <v>0</v>
      </c>
    </row>
    <row r="1183" spans="1:12" x14ac:dyDescent="0.3">
      <c r="A1183" s="54"/>
      <c r="B1183" s="54"/>
      <c r="C1183" s="54"/>
      <c r="D1183" s="54"/>
      <c r="E1183" s="55"/>
      <c r="F1183" s="57"/>
      <c r="G1183" s="57"/>
      <c r="H1183" s="54">
        <f t="shared" si="93"/>
        <v>0</v>
      </c>
      <c r="I1183" s="58"/>
      <c r="J1183" s="54">
        <f t="shared" si="94"/>
        <v>0</v>
      </c>
      <c r="K1183" s="57"/>
      <c r="L1183" s="54">
        <f t="shared" si="95"/>
        <v>0</v>
      </c>
    </row>
    <row r="1184" spans="1:12" x14ac:dyDescent="0.3">
      <c r="A1184" s="54"/>
      <c r="B1184" s="54"/>
      <c r="C1184" s="54"/>
      <c r="D1184" s="54"/>
      <c r="E1184" s="55"/>
      <c r="F1184" s="57"/>
      <c r="G1184" s="57"/>
      <c r="H1184" s="54">
        <f t="shared" si="93"/>
        <v>0</v>
      </c>
      <c r="I1184" s="58"/>
      <c r="J1184" s="54">
        <f t="shared" si="94"/>
        <v>0</v>
      </c>
      <c r="K1184" s="57"/>
      <c r="L1184" s="54">
        <f t="shared" si="95"/>
        <v>0</v>
      </c>
    </row>
    <row r="1185" spans="1:12" x14ac:dyDescent="0.3">
      <c r="A1185" s="54"/>
      <c r="B1185" s="54"/>
      <c r="C1185" s="54"/>
      <c r="D1185" s="54"/>
      <c r="E1185" s="55"/>
      <c r="F1185" s="57"/>
      <c r="G1185" s="57"/>
      <c r="H1185" s="54">
        <f t="shared" si="93"/>
        <v>0</v>
      </c>
      <c r="I1185" s="58"/>
      <c r="J1185" s="54">
        <f t="shared" si="94"/>
        <v>0</v>
      </c>
      <c r="K1185" s="57"/>
      <c r="L1185" s="54">
        <f t="shared" si="95"/>
        <v>0</v>
      </c>
    </row>
    <row r="1186" spans="1:12" x14ac:dyDescent="0.3">
      <c r="A1186" s="54"/>
      <c r="B1186" s="54"/>
      <c r="C1186" s="54"/>
      <c r="D1186" s="54"/>
      <c r="E1186" s="55"/>
      <c r="F1186" s="57"/>
      <c r="G1186" s="57"/>
      <c r="H1186" s="54">
        <f t="shared" si="93"/>
        <v>0</v>
      </c>
      <c r="I1186" s="58"/>
      <c r="J1186" s="54">
        <f t="shared" si="94"/>
        <v>0</v>
      </c>
      <c r="K1186" s="57"/>
      <c r="L1186" s="54">
        <f t="shared" si="95"/>
        <v>0</v>
      </c>
    </row>
    <row r="1187" spans="1:12" x14ac:dyDescent="0.3">
      <c r="A1187" s="54"/>
      <c r="B1187" s="54"/>
      <c r="C1187" s="54"/>
      <c r="D1187" s="54"/>
      <c r="E1187" s="55"/>
      <c r="F1187" s="57"/>
      <c r="G1187" s="57"/>
      <c r="H1187" s="54">
        <f t="shared" si="93"/>
        <v>0</v>
      </c>
      <c r="I1187" s="58"/>
      <c r="J1187" s="54">
        <f t="shared" si="94"/>
        <v>0</v>
      </c>
      <c r="K1187" s="57"/>
      <c r="L1187" s="54">
        <f t="shared" si="95"/>
        <v>0</v>
      </c>
    </row>
    <row r="1188" spans="1:12" x14ac:dyDescent="0.3">
      <c r="A1188" s="54"/>
      <c r="B1188" s="54"/>
      <c r="C1188" s="54"/>
      <c r="D1188" s="54"/>
      <c r="E1188" s="55"/>
      <c r="F1188" s="57"/>
      <c r="G1188" s="57"/>
      <c r="H1188" s="54">
        <f t="shared" si="93"/>
        <v>0</v>
      </c>
      <c r="I1188" s="58"/>
      <c r="J1188" s="54">
        <f t="shared" si="94"/>
        <v>0</v>
      </c>
      <c r="K1188" s="57"/>
      <c r="L1188" s="54">
        <f t="shared" si="95"/>
        <v>0</v>
      </c>
    </row>
    <row r="1189" spans="1:12" x14ac:dyDescent="0.3">
      <c r="A1189" s="54"/>
      <c r="B1189" s="54"/>
      <c r="C1189" s="54"/>
      <c r="D1189" s="54"/>
      <c r="E1189" s="55"/>
      <c r="F1189" s="57"/>
      <c r="G1189" s="57"/>
      <c r="H1189" s="54">
        <f t="shared" si="93"/>
        <v>0</v>
      </c>
      <c r="I1189" s="58"/>
      <c r="J1189" s="54">
        <f t="shared" si="94"/>
        <v>0</v>
      </c>
      <c r="K1189" s="57"/>
      <c r="L1189" s="54">
        <f t="shared" si="95"/>
        <v>0</v>
      </c>
    </row>
    <row r="1190" spans="1:12" x14ac:dyDescent="0.3">
      <c r="A1190" s="54"/>
      <c r="B1190" s="54"/>
      <c r="C1190" s="54"/>
      <c r="D1190" s="54"/>
      <c r="E1190" s="55"/>
      <c r="F1190" s="57"/>
      <c r="G1190" s="57"/>
      <c r="H1190" s="54">
        <f t="shared" si="93"/>
        <v>0</v>
      </c>
      <c r="I1190" s="58"/>
      <c r="J1190" s="54">
        <f t="shared" si="94"/>
        <v>0</v>
      </c>
      <c r="K1190" s="57"/>
      <c r="L1190" s="54">
        <f t="shared" si="95"/>
        <v>0</v>
      </c>
    </row>
    <row r="1191" spans="1:12" x14ac:dyDescent="0.3">
      <c r="A1191" s="54"/>
      <c r="B1191" s="54"/>
      <c r="C1191" s="54"/>
      <c r="D1191" s="54"/>
      <c r="E1191" s="55"/>
      <c r="F1191" s="57"/>
      <c r="G1191" s="57"/>
      <c r="H1191" s="54">
        <f t="shared" si="93"/>
        <v>0</v>
      </c>
      <c r="I1191" s="58"/>
      <c r="J1191" s="54">
        <f t="shared" si="94"/>
        <v>0</v>
      </c>
      <c r="K1191" s="57"/>
      <c r="L1191" s="54">
        <f t="shared" si="95"/>
        <v>0</v>
      </c>
    </row>
    <row r="1192" spans="1:12" x14ac:dyDescent="0.3">
      <c r="A1192" s="54"/>
      <c r="B1192" s="54"/>
      <c r="C1192" s="54"/>
      <c r="D1192" s="54"/>
      <c r="E1192" s="55"/>
      <c r="F1192" s="57"/>
      <c r="G1192" s="57"/>
      <c r="H1192" s="54">
        <f t="shared" si="93"/>
        <v>0</v>
      </c>
      <c r="I1192" s="58"/>
      <c r="J1192" s="54">
        <f t="shared" si="94"/>
        <v>0</v>
      </c>
      <c r="K1192" s="57"/>
      <c r="L1192" s="54">
        <f t="shared" si="95"/>
        <v>0</v>
      </c>
    </row>
    <row r="1193" spans="1:12" x14ac:dyDescent="0.3">
      <c r="A1193" s="54"/>
      <c r="B1193" s="54"/>
      <c r="C1193" s="54"/>
      <c r="D1193" s="54"/>
      <c r="E1193" s="55"/>
      <c r="F1193" s="57"/>
      <c r="G1193" s="57"/>
      <c r="H1193" s="54">
        <f t="shared" si="93"/>
        <v>0</v>
      </c>
      <c r="I1193" s="58"/>
      <c r="J1193" s="54">
        <f t="shared" si="94"/>
        <v>0</v>
      </c>
      <c r="K1193" s="57"/>
      <c r="L1193" s="54">
        <f t="shared" si="95"/>
        <v>0</v>
      </c>
    </row>
    <row r="1194" spans="1:12" x14ac:dyDescent="0.3">
      <c r="A1194" s="54"/>
      <c r="B1194" s="54"/>
      <c r="C1194" s="54"/>
      <c r="D1194" s="54"/>
      <c r="E1194" s="55"/>
      <c r="F1194" s="57"/>
      <c r="G1194" s="57"/>
      <c r="H1194" s="54">
        <f t="shared" si="93"/>
        <v>0</v>
      </c>
      <c r="I1194" s="58"/>
      <c r="J1194" s="54">
        <f t="shared" si="94"/>
        <v>0</v>
      </c>
      <c r="K1194" s="57"/>
      <c r="L1194" s="54">
        <f t="shared" si="95"/>
        <v>0</v>
      </c>
    </row>
    <row r="1195" spans="1:12" x14ac:dyDescent="0.3">
      <c r="A1195" s="54"/>
      <c r="B1195" s="54"/>
      <c r="C1195" s="54"/>
      <c r="D1195" s="54"/>
      <c r="E1195" s="55"/>
      <c r="F1195" s="57"/>
      <c r="G1195" s="57"/>
      <c r="H1195" s="54">
        <f t="shared" si="93"/>
        <v>0</v>
      </c>
      <c r="I1195" s="58"/>
      <c r="J1195" s="54">
        <f t="shared" si="94"/>
        <v>0</v>
      </c>
      <c r="K1195" s="57"/>
      <c r="L1195" s="54">
        <f t="shared" si="95"/>
        <v>0</v>
      </c>
    </row>
    <row r="1196" spans="1:12" x14ac:dyDescent="0.3">
      <c r="A1196" s="54"/>
      <c r="B1196" s="54"/>
      <c r="C1196" s="54"/>
      <c r="D1196" s="54"/>
      <c r="E1196" s="55"/>
      <c r="F1196" s="57"/>
      <c r="G1196" s="57"/>
      <c r="H1196" s="54">
        <f t="shared" si="93"/>
        <v>0</v>
      </c>
      <c r="I1196" s="58"/>
      <c r="J1196" s="54">
        <f t="shared" si="94"/>
        <v>0</v>
      </c>
      <c r="K1196" s="57"/>
      <c r="L1196" s="54">
        <f t="shared" si="95"/>
        <v>0</v>
      </c>
    </row>
    <row r="1197" spans="1:12" x14ac:dyDescent="0.3">
      <c r="A1197" s="54"/>
      <c r="B1197" s="54"/>
      <c r="C1197" s="54"/>
      <c r="D1197" s="54"/>
      <c r="E1197" s="55"/>
      <c r="F1197" s="57"/>
      <c r="G1197" s="57"/>
      <c r="H1197" s="54">
        <f t="shared" si="93"/>
        <v>0</v>
      </c>
      <c r="I1197" s="58"/>
      <c r="J1197" s="54">
        <f t="shared" si="94"/>
        <v>0</v>
      </c>
      <c r="K1197" s="57"/>
      <c r="L1197" s="54">
        <f t="shared" si="95"/>
        <v>0</v>
      </c>
    </row>
    <row r="1198" spans="1:12" x14ac:dyDescent="0.3">
      <c r="A1198" s="54"/>
      <c r="B1198" s="54"/>
      <c r="C1198" s="54"/>
      <c r="D1198" s="54"/>
      <c r="E1198" s="55"/>
      <c r="F1198" s="57"/>
      <c r="G1198" s="57"/>
      <c r="H1198" s="54">
        <f t="shared" si="93"/>
        <v>0</v>
      </c>
      <c r="I1198" s="58"/>
      <c r="J1198" s="54">
        <f t="shared" si="94"/>
        <v>0</v>
      </c>
      <c r="K1198" s="57"/>
      <c r="L1198" s="54">
        <f t="shared" si="95"/>
        <v>0</v>
      </c>
    </row>
    <row r="1199" spans="1:12" x14ac:dyDescent="0.3">
      <c r="A1199" s="54"/>
      <c r="B1199" s="54"/>
      <c r="C1199" s="54"/>
      <c r="D1199" s="54"/>
      <c r="E1199" s="55"/>
      <c r="F1199" s="57"/>
      <c r="G1199" s="57"/>
      <c r="H1199" s="54">
        <f t="shared" si="93"/>
        <v>0</v>
      </c>
      <c r="I1199" s="58"/>
      <c r="J1199" s="54">
        <f t="shared" si="94"/>
        <v>0</v>
      </c>
      <c r="K1199" s="57"/>
      <c r="L1199" s="54">
        <f t="shared" si="95"/>
        <v>0</v>
      </c>
    </row>
    <row r="1200" spans="1:12" x14ac:dyDescent="0.3">
      <c r="A1200" s="54"/>
      <c r="B1200" s="54"/>
      <c r="C1200" s="54"/>
      <c r="D1200" s="54"/>
      <c r="E1200" s="55"/>
      <c r="F1200" s="57"/>
      <c r="G1200" s="57"/>
      <c r="H1200" s="54">
        <f t="shared" si="93"/>
        <v>0</v>
      </c>
      <c r="I1200" s="58"/>
      <c r="J1200" s="54">
        <f t="shared" si="94"/>
        <v>0</v>
      </c>
      <c r="K1200" s="57"/>
      <c r="L1200" s="54">
        <f t="shared" si="95"/>
        <v>0</v>
      </c>
    </row>
    <row r="1201" spans="1:12" x14ac:dyDescent="0.3">
      <c r="A1201" s="54"/>
      <c r="B1201" s="54"/>
      <c r="C1201" s="54"/>
      <c r="D1201" s="54"/>
      <c r="E1201" s="55"/>
      <c r="F1201" s="57"/>
      <c r="G1201" s="57"/>
      <c r="H1201" s="54">
        <f t="shared" si="93"/>
        <v>0</v>
      </c>
      <c r="I1201" s="58"/>
      <c r="J1201" s="54">
        <f t="shared" si="94"/>
        <v>0</v>
      </c>
      <c r="K1201" s="57"/>
      <c r="L1201" s="54">
        <f t="shared" si="95"/>
        <v>0</v>
      </c>
    </row>
    <row r="1202" spans="1:12" x14ac:dyDescent="0.3">
      <c r="A1202" s="54"/>
      <c r="B1202" s="54"/>
      <c r="C1202" s="54"/>
      <c r="D1202" s="54"/>
      <c r="E1202" s="55"/>
      <c r="F1202" s="57"/>
      <c r="G1202" s="57"/>
      <c r="H1202" s="54">
        <f t="shared" si="93"/>
        <v>0</v>
      </c>
      <c r="I1202" s="58"/>
      <c r="J1202" s="54">
        <f t="shared" si="94"/>
        <v>0</v>
      </c>
      <c r="K1202" s="57"/>
      <c r="L1202" s="54">
        <f t="shared" si="95"/>
        <v>0</v>
      </c>
    </row>
    <row r="1203" spans="1:12" x14ac:dyDescent="0.3">
      <c r="A1203" s="54"/>
      <c r="B1203" s="54"/>
      <c r="C1203" s="54"/>
      <c r="D1203" s="54"/>
      <c r="E1203" s="55"/>
      <c r="F1203" s="57"/>
      <c r="G1203" s="57"/>
      <c r="H1203" s="54">
        <f t="shared" si="93"/>
        <v>0</v>
      </c>
      <c r="I1203" s="58"/>
      <c r="J1203" s="54">
        <f t="shared" si="94"/>
        <v>0</v>
      </c>
      <c r="K1203" s="57"/>
      <c r="L1203" s="54">
        <f t="shared" si="95"/>
        <v>0</v>
      </c>
    </row>
    <row r="1204" spans="1:12" x14ac:dyDescent="0.3">
      <c r="A1204" s="54"/>
      <c r="B1204" s="54"/>
      <c r="C1204" s="54"/>
      <c r="D1204" s="54"/>
      <c r="E1204" s="55"/>
      <c r="F1204" s="57"/>
      <c r="G1204" s="57"/>
      <c r="H1204" s="54">
        <f t="shared" si="93"/>
        <v>0</v>
      </c>
      <c r="I1204" s="58"/>
      <c r="J1204" s="54">
        <f t="shared" si="94"/>
        <v>0</v>
      </c>
      <c r="K1204" s="57"/>
      <c r="L1204" s="54">
        <f t="shared" si="95"/>
        <v>0</v>
      </c>
    </row>
    <row r="1205" spans="1:12" x14ac:dyDescent="0.3">
      <c r="A1205" s="54"/>
      <c r="B1205" s="54"/>
      <c r="C1205" s="54"/>
      <c r="D1205" s="54"/>
      <c r="E1205" s="55"/>
      <c r="F1205" s="57"/>
      <c r="G1205" s="57"/>
      <c r="H1205" s="54">
        <f t="shared" si="93"/>
        <v>0</v>
      </c>
      <c r="I1205" s="58"/>
      <c r="J1205" s="54">
        <f t="shared" si="94"/>
        <v>0</v>
      </c>
      <c r="K1205" s="57"/>
      <c r="L1205" s="54">
        <f t="shared" si="95"/>
        <v>0</v>
      </c>
    </row>
    <row r="1206" spans="1:12" x14ac:dyDescent="0.3">
      <c r="A1206" s="54"/>
      <c r="B1206" s="54"/>
      <c r="C1206" s="54"/>
      <c r="D1206" s="54"/>
      <c r="E1206" s="55"/>
      <c r="F1206" s="57"/>
      <c r="G1206" s="57"/>
      <c r="H1206" s="54">
        <f t="shared" si="93"/>
        <v>0</v>
      </c>
      <c r="I1206" s="58"/>
      <c r="J1206" s="54">
        <f t="shared" si="94"/>
        <v>0</v>
      </c>
      <c r="K1206" s="57"/>
      <c r="L1206" s="54">
        <f t="shared" si="95"/>
        <v>0</v>
      </c>
    </row>
    <row r="1207" spans="1:12" x14ac:dyDescent="0.3">
      <c r="A1207" s="54"/>
      <c r="B1207" s="54"/>
      <c r="C1207" s="54"/>
      <c r="D1207" s="54"/>
      <c r="E1207" s="55"/>
      <c r="F1207" s="57"/>
      <c r="G1207" s="57"/>
      <c r="H1207" s="54">
        <f t="shared" si="93"/>
        <v>0</v>
      </c>
      <c r="I1207" s="58"/>
      <c r="J1207" s="54">
        <f t="shared" si="94"/>
        <v>0</v>
      </c>
      <c r="K1207" s="57"/>
      <c r="L1207" s="54">
        <f t="shared" si="95"/>
        <v>0</v>
      </c>
    </row>
    <row r="1208" spans="1:12" x14ac:dyDescent="0.3">
      <c r="A1208" s="54"/>
      <c r="B1208" s="54"/>
      <c r="C1208" s="54"/>
      <c r="D1208" s="54"/>
      <c r="E1208" s="55"/>
      <c r="F1208" s="57"/>
      <c r="G1208" s="57"/>
      <c r="H1208" s="54">
        <f t="shared" si="93"/>
        <v>0</v>
      </c>
      <c r="I1208" s="58"/>
      <c r="J1208" s="54">
        <f t="shared" si="94"/>
        <v>0</v>
      </c>
      <c r="K1208" s="57"/>
      <c r="L1208" s="54">
        <f t="shared" si="95"/>
        <v>0</v>
      </c>
    </row>
    <row r="1209" spans="1:12" x14ac:dyDescent="0.3">
      <c r="A1209" s="54"/>
      <c r="B1209" s="54"/>
      <c r="C1209" s="54"/>
      <c r="D1209" s="54"/>
      <c r="E1209" s="55"/>
      <c r="F1209" s="57"/>
      <c r="G1209" s="57"/>
      <c r="H1209" s="54">
        <f t="shared" si="93"/>
        <v>0</v>
      </c>
      <c r="I1209" s="58"/>
      <c r="J1209" s="54">
        <f t="shared" si="94"/>
        <v>0</v>
      </c>
      <c r="K1209" s="57"/>
      <c r="L1209" s="54">
        <f t="shared" si="95"/>
        <v>0</v>
      </c>
    </row>
    <row r="1210" spans="1:12" x14ac:dyDescent="0.3">
      <c r="A1210" s="54"/>
      <c r="B1210" s="54"/>
      <c r="C1210" s="54"/>
      <c r="D1210" s="54"/>
      <c r="E1210" s="55"/>
      <c r="F1210" s="57"/>
      <c r="G1210" s="57"/>
      <c r="H1210" s="54">
        <f t="shared" si="93"/>
        <v>0</v>
      </c>
      <c r="I1210" s="58"/>
      <c r="J1210" s="54">
        <f t="shared" si="94"/>
        <v>0</v>
      </c>
      <c r="K1210" s="57"/>
      <c r="L1210" s="54">
        <f t="shared" si="95"/>
        <v>0</v>
      </c>
    </row>
    <row r="1211" spans="1:12" x14ac:dyDescent="0.3">
      <c r="A1211" s="54"/>
      <c r="B1211" s="54"/>
      <c r="C1211" s="54"/>
      <c r="D1211" s="54"/>
      <c r="E1211" s="55"/>
      <c r="F1211" s="57"/>
      <c r="G1211" s="57"/>
      <c r="H1211" s="54">
        <f t="shared" si="93"/>
        <v>0</v>
      </c>
      <c r="I1211" s="58"/>
      <c r="J1211" s="54">
        <f t="shared" si="94"/>
        <v>0</v>
      </c>
      <c r="K1211" s="57"/>
      <c r="L1211" s="54">
        <f t="shared" si="95"/>
        <v>0</v>
      </c>
    </row>
    <row r="1212" spans="1:12" x14ac:dyDescent="0.3">
      <c r="A1212" s="54"/>
      <c r="B1212" s="54"/>
      <c r="C1212" s="54"/>
      <c r="D1212" s="54"/>
      <c r="E1212" s="55"/>
      <c r="F1212" s="57"/>
      <c r="G1212" s="57"/>
      <c r="H1212" s="54">
        <f t="shared" si="93"/>
        <v>0</v>
      </c>
      <c r="I1212" s="58"/>
      <c r="J1212" s="54">
        <f t="shared" si="94"/>
        <v>0</v>
      </c>
      <c r="K1212" s="57"/>
      <c r="L1212" s="54">
        <f t="shared" si="95"/>
        <v>0</v>
      </c>
    </row>
    <row r="1213" spans="1:12" x14ac:dyDescent="0.3">
      <c r="A1213" s="54"/>
      <c r="B1213" s="54"/>
      <c r="C1213" s="54"/>
      <c r="D1213" s="54"/>
      <c r="E1213" s="55"/>
      <c r="F1213" s="57"/>
      <c r="G1213" s="57"/>
      <c r="H1213" s="54">
        <f t="shared" si="93"/>
        <v>0</v>
      </c>
      <c r="I1213" s="58"/>
      <c r="J1213" s="54">
        <f t="shared" si="94"/>
        <v>0</v>
      </c>
      <c r="K1213" s="57"/>
      <c r="L1213" s="54">
        <f t="shared" si="95"/>
        <v>0</v>
      </c>
    </row>
    <row r="1214" spans="1:12" x14ac:dyDescent="0.3">
      <c r="A1214" s="54"/>
      <c r="B1214" s="54"/>
      <c r="C1214" s="54"/>
      <c r="D1214" s="54"/>
      <c r="E1214" s="55"/>
      <c r="F1214" s="57"/>
      <c r="G1214" s="57"/>
      <c r="H1214" s="54">
        <f t="shared" si="93"/>
        <v>0</v>
      </c>
      <c r="I1214" s="58"/>
      <c r="J1214" s="54">
        <f t="shared" si="94"/>
        <v>0</v>
      </c>
      <c r="K1214" s="57"/>
      <c r="L1214" s="54">
        <f t="shared" si="95"/>
        <v>0</v>
      </c>
    </row>
    <row r="1215" spans="1:12" x14ac:dyDescent="0.3">
      <c r="A1215" s="54"/>
      <c r="B1215" s="54"/>
      <c r="C1215" s="54"/>
      <c r="D1215" s="54"/>
      <c r="E1215" s="55"/>
      <c r="F1215" s="57"/>
      <c r="G1215" s="57"/>
      <c r="H1215" s="54">
        <f t="shared" si="93"/>
        <v>0</v>
      </c>
      <c r="I1215" s="58"/>
      <c r="J1215" s="54">
        <f t="shared" si="94"/>
        <v>0</v>
      </c>
      <c r="K1215" s="57"/>
      <c r="L1215" s="54">
        <f t="shared" si="95"/>
        <v>0</v>
      </c>
    </row>
    <row r="1216" spans="1:12" x14ac:dyDescent="0.3">
      <c r="A1216" s="54"/>
      <c r="B1216" s="54"/>
      <c r="C1216" s="54"/>
      <c r="D1216" s="54"/>
      <c r="E1216" s="55"/>
      <c r="F1216" s="57"/>
      <c r="G1216" s="57"/>
      <c r="H1216" s="54">
        <f t="shared" si="93"/>
        <v>0</v>
      </c>
      <c r="I1216" s="58"/>
      <c r="J1216" s="54">
        <f t="shared" si="94"/>
        <v>0</v>
      </c>
      <c r="K1216" s="57"/>
      <c r="L1216" s="54">
        <f t="shared" si="95"/>
        <v>0</v>
      </c>
    </row>
    <row r="1217" spans="1:12" x14ac:dyDescent="0.3">
      <c r="A1217" s="54"/>
      <c r="B1217" s="54"/>
      <c r="C1217" s="54"/>
      <c r="D1217" s="54"/>
      <c r="E1217" s="55"/>
      <c r="F1217" s="57"/>
      <c r="G1217" s="57"/>
      <c r="H1217" s="54">
        <f t="shared" si="93"/>
        <v>0</v>
      </c>
      <c r="I1217" s="58"/>
      <c r="J1217" s="54">
        <f t="shared" si="94"/>
        <v>0</v>
      </c>
      <c r="K1217" s="57"/>
      <c r="L1217" s="54">
        <f t="shared" si="95"/>
        <v>0</v>
      </c>
    </row>
    <row r="1218" spans="1:12" x14ac:dyDescent="0.3">
      <c r="A1218" s="54"/>
      <c r="B1218" s="54"/>
      <c r="C1218" s="54"/>
      <c r="D1218" s="54"/>
      <c r="E1218" s="55"/>
      <c r="F1218" s="57"/>
      <c r="G1218" s="57"/>
      <c r="H1218" s="54">
        <f t="shared" si="93"/>
        <v>0</v>
      </c>
      <c r="I1218" s="58"/>
      <c r="J1218" s="54">
        <f t="shared" si="94"/>
        <v>0</v>
      </c>
      <c r="K1218" s="57"/>
      <c r="L1218" s="54">
        <f t="shared" si="95"/>
        <v>0</v>
      </c>
    </row>
    <row r="1219" spans="1:12" x14ac:dyDescent="0.3">
      <c r="A1219" s="54"/>
      <c r="B1219" s="54"/>
      <c r="C1219" s="54"/>
      <c r="D1219" s="54"/>
      <c r="E1219" s="55"/>
      <c r="F1219" s="57"/>
      <c r="G1219" s="57"/>
      <c r="H1219" s="54">
        <f t="shared" si="93"/>
        <v>0</v>
      </c>
      <c r="I1219" s="58"/>
      <c r="J1219" s="54">
        <f t="shared" si="94"/>
        <v>0</v>
      </c>
      <c r="K1219" s="57"/>
      <c r="L1219" s="54">
        <f t="shared" si="95"/>
        <v>0</v>
      </c>
    </row>
    <row r="1220" spans="1:12" x14ac:dyDescent="0.3">
      <c r="A1220" s="54"/>
      <c r="B1220" s="54"/>
      <c r="C1220" s="54"/>
      <c r="D1220" s="54"/>
      <c r="E1220" s="55"/>
      <c r="F1220" s="57"/>
      <c r="G1220" s="57"/>
      <c r="H1220" s="54">
        <f t="shared" si="93"/>
        <v>0</v>
      </c>
      <c r="I1220" s="58"/>
      <c r="J1220" s="54">
        <f t="shared" si="94"/>
        <v>0</v>
      </c>
      <c r="K1220" s="57"/>
      <c r="L1220" s="54">
        <f t="shared" si="95"/>
        <v>0</v>
      </c>
    </row>
    <row r="1221" spans="1:12" x14ac:dyDescent="0.3">
      <c r="A1221" s="54"/>
      <c r="B1221" s="54"/>
      <c r="C1221" s="54"/>
      <c r="D1221" s="54"/>
      <c r="E1221" s="55"/>
      <c r="F1221" s="57"/>
      <c r="G1221" s="57"/>
      <c r="H1221" s="54">
        <f t="shared" si="93"/>
        <v>0</v>
      </c>
      <c r="I1221" s="58"/>
      <c r="J1221" s="54">
        <f t="shared" si="94"/>
        <v>0</v>
      </c>
      <c r="K1221" s="57"/>
      <c r="L1221" s="54">
        <f t="shared" si="95"/>
        <v>0</v>
      </c>
    </row>
    <row r="1222" spans="1:12" x14ac:dyDescent="0.3">
      <c r="A1222" s="54"/>
      <c r="B1222" s="54"/>
      <c r="C1222" s="54"/>
      <c r="D1222" s="54"/>
      <c r="E1222" s="55"/>
      <c r="F1222" s="57"/>
      <c r="G1222" s="57"/>
      <c r="H1222" s="54">
        <f t="shared" si="93"/>
        <v>0</v>
      </c>
      <c r="I1222" s="58"/>
      <c r="J1222" s="54">
        <f t="shared" si="94"/>
        <v>0</v>
      </c>
      <c r="K1222" s="57"/>
      <c r="L1222" s="54">
        <f t="shared" si="95"/>
        <v>0</v>
      </c>
    </row>
    <row r="1223" spans="1:12" x14ac:dyDescent="0.3">
      <c r="A1223" s="54"/>
      <c r="B1223" s="54"/>
      <c r="C1223" s="54"/>
      <c r="D1223" s="54"/>
      <c r="E1223" s="55"/>
      <c r="F1223" s="57"/>
      <c r="G1223" s="57"/>
      <c r="H1223" s="54">
        <f t="shared" si="93"/>
        <v>0</v>
      </c>
      <c r="I1223" s="58"/>
      <c r="J1223" s="54">
        <f t="shared" si="94"/>
        <v>0</v>
      </c>
      <c r="K1223" s="57"/>
      <c r="L1223" s="54">
        <f t="shared" si="95"/>
        <v>0</v>
      </c>
    </row>
    <row r="1224" spans="1:12" x14ac:dyDescent="0.3">
      <c r="A1224" s="54"/>
      <c r="B1224" s="54"/>
      <c r="C1224" s="54"/>
      <c r="D1224" s="54"/>
      <c r="E1224" s="55"/>
      <c r="F1224" s="57"/>
      <c r="G1224" s="57"/>
      <c r="H1224" s="54">
        <f t="shared" si="93"/>
        <v>0</v>
      </c>
      <c r="I1224" s="58"/>
      <c r="J1224" s="54">
        <f t="shared" si="94"/>
        <v>0</v>
      </c>
      <c r="K1224" s="57"/>
      <c r="L1224" s="54">
        <f t="shared" si="95"/>
        <v>0</v>
      </c>
    </row>
    <row r="1225" spans="1:12" x14ac:dyDescent="0.3">
      <c r="A1225" s="54"/>
      <c r="B1225" s="54"/>
      <c r="C1225" s="54"/>
      <c r="D1225" s="54"/>
      <c r="E1225" s="55"/>
      <c r="F1225" s="57"/>
      <c r="G1225" s="57"/>
      <c r="H1225" s="54">
        <f t="shared" si="93"/>
        <v>0</v>
      </c>
      <c r="I1225" s="58"/>
      <c r="J1225" s="54">
        <f t="shared" si="94"/>
        <v>0</v>
      </c>
      <c r="K1225" s="57"/>
      <c r="L1225" s="54">
        <f t="shared" si="95"/>
        <v>0</v>
      </c>
    </row>
    <row r="1226" spans="1:12" x14ac:dyDescent="0.3">
      <c r="A1226" s="54"/>
      <c r="B1226" s="54"/>
      <c r="C1226" s="54"/>
      <c r="D1226" s="54"/>
      <c r="E1226" s="55"/>
      <c r="F1226" s="57"/>
      <c r="G1226" s="57"/>
      <c r="H1226" s="54">
        <f t="shared" si="93"/>
        <v>0</v>
      </c>
      <c r="I1226" s="58"/>
      <c r="J1226" s="54">
        <f t="shared" si="94"/>
        <v>0</v>
      </c>
      <c r="K1226" s="57"/>
      <c r="L1226" s="54">
        <f t="shared" si="95"/>
        <v>0</v>
      </c>
    </row>
    <row r="1227" spans="1:12" x14ac:dyDescent="0.3">
      <c r="A1227" s="54"/>
      <c r="B1227" s="54"/>
      <c r="C1227" s="54"/>
      <c r="D1227" s="54"/>
      <c r="E1227" s="55"/>
      <c r="F1227" s="57"/>
      <c r="G1227" s="57"/>
      <c r="H1227" s="54">
        <f t="shared" si="93"/>
        <v>0</v>
      </c>
      <c r="I1227" s="58"/>
      <c r="J1227" s="54">
        <f t="shared" si="94"/>
        <v>0</v>
      </c>
      <c r="K1227" s="57"/>
      <c r="L1227" s="54">
        <f t="shared" si="95"/>
        <v>0</v>
      </c>
    </row>
    <row r="1228" spans="1:12" x14ac:dyDescent="0.3">
      <c r="A1228" s="54"/>
      <c r="B1228" s="54"/>
      <c r="C1228" s="54"/>
      <c r="D1228" s="54"/>
      <c r="E1228" s="55"/>
      <c r="F1228" s="57"/>
      <c r="G1228" s="57"/>
      <c r="H1228" s="54">
        <f t="shared" si="93"/>
        <v>0</v>
      </c>
      <c r="I1228" s="58"/>
      <c r="J1228" s="54">
        <f t="shared" si="94"/>
        <v>0</v>
      </c>
      <c r="K1228" s="57"/>
      <c r="L1228" s="54">
        <f t="shared" si="95"/>
        <v>0</v>
      </c>
    </row>
    <row r="1229" spans="1:12" x14ac:dyDescent="0.3">
      <c r="A1229" s="54"/>
      <c r="B1229" s="54"/>
      <c r="C1229" s="54"/>
      <c r="D1229" s="54"/>
      <c r="E1229" s="55"/>
      <c r="F1229" s="57"/>
      <c r="G1229" s="57"/>
      <c r="H1229" s="54">
        <f t="shared" si="93"/>
        <v>0</v>
      </c>
      <c r="I1229" s="58"/>
      <c r="J1229" s="54">
        <f t="shared" si="94"/>
        <v>0</v>
      </c>
      <c r="K1229" s="57"/>
      <c r="L1229" s="54">
        <f t="shared" si="95"/>
        <v>0</v>
      </c>
    </row>
    <row r="1230" spans="1:12" x14ac:dyDescent="0.3">
      <c r="A1230" s="54"/>
      <c r="B1230" s="54"/>
      <c r="C1230" s="54"/>
      <c r="D1230" s="54"/>
      <c r="E1230" s="55"/>
      <c r="F1230" s="57"/>
      <c r="G1230" s="57"/>
      <c r="H1230" s="54">
        <f t="shared" si="93"/>
        <v>0</v>
      </c>
      <c r="I1230" s="58"/>
      <c r="J1230" s="54">
        <f t="shared" si="94"/>
        <v>0</v>
      </c>
      <c r="K1230" s="57"/>
      <c r="L1230" s="54">
        <f t="shared" si="95"/>
        <v>0</v>
      </c>
    </row>
    <row r="1231" spans="1:12" x14ac:dyDescent="0.3">
      <c r="A1231" s="54"/>
      <c r="B1231" s="54"/>
      <c r="C1231" s="54"/>
      <c r="D1231" s="54"/>
      <c r="E1231" s="55"/>
      <c r="F1231" s="57"/>
      <c r="G1231" s="57"/>
      <c r="H1231" s="54">
        <f t="shared" si="93"/>
        <v>0</v>
      </c>
      <c r="I1231" s="58"/>
      <c r="J1231" s="54">
        <f t="shared" si="94"/>
        <v>0</v>
      </c>
      <c r="K1231" s="57"/>
      <c r="L1231" s="54">
        <f t="shared" si="95"/>
        <v>0</v>
      </c>
    </row>
    <row r="1232" spans="1:12" x14ac:dyDescent="0.3">
      <c r="A1232" s="54"/>
      <c r="B1232" s="54"/>
      <c r="C1232" s="54"/>
      <c r="D1232" s="54"/>
      <c r="E1232" s="55"/>
      <c r="F1232" s="57"/>
      <c r="G1232" s="57"/>
      <c r="H1232" s="54">
        <f t="shared" si="93"/>
        <v>0</v>
      </c>
      <c r="I1232" s="58"/>
      <c r="J1232" s="54">
        <f t="shared" si="94"/>
        <v>0</v>
      </c>
      <c r="K1232" s="57"/>
      <c r="L1232" s="54">
        <f t="shared" si="95"/>
        <v>0</v>
      </c>
    </row>
    <row r="1233" spans="1:12" x14ac:dyDescent="0.3">
      <c r="A1233" s="54"/>
      <c r="B1233" s="54"/>
      <c r="C1233" s="54"/>
      <c r="D1233" s="54"/>
      <c r="E1233" s="55"/>
      <c r="F1233" s="57"/>
      <c r="G1233" s="57"/>
      <c r="H1233" s="54">
        <f t="shared" si="93"/>
        <v>0</v>
      </c>
      <c r="I1233" s="58"/>
      <c r="J1233" s="54">
        <f t="shared" si="94"/>
        <v>0</v>
      </c>
      <c r="K1233" s="57"/>
      <c r="L1233" s="54">
        <f t="shared" si="95"/>
        <v>0</v>
      </c>
    </row>
    <row r="1234" spans="1:12" x14ac:dyDescent="0.3">
      <c r="A1234" s="54"/>
      <c r="B1234" s="54"/>
      <c r="C1234" s="54"/>
      <c r="D1234" s="54"/>
      <c r="E1234" s="55"/>
      <c r="F1234" s="57"/>
      <c r="G1234" s="57"/>
      <c r="H1234" s="54">
        <f t="shared" si="93"/>
        <v>0</v>
      </c>
      <c r="I1234" s="58"/>
      <c r="J1234" s="54">
        <f t="shared" si="94"/>
        <v>0</v>
      </c>
      <c r="K1234" s="57"/>
      <c r="L1234" s="54">
        <f t="shared" si="95"/>
        <v>0</v>
      </c>
    </row>
    <row r="1235" spans="1:12" x14ac:dyDescent="0.3">
      <c r="A1235" s="54"/>
      <c r="B1235" s="54"/>
      <c r="C1235" s="54"/>
      <c r="D1235" s="54"/>
      <c r="E1235" s="55"/>
      <c r="F1235" s="57"/>
      <c r="G1235" s="57"/>
      <c r="H1235" s="54">
        <f t="shared" si="93"/>
        <v>0</v>
      </c>
      <c r="I1235" s="58"/>
      <c r="J1235" s="54">
        <f t="shared" si="94"/>
        <v>0</v>
      </c>
      <c r="K1235" s="57"/>
      <c r="L1235" s="54">
        <f t="shared" si="95"/>
        <v>0</v>
      </c>
    </row>
    <row r="1236" spans="1:12" x14ac:dyDescent="0.3">
      <c r="A1236" s="54"/>
      <c r="B1236" s="54"/>
      <c r="C1236" s="54"/>
      <c r="D1236" s="54"/>
      <c r="E1236" s="55"/>
      <c r="F1236" s="57"/>
      <c r="G1236" s="57"/>
      <c r="H1236" s="54">
        <f t="shared" si="93"/>
        <v>0</v>
      </c>
      <c r="I1236" s="58"/>
      <c r="J1236" s="54">
        <f t="shared" si="94"/>
        <v>0</v>
      </c>
      <c r="K1236" s="57"/>
      <c r="L1236" s="54">
        <f t="shared" si="95"/>
        <v>0</v>
      </c>
    </row>
    <row r="1237" spans="1:12" x14ac:dyDescent="0.3">
      <c r="A1237" s="54"/>
      <c r="B1237" s="54"/>
      <c r="C1237" s="54"/>
      <c r="D1237" s="54"/>
      <c r="E1237" s="55"/>
      <c r="F1237" s="57"/>
      <c r="G1237" s="57"/>
      <c r="H1237" s="54">
        <f t="shared" si="93"/>
        <v>0</v>
      </c>
      <c r="I1237" s="58"/>
      <c r="J1237" s="54">
        <f t="shared" si="94"/>
        <v>0</v>
      </c>
      <c r="K1237" s="57"/>
      <c r="L1237" s="54">
        <f t="shared" si="95"/>
        <v>0</v>
      </c>
    </row>
    <row r="1238" spans="1:12" x14ac:dyDescent="0.3">
      <c r="A1238" s="54"/>
      <c r="B1238" s="54"/>
      <c r="C1238" s="54"/>
      <c r="D1238" s="54"/>
      <c r="E1238" s="55"/>
      <c r="F1238" s="57"/>
      <c r="G1238" s="57"/>
      <c r="H1238" s="54">
        <f t="shared" si="93"/>
        <v>0</v>
      </c>
      <c r="I1238" s="58"/>
      <c r="J1238" s="54">
        <f t="shared" si="94"/>
        <v>0</v>
      </c>
      <c r="K1238" s="57"/>
      <c r="L1238" s="54">
        <f t="shared" si="95"/>
        <v>0</v>
      </c>
    </row>
    <row r="1239" spans="1:12" x14ac:dyDescent="0.3">
      <c r="A1239" s="54"/>
      <c r="B1239" s="54"/>
      <c r="C1239" s="54"/>
      <c r="D1239" s="54"/>
      <c r="E1239" s="55"/>
      <c r="F1239" s="57"/>
      <c r="G1239" s="57"/>
      <c r="H1239" s="54">
        <f t="shared" si="93"/>
        <v>0</v>
      </c>
      <c r="I1239" s="58"/>
      <c r="J1239" s="54">
        <f t="shared" si="94"/>
        <v>0</v>
      </c>
      <c r="K1239" s="57"/>
      <c r="L1239" s="54">
        <f t="shared" si="95"/>
        <v>0</v>
      </c>
    </row>
    <row r="1240" spans="1:12" x14ac:dyDescent="0.3">
      <c r="A1240" s="54"/>
      <c r="B1240" s="54"/>
      <c r="C1240" s="54"/>
      <c r="D1240" s="54"/>
      <c r="E1240" s="55"/>
      <c r="F1240" s="57"/>
      <c r="G1240" s="57"/>
      <c r="H1240" s="54">
        <f t="shared" si="93"/>
        <v>0</v>
      </c>
      <c r="I1240" s="58"/>
      <c r="J1240" s="54">
        <f t="shared" si="94"/>
        <v>0</v>
      </c>
      <c r="K1240" s="57"/>
      <c r="L1240" s="54">
        <f t="shared" si="95"/>
        <v>0</v>
      </c>
    </row>
    <row r="1241" spans="1:12" x14ac:dyDescent="0.3">
      <c r="A1241" s="54"/>
      <c r="B1241" s="54"/>
      <c r="C1241" s="54"/>
      <c r="D1241" s="54"/>
      <c r="E1241" s="55"/>
      <c r="F1241" s="57"/>
      <c r="G1241" s="57"/>
      <c r="H1241" s="54">
        <f t="shared" si="93"/>
        <v>0</v>
      </c>
      <c r="I1241" s="58"/>
      <c r="J1241" s="54">
        <f t="shared" si="94"/>
        <v>0</v>
      </c>
      <c r="K1241" s="57"/>
      <c r="L1241" s="54">
        <f t="shared" si="95"/>
        <v>0</v>
      </c>
    </row>
    <row r="1242" spans="1:12" x14ac:dyDescent="0.3">
      <c r="A1242" s="54"/>
      <c r="B1242" s="54"/>
      <c r="C1242" s="54"/>
      <c r="D1242" s="54"/>
      <c r="E1242" s="55"/>
      <c r="F1242" s="57"/>
      <c r="G1242" s="57"/>
      <c r="H1242" s="54">
        <f t="shared" si="93"/>
        <v>0</v>
      </c>
      <c r="I1242" s="58"/>
      <c r="J1242" s="54">
        <f t="shared" si="94"/>
        <v>0</v>
      </c>
      <c r="K1242" s="57"/>
      <c r="L1242" s="54">
        <f t="shared" si="95"/>
        <v>0</v>
      </c>
    </row>
    <row r="1243" spans="1:12" x14ac:dyDescent="0.3">
      <c r="A1243" s="54"/>
      <c r="B1243" s="54"/>
      <c r="C1243" s="54"/>
      <c r="D1243" s="54"/>
      <c r="E1243" s="55"/>
      <c r="F1243" s="57"/>
      <c r="G1243" s="57"/>
      <c r="H1243" s="54">
        <f t="shared" ref="H1243:H1306" si="96">+F1243-G1243</f>
        <v>0</v>
      </c>
      <c r="I1243" s="58"/>
      <c r="J1243" s="54">
        <f t="shared" ref="J1243:J1306" si="97">+H1243-H1243*I1243/100</f>
        <v>0</v>
      </c>
      <c r="K1243" s="57"/>
      <c r="L1243" s="54">
        <f t="shared" ref="L1243:L1306" si="98">+J1243*K1243</f>
        <v>0</v>
      </c>
    </row>
    <row r="1244" spans="1:12" x14ac:dyDescent="0.3">
      <c r="A1244" s="54"/>
      <c r="B1244" s="54"/>
      <c r="C1244" s="54"/>
      <c r="D1244" s="54"/>
      <c r="E1244" s="55"/>
      <c r="F1244" s="57"/>
      <c r="G1244" s="57"/>
      <c r="H1244" s="54">
        <f t="shared" si="96"/>
        <v>0</v>
      </c>
      <c r="I1244" s="58"/>
      <c r="J1244" s="54">
        <f t="shared" si="97"/>
        <v>0</v>
      </c>
      <c r="K1244" s="57"/>
      <c r="L1244" s="54">
        <f t="shared" si="98"/>
        <v>0</v>
      </c>
    </row>
    <row r="1245" spans="1:12" x14ac:dyDescent="0.3">
      <c r="A1245" s="54"/>
      <c r="B1245" s="54"/>
      <c r="C1245" s="54"/>
      <c r="D1245" s="54"/>
      <c r="E1245" s="55"/>
      <c r="F1245" s="57"/>
      <c r="G1245" s="57"/>
      <c r="H1245" s="54">
        <f t="shared" si="96"/>
        <v>0</v>
      </c>
      <c r="I1245" s="58"/>
      <c r="J1245" s="54">
        <f t="shared" si="97"/>
        <v>0</v>
      </c>
      <c r="K1245" s="57"/>
      <c r="L1245" s="54">
        <f t="shared" si="98"/>
        <v>0</v>
      </c>
    </row>
    <row r="1246" spans="1:12" x14ac:dyDescent="0.3">
      <c r="A1246" s="54"/>
      <c r="B1246" s="54"/>
      <c r="C1246" s="54"/>
      <c r="D1246" s="54"/>
      <c r="E1246" s="55"/>
      <c r="F1246" s="57"/>
      <c r="G1246" s="57"/>
      <c r="H1246" s="54">
        <f t="shared" si="96"/>
        <v>0</v>
      </c>
      <c r="I1246" s="58"/>
      <c r="J1246" s="54">
        <f t="shared" si="97"/>
        <v>0</v>
      </c>
      <c r="K1246" s="57"/>
      <c r="L1246" s="54">
        <f t="shared" si="98"/>
        <v>0</v>
      </c>
    </row>
    <row r="1247" spans="1:12" x14ac:dyDescent="0.3">
      <c r="A1247" s="54"/>
      <c r="B1247" s="54"/>
      <c r="C1247" s="54"/>
      <c r="D1247" s="54"/>
      <c r="E1247" s="55"/>
      <c r="F1247" s="57"/>
      <c r="G1247" s="57"/>
      <c r="H1247" s="54">
        <f t="shared" si="96"/>
        <v>0</v>
      </c>
      <c r="I1247" s="58"/>
      <c r="J1247" s="54">
        <f t="shared" si="97"/>
        <v>0</v>
      </c>
      <c r="K1247" s="57"/>
      <c r="L1247" s="54">
        <f t="shared" si="98"/>
        <v>0</v>
      </c>
    </row>
    <row r="1248" spans="1:12" x14ac:dyDescent="0.3">
      <c r="A1248" s="54"/>
      <c r="B1248" s="54"/>
      <c r="C1248" s="54"/>
      <c r="D1248" s="54"/>
      <c r="E1248" s="55"/>
      <c r="F1248" s="57"/>
      <c r="G1248" s="57"/>
      <c r="H1248" s="54">
        <f t="shared" si="96"/>
        <v>0</v>
      </c>
      <c r="I1248" s="58"/>
      <c r="J1248" s="54">
        <f t="shared" si="97"/>
        <v>0</v>
      </c>
      <c r="K1248" s="57"/>
      <c r="L1248" s="54">
        <f t="shared" si="98"/>
        <v>0</v>
      </c>
    </row>
    <row r="1249" spans="1:12" x14ac:dyDescent="0.3">
      <c r="A1249" s="54"/>
      <c r="B1249" s="54"/>
      <c r="C1249" s="54"/>
      <c r="D1249" s="54"/>
      <c r="E1249" s="55"/>
      <c r="F1249" s="57"/>
      <c r="G1249" s="57"/>
      <c r="H1249" s="54">
        <f t="shared" si="96"/>
        <v>0</v>
      </c>
      <c r="I1249" s="58"/>
      <c r="J1249" s="54">
        <f t="shared" si="97"/>
        <v>0</v>
      </c>
      <c r="K1249" s="57"/>
      <c r="L1249" s="54">
        <f t="shared" si="98"/>
        <v>0</v>
      </c>
    </row>
    <row r="1250" spans="1:12" x14ac:dyDescent="0.3">
      <c r="A1250" s="54"/>
      <c r="B1250" s="54"/>
      <c r="C1250" s="54"/>
      <c r="D1250" s="54"/>
      <c r="E1250" s="55"/>
      <c r="F1250" s="57"/>
      <c r="G1250" s="57"/>
      <c r="H1250" s="54">
        <f t="shared" si="96"/>
        <v>0</v>
      </c>
      <c r="I1250" s="58"/>
      <c r="J1250" s="54">
        <f t="shared" si="97"/>
        <v>0</v>
      </c>
      <c r="K1250" s="57"/>
      <c r="L1250" s="54">
        <f t="shared" si="98"/>
        <v>0</v>
      </c>
    </row>
    <row r="1251" spans="1:12" x14ac:dyDescent="0.3">
      <c r="A1251" s="54"/>
      <c r="B1251" s="54"/>
      <c r="C1251" s="54"/>
      <c r="D1251" s="54"/>
      <c r="E1251" s="55"/>
      <c r="F1251" s="57"/>
      <c r="G1251" s="57"/>
      <c r="H1251" s="54">
        <f t="shared" si="96"/>
        <v>0</v>
      </c>
      <c r="I1251" s="58"/>
      <c r="J1251" s="54">
        <f t="shared" si="97"/>
        <v>0</v>
      </c>
      <c r="K1251" s="57"/>
      <c r="L1251" s="54">
        <f t="shared" si="98"/>
        <v>0</v>
      </c>
    </row>
    <row r="1252" spans="1:12" x14ac:dyDescent="0.3">
      <c r="A1252" s="54"/>
      <c r="B1252" s="54"/>
      <c r="C1252" s="54"/>
      <c r="D1252" s="54"/>
      <c r="E1252" s="55"/>
      <c r="F1252" s="57"/>
      <c r="G1252" s="57"/>
      <c r="H1252" s="54">
        <f t="shared" si="96"/>
        <v>0</v>
      </c>
      <c r="I1252" s="58"/>
      <c r="J1252" s="54">
        <f t="shared" si="97"/>
        <v>0</v>
      </c>
      <c r="K1252" s="57"/>
      <c r="L1252" s="54">
        <f t="shared" si="98"/>
        <v>0</v>
      </c>
    </row>
    <row r="1253" spans="1:12" x14ac:dyDescent="0.3">
      <c r="A1253" s="54"/>
      <c r="B1253" s="54"/>
      <c r="C1253" s="54"/>
      <c r="D1253" s="54"/>
      <c r="E1253" s="55"/>
      <c r="F1253" s="57"/>
      <c r="G1253" s="57"/>
      <c r="H1253" s="54">
        <f t="shared" si="96"/>
        <v>0</v>
      </c>
      <c r="I1253" s="58"/>
      <c r="J1253" s="54">
        <f t="shared" si="97"/>
        <v>0</v>
      </c>
      <c r="K1253" s="57"/>
      <c r="L1253" s="54">
        <f t="shared" si="98"/>
        <v>0</v>
      </c>
    </row>
    <row r="1254" spans="1:12" x14ac:dyDescent="0.3">
      <c r="A1254" s="54"/>
      <c r="B1254" s="54"/>
      <c r="C1254" s="54"/>
      <c r="D1254" s="54"/>
      <c r="E1254" s="55"/>
      <c r="F1254" s="57"/>
      <c r="G1254" s="57"/>
      <c r="H1254" s="54">
        <f t="shared" si="96"/>
        <v>0</v>
      </c>
      <c r="I1254" s="58"/>
      <c r="J1254" s="54">
        <f t="shared" si="97"/>
        <v>0</v>
      </c>
      <c r="K1254" s="57"/>
      <c r="L1254" s="54">
        <f t="shared" si="98"/>
        <v>0</v>
      </c>
    </row>
    <row r="1255" spans="1:12" x14ac:dyDescent="0.3">
      <c r="A1255" s="54"/>
      <c r="B1255" s="54"/>
      <c r="C1255" s="54"/>
      <c r="D1255" s="54"/>
      <c r="E1255" s="55"/>
      <c r="F1255" s="57"/>
      <c r="G1255" s="57"/>
      <c r="H1255" s="54">
        <f t="shared" si="96"/>
        <v>0</v>
      </c>
      <c r="I1255" s="58"/>
      <c r="J1255" s="54">
        <f t="shared" si="97"/>
        <v>0</v>
      </c>
      <c r="K1255" s="57"/>
      <c r="L1255" s="54">
        <f t="shared" si="98"/>
        <v>0</v>
      </c>
    </row>
    <row r="1256" spans="1:12" x14ac:dyDescent="0.3">
      <c r="A1256" s="54"/>
      <c r="B1256" s="54"/>
      <c r="C1256" s="54"/>
      <c r="D1256" s="54"/>
      <c r="E1256" s="55"/>
      <c r="F1256" s="57"/>
      <c r="G1256" s="57"/>
      <c r="H1256" s="54">
        <f t="shared" si="96"/>
        <v>0</v>
      </c>
      <c r="I1256" s="58"/>
      <c r="J1256" s="54">
        <f t="shared" si="97"/>
        <v>0</v>
      </c>
      <c r="K1256" s="57"/>
      <c r="L1256" s="54">
        <f t="shared" si="98"/>
        <v>0</v>
      </c>
    </row>
    <row r="1257" spans="1:12" x14ac:dyDescent="0.3">
      <c r="A1257" s="54"/>
      <c r="B1257" s="54"/>
      <c r="C1257" s="54"/>
      <c r="D1257" s="54"/>
      <c r="E1257" s="55"/>
      <c r="F1257" s="57"/>
      <c r="G1257" s="57"/>
      <c r="H1257" s="54">
        <f t="shared" si="96"/>
        <v>0</v>
      </c>
      <c r="I1257" s="58"/>
      <c r="J1257" s="54">
        <f t="shared" si="97"/>
        <v>0</v>
      </c>
      <c r="K1257" s="57"/>
      <c r="L1257" s="54">
        <f t="shared" si="98"/>
        <v>0</v>
      </c>
    </row>
    <row r="1258" spans="1:12" x14ac:dyDescent="0.3">
      <c r="A1258" s="54"/>
      <c r="B1258" s="54"/>
      <c r="C1258" s="54"/>
      <c r="D1258" s="54"/>
      <c r="E1258" s="55"/>
      <c r="F1258" s="57"/>
      <c r="G1258" s="57"/>
      <c r="H1258" s="54">
        <f t="shared" si="96"/>
        <v>0</v>
      </c>
      <c r="I1258" s="58"/>
      <c r="J1258" s="54">
        <f t="shared" si="97"/>
        <v>0</v>
      </c>
      <c r="K1258" s="57"/>
      <c r="L1258" s="54">
        <f t="shared" si="98"/>
        <v>0</v>
      </c>
    </row>
    <row r="1259" spans="1:12" x14ac:dyDescent="0.3">
      <c r="A1259" s="54"/>
      <c r="B1259" s="54"/>
      <c r="C1259" s="54"/>
      <c r="D1259" s="54"/>
      <c r="E1259" s="55"/>
      <c r="F1259" s="57"/>
      <c r="G1259" s="57"/>
      <c r="H1259" s="54">
        <f t="shared" si="96"/>
        <v>0</v>
      </c>
      <c r="I1259" s="58"/>
      <c r="J1259" s="54">
        <f t="shared" si="97"/>
        <v>0</v>
      </c>
      <c r="K1259" s="57"/>
      <c r="L1259" s="54">
        <f t="shared" si="98"/>
        <v>0</v>
      </c>
    </row>
    <row r="1260" spans="1:12" x14ac:dyDescent="0.3">
      <c r="A1260" s="54"/>
      <c r="B1260" s="54"/>
      <c r="C1260" s="54"/>
      <c r="D1260" s="54"/>
      <c r="E1260" s="55"/>
      <c r="F1260" s="57"/>
      <c r="G1260" s="57"/>
      <c r="H1260" s="54">
        <f t="shared" si="96"/>
        <v>0</v>
      </c>
      <c r="I1260" s="58"/>
      <c r="J1260" s="54">
        <f t="shared" si="97"/>
        <v>0</v>
      </c>
      <c r="K1260" s="57"/>
      <c r="L1260" s="54">
        <f t="shared" si="98"/>
        <v>0</v>
      </c>
    </row>
    <row r="1261" spans="1:12" x14ac:dyDescent="0.3">
      <c r="A1261" s="54"/>
      <c r="B1261" s="54"/>
      <c r="C1261" s="54"/>
      <c r="D1261" s="54"/>
      <c r="E1261" s="55"/>
      <c r="F1261" s="57"/>
      <c r="G1261" s="57"/>
      <c r="H1261" s="54">
        <f t="shared" si="96"/>
        <v>0</v>
      </c>
      <c r="I1261" s="58"/>
      <c r="J1261" s="54">
        <f t="shared" si="97"/>
        <v>0</v>
      </c>
      <c r="K1261" s="57"/>
      <c r="L1261" s="54">
        <f t="shared" si="98"/>
        <v>0</v>
      </c>
    </row>
    <row r="1262" spans="1:12" x14ac:dyDescent="0.3">
      <c r="A1262" s="54"/>
      <c r="B1262" s="54"/>
      <c r="C1262" s="54"/>
      <c r="D1262" s="54"/>
      <c r="E1262" s="55"/>
      <c r="F1262" s="57"/>
      <c r="G1262" s="57"/>
      <c r="H1262" s="54">
        <f t="shared" si="96"/>
        <v>0</v>
      </c>
      <c r="I1262" s="58"/>
      <c r="J1262" s="54">
        <f t="shared" si="97"/>
        <v>0</v>
      </c>
      <c r="K1262" s="57"/>
      <c r="L1262" s="54">
        <f t="shared" si="98"/>
        <v>0</v>
      </c>
    </row>
    <row r="1263" spans="1:12" x14ac:dyDescent="0.3">
      <c r="A1263" s="54"/>
      <c r="B1263" s="54"/>
      <c r="C1263" s="54"/>
      <c r="D1263" s="54"/>
      <c r="E1263" s="55"/>
      <c r="F1263" s="57"/>
      <c r="G1263" s="57"/>
      <c r="H1263" s="54">
        <f t="shared" si="96"/>
        <v>0</v>
      </c>
      <c r="I1263" s="58"/>
      <c r="J1263" s="54">
        <f t="shared" si="97"/>
        <v>0</v>
      </c>
      <c r="K1263" s="57"/>
      <c r="L1263" s="54">
        <f t="shared" si="98"/>
        <v>0</v>
      </c>
    </row>
    <row r="1264" spans="1:12" x14ac:dyDescent="0.3">
      <c r="A1264" s="54"/>
      <c r="B1264" s="54"/>
      <c r="C1264" s="54"/>
      <c r="D1264" s="54"/>
      <c r="E1264" s="55"/>
      <c r="F1264" s="57"/>
      <c r="G1264" s="57"/>
      <c r="H1264" s="54">
        <f t="shared" si="96"/>
        <v>0</v>
      </c>
      <c r="I1264" s="58"/>
      <c r="J1264" s="54">
        <f t="shared" si="97"/>
        <v>0</v>
      </c>
      <c r="K1264" s="57"/>
      <c r="L1264" s="54">
        <f t="shared" si="98"/>
        <v>0</v>
      </c>
    </row>
    <row r="1265" spans="1:12" x14ac:dyDescent="0.3">
      <c r="A1265" s="54"/>
      <c r="B1265" s="54"/>
      <c r="C1265" s="54"/>
      <c r="D1265" s="54"/>
      <c r="E1265" s="55"/>
      <c r="F1265" s="57"/>
      <c r="G1265" s="57"/>
      <c r="H1265" s="54">
        <f t="shared" si="96"/>
        <v>0</v>
      </c>
      <c r="I1265" s="58"/>
      <c r="J1265" s="54">
        <f t="shared" si="97"/>
        <v>0</v>
      </c>
      <c r="K1265" s="57"/>
      <c r="L1265" s="54">
        <f t="shared" si="98"/>
        <v>0</v>
      </c>
    </row>
    <row r="1266" spans="1:12" x14ac:dyDescent="0.3">
      <c r="A1266" s="54"/>
      <c r="B1266" s="54"/>
      <c r="C1266" s="54"/>
      <c r="D1266" s="54"/>
      <c r="E1266" s="55"/>
      <c r="F1266" s="57"/>
      <c r="G1266" s="57"/>
      <c r="H1266" s="54">
        <f t="shared" si="96"/>
        <v>0</v>
      </c>
      <c r="I1266" s="58"/>
      <c r="J1266" s="54">
        <f t="shared" si="97"/>
        <v>0</v>
      </c>
      <c r="K1266" s="57"/>
      <c r="L1266" s="54">
        <f t="shared" si="98"/>
        <v>0</v>
      </c>
    </row>
    <row r="1267" spans="1:12" x14ac:dyDescent="0.3">
      <c r="A1267" s="54"/>
      <c r="B1267" s="54"/>
      <c r="C1267" s="54"/>
      <c r="D1267" s="54"/>
      <c r="E1267" s="55"/>
      <c r="F1267" s="57"/>
      <c r="G1267" s="57"/>
      <c r="H1267" s="54">
        <f t="shared" si="96"/>
        <v>0</v>
      </c>
      <c r="I1267" s="58"/>
      <c r="J1267" s="54">
        <f t="shared" si="97"/>
        <v>0</v>
      </c>
      <c r="K1267" s="57"/>
      <c r="L1267" s="54">
        <f t="shared" si="98"/>
        <v>0</v>
      </c>
    </row>
    <row r="1268" spans="1:12" x14ac:dyDescent="0.3">
      <c r="A1268" s="54"/>
      <c r="B1268" s="54"/>
      <c r="C1268" s="54"/>
      <c r="D1268" s="54"/>
      <c r="E1268" s="55"/>
      <c r="F1268" s="57"/>
      <c r="G1268" s="57"/>
      <c r="H1268" s="54">
        <f t="shared" si="96"/>
        <v>0</v>
      </c>
      <c r="I1268" s="58"/>
      <c r="J1268" s="54">
        <f t="shared" si="97"/>
        <v>0</v>
      </c>
      <c r="K1268" s="57"/>
      <c r="L1268" s="54">
        <f t="shared" si="98"/>
        <v>0</v>
      </c>
    </row>
    <row r="1269" spans="1:12" x14ac:dyDescent="0.3">
      <c r="A1269" s="54"/>
      <c r="B1269" s="54"/>
      <c r="C1269" s="54"/>
      <c r="D1269" s="54"/>
      <c r="E1269" s="55"/>
      <c r="F1269" s="57"/>
      <c r="G1269" s="57"/>
      <c r="H1269" s="54">
        <f t="shared" si="96"/>
        <v>0</v>
      </c>
      <c r="I1269" s="58"/>
      <c r="J1269" s="54">
        <f t="shared" si="97"/>
        <v>0</v>
      </c>
      <c r="K1269" s="57"/>
      <c r="L1269" s="54">
        <f t="shared" si="98"/>
        <v>0</v>
      </c>
    </row>
    <row r="1270" spans="1:12" x14ac:dyDescent="0.3">
      <c r="A1270" s="54"/>
      <c r="B1270" s="54"/>
      <c r="C1270" s="54"/>
      <c r="D1270" s="54"/>
      <c r="E1270" s="55"/>
      <c r="F1270" s="57"/>
      <c r="G1270" s="57"/>
      <c r="H1270" s="54">
        <f t="shared" si="96"/>
        <v>0</v>
      </c>
      <c r="I1270" s="58"/>
      <c r="J1270" s="54">
        <f t="shared" si="97"/>
        <v>0</v>
      </c>
      <c r="K1270" s="57"/>
      <c r="L1270" s="54">
        <f t="shared" si="98"/>
        <v>0</v>
      </c>
    </row>
    <row r="1271" spans="1:12" x14ac:dyDescent="0.3">
      <c r="A1271" s="54"/>
      <c r="B1271" s="54"/>
      <c r="C1271" s="54"/>
      <c r="D1271" s="54"/>
      <c r="E1271" s="55"/>
      <c r="F1271" s="57"/>
      <c r="G1271" s="57"/>
      <c r="H1271" s="54">
        <f t="shared" si="96"/>
        <v>0</v>
      </c>
      <c r="I1271" s="58"/>
      <c r="J1271" s="54">
        <f t="shared" si="97"/>
        <v>0</v>
      </c>
      <c r="K1271" s="57"/>
      <c r="L1271" s="54">
        <f t="shared" si="98"/>
        <v>0</v>
      </c>
    </row>
    <row r="1272" spans="1:12" x14ac:dyDescent="0.3">
      <c r="A1272" s="54"/>
      <c r="B1272" s="54"/>
      <c r="C1272" s="54"/>
      <c r="D1272" s="54"/>
      <c r="E1272" s="55"/>
      <c r="F1272" s="57"/>
      <c r="G1272" s="57"/>
      <c r="H1272" s="54">
        <f t="shared" si="96"/>
        <v>0</v>
      </c>
      <c r="I1272" s="58"/>
      <c r="J1272" s="54">
        <f t="shared" si="97"/>
        <v>0</v>
      </c>
      <c r="K1272" s="57"/>
      <c r="L1272" s="54">
        <f t="shared" si="98"/>
        <v>0</v>
      </c>
    </row>
    <row r="1273" spans="1:12" x14ac:dyDescent="0.3">
      <c r="A1273" s="54"/>
      <c r="B1273" s="54"/>
      <c r="C1273" s="54"/>
      <c r="D1273" s="54"/>
      <c r="E1273" s="55"/>
      <c r="F1273" s="57"/>
      <c r="G1273" s="57"/>
      <c r="H1273" s="54">
        <f t="shared" si="96"/>
        <v>0</v>
      </c>
      <c r="I1273" s="58"/>
      <c r="J1273" s="54">
        <f t="shared" si="97"/>
        <v>0</v>
      </c>
      <c r="K1273" s="57"/>
      <c r="L1273" s="54">
        <f t="shared" si="98"/>
        <v>0</v>
      </c>
    </row>
    <row r="1274" spans="1:12" x14ac:dyDescent="0.3">
      <c r="A1274" s="54"/>
      <c r="B1274" s="54"/>
      <c r="C1274" s="54"/>
      <c r="D1274" s="54"/>
      <c r="E1274" s="55"/>
      <c r="F1274" s="57"/>
      <c r="G1274" s="57"/>
      <c r="H1274" s="54">
        <f t="shared" si="96"/>
        <v>0</v>
      </c>
      <c r="I1274" s="58"/>
      <c r="J1274" s="54">
        <f t="shared" si="97"/>
        <v>0</v>
      </c>
      <c r="K1274" s="57"/>
      <c r="L1274" s="54">
        <f t="shared" si="98"/>
        <v>0</v>
      </c>
    </row>
    <row r="1275" spans="1:12" x14ac:dyDescent="0.3">
      <c r="A1275" s="54"/>
      <c r="B1275" s="54"/>
      <c r="C1275" s="54"/>
      <c r="D1275" s="54"/>
      <c r="E1275" s="55"/>
      <c r="F1275" s="57"/>
      <c r="G1275" s="57"/>
      <c r="H1275" s="54">
        <f t="shared" si="96"/>
        <v>0</v>
      </c>
      <c r="I1275" s="58"/>
      <c r="J1275" s="54">
        <f t="shared" si="97"/>
        <v>0</v>
      </c>
      <c r="K1275" s="57"/>
      <c r="L1275" s="54">
        <f t="shared" si="98"/>
        <v>0</v>
      </c>
    </row>
    <row r="1276" spans="1:12" x14ac:dyDescent="0.3">
      <c r="A1276" s="54"/>
      <c r="B1276" s="54"/>
      <c r="C1276" s="54"/>
      <c r="D1276" s="54"/>
      <c r="E1276" s="55"/>
      <c r="F1276" s="57"/>
      <c r="G1276" s="57"/>
      <c r="H1276" s="54">
        <f t="shared" si="96"/>
        <v>0</v>
      </c>
      <c r="I1276" s="58"/>
      <c r="J1276" s="54">
        <f t="shared" si="97"/>
        <v>0</v>
      </c>
      <c r="K1276" s="57"/>
      <c r="L1276" s="54">
        <f t="shared" si="98"/>
        <v>0</v>
      </c>
    </row>
    <row r="1277" spans="1:12" x14ac:dyDescent="0.3">
      <c r="A1277" s="54"/>
      <c r="B1277" s="54"/>
      <c r="C1277" s="54"/>
      <c r="D1277" s="54"/>
      <c r="E1277" s="55"/>
      <c r="F1277" s="57"/>
      <c r="G1277" s="57"/>
      <c r="H1277" s="54">
        <f t="shared" si="96"/>
        <v>0</v>
      </c>
      <c r="I1277" s="58"/>
      <c r="J1277" s="54">
        <f t="shared" si="97"/>
        <v>0</v>
      </c>
      <c r="K1277" s="57"/>
      <c r="L1277" s="54">
        <f t="shared" si="98"/>
        <v>0</v>
      </c>
    </row>
    <row r="1278" spans="1:12" x14ac:dyDescent="0.3">
      <c r="A1278" s="54"/>
      <c r="B1278" s="54"/>
      <c r="C1278" s="54"/>
      <c r="D1278" s="54"/>
      <c r="E1278" s="55"/>
      <c r="F1278" s="57"/>
      <c r="G1278" s="57"/>
      <c r="H1278" s="54">
        <f t="shared" si="96"/>
        <v>0</v>
      </c>
      <c r="I1278" s="58"/>
      <c r="J1278" s="54">
        <f t="shared" si="97"/>
        <v>0</v>
      </c>
      <c r="K1278" s="57"/>
      <c r="L1278" s="54">
        <f t="shared" si="98"/>
        <v>0</v>
      </c>
    </row>
    <row r="1279" spans="1:12" x14ac:dyDescent="0.3">
      <c r="A1279" s="54"/>
      <c r="B1279" s="54"/>
      <c r="C1279" s="54"/>
      <c r="D1279" s="54"/>
      <c r="E1279" s="55"/>
      <c r="F1279" s="57"/>
      <c r="G1279" s="57"/>
      <c r="H1279" s="54">
        <f t="shared" si="96"/>
        <v>0</v>
      </c>
      <c r="I1279" s="58"/>
      <c r="J1279" s="54">
        <f t="shared" si="97"/>
        <v>0</v>
      </c>
      <c r="K1279" s="57"/>
      <c r="L1279" s="54">
        <f t="shared" si="98"/>
        <v>0</v>
      </c>
    </row>
    <row r="1280" spans="1:12" x14ac:dyDescent="0.3">
      <c r="A1280" s="54"/>
      <c r="B1280" s="54"/>
      <c r="C1280" s="54"/>
      <c r="D1280" s="54"/>
      <c r="E1280" s="55"/>
      <c r="F1280" s="57"/>
      <c r="G1280" s="57"/>
      <c r="H1280" s="54">
        <f t="shared" si="96"/>
        <v>0</v>
      </c>
      <c r="I1280" s="58"/>
      <c r="J1280" s="54">
        <f t="shared" si="97"/>
        <v>0</v>
      </c>
      <c r="K1280" s="57"/>
      <c r="L1280" s="54">
        <f t="shared" si="98"/>
        <v>0</v>
      </c>
    </row>
    <row r="1281" spans="1:12" x14ac:dyDescent="0.3">
      <c r="A1281" s="54"/>
      <c r="B1281" s="54"/>
      <c r="C1281" s="54"/>
      <c r="D1281" s="54"/>
      <c r="E1281" s="55"/>
      <c r="F1281" s="57"/>
      <c r="G1281" s="57"/>
      <c r="H1281" s="54">
        <f t="shared" si="96"/>
        <v>0</v>
      </c>
      <c r="I1281" s="58"/>
      <c r="J1281" s="54">
        <f t="shared" si="97"/>
        <v>0</v>
      </c>
      <c r="K1281" s="57"/>
      <c r="L1281" s="54">
        <f t="shared" si="98"/>
        <v>0</v>
      </c>
    </row>
    <row r="1282" spans="1:12" x14ac:dyDescent="0.3">
      <c r="A1282" s="54"/>
      <c r="B1282" s="54"/>
      <c r="C1282" s="54"/>
      <c r="D1282" s="54"/>
      <c r="E1282" s="55"/>
      <c r="F1282" s="57"/>
      <c r="G1282" s="57"/>
      <c r="H1282" s="54">
        <f t="shared" si="96"/>
        <v>0</v>
      </c>
      <c r="I1282" s="58"/>
      <c r="J1282" s="54">
        <f t="shared" si="97"/>
        <v>0</v>
      </c>
      <c r="K1282" s="57"/>
      <c r="L1282" s="54">
        <f t="shared" si="98"/>
        <v>0</v>
      </c>
    </row>
    <row r="1283" spans="1:12" x14ac:dyDescent="0.3">
      <c r="A1283" s="54"/>
      <c r="B1283" s="54"/>
      <c r="C1283" s="54"/>
      <c r="D1283" s="54"/>
      <c r="E1283" s="55"/>
      <c r="F1283" s="57"/>
      <c r="G1283" s="57"/>
      <c r="H1283" s="54">
        <f t="shared" si="96"/>
        <v>0</v>
      </c>
      <c r="I1283" s="58"/>
      <c r="J1283" s="54">
        <f t="shared" si="97"/>
        <v>0</v>
      </c>
      <c r="K1283" s="57"/>
      <c r="L1283" s="54">
        <f t="shared" si="98"/>
        <v>0</v>
      </c>
    </row>
    <row r="1284" spans="1:12" x14ac:dyDescent="0.3">
      <c r="A1284" s="54"/>
      <c r="B1284" s="54"/>
      <c r="C1284" s="54"/>
      <c r="D1284" s="54"/>
      <c r="E1284" s="55"/>
      <c r="F1284" s="57"/>
      <c r="G1284" s="57"/>
      <c r="H1284" s="54">
        <f t="shared" si="96"/>
        <v>0</v>
      </c>
      <c r="I1284" s="58"/>
      <c r="J1284" s="54">
        <f t="shared" si="97"/>
        <v>0</v>
      </c>
      <c r="K1284" s="57"/>
      <c r="L1284" s="54">
        <f t="shared" si="98"/>
        <v>0</v>
      </c>
    </row>
    <row r="1285" spans="1:12" x14ac:dyDescent="0.3">
      <c r="A1285" s="54"/>
      <c r="B1285" s="54"/>
      <c r="C1285" s="54"/>
      <c r="D1285" s="54"/>
      <c r="E1285" s="55"/>
      <c r="F1285" s="57"/>
      <c r="G1285" s="57"/>
      <c r="H1285" s="54">
        <f t="shared" si="96"/>
        <v>0</v>
      </c>
      <c r="I1285" s="58"/>
      <c r="J1285" s="54">
        <f t="shared" si="97"/>
        <v>0</v>
      </c>
      <c r="K1285" s="57"/>
      <c r="L1285" s="54">
        <f t="shared" si="98"/>
        <v>0</v>
      </c>
    </row>
    <row r="1286" spans="1:12" x14ac:dyDescent="0.3">
      <c r="A1286" s="54"/>
      <c r="B1286" s="54"/>
      <c r="C1286" s="54"/>
      <c r="D1286" s="54"/>
      <c r="E1286" s="55"/>
      <c r="F1286" s="57"/>
      <c r="G1286" s="57"/>
      <c r="H1286" s="54">
        <f t="shared" si="96"/>
        <v>0</v>
      </c>
      <c r="I1286" s="58"/>
      <c r="J1286" s="54">
        <f t="shared" si="97"/>
        <v>0</v>
      </c>
      <c r="K1286" s="57"/>
      <c r="L1286" s="54">
        <f t="shared" si="98"/>
        <v>0</v>
      </c>
    </row>
    <row r="1287" spans="1:12" x14ac:dyDescent="0.3">
      <c r="A1287" s="54"/>
      <c r="B1287" s="54"/>
      <c r="C1287" s="54"/>
      <c r="D1287" s="54"/>
      <c r="E1287" s="55"/>
      <c r="F1287" s="57"/>
      <c r="G1287" s="57"/>
      <c r="H1287" s="54">
        <f t="shared" si="96"/>
        <v>0</v>
      </c>
      <c r="I1287" s="58"/>
      <c r="J1287" s="54">
        <f t="shared" si="97"/>
        <v>0</v>
      </c>
      <c r="K1287" s="57"/>
      <c r="L1287" s="54">
        <f t="shared" si="98"/>
        <v>0</v>
      </c>
    </row>
    <row r="1288" spans="1:12" x14ac:dyDescent="0.3">
      <c r="A1288" s="54"/>
      <c r="B1288" s="54"/>
      <c r="C1288" s="54"/>
      <c r="D1288" s="54"/>
      <c r="E1288" s="55"/>
      <c r="F1288" s="57"/>
      <c r="G1288" s="57"/>
      <c r="H1288" s="54">
        <f t="shared" si="96"/>
        <v>0</v>
      </c>
      <c r="I1288" s="58"/>
      <c r="J1288" s="54">
        <f t="shared" si="97"/>
        <v>0</v>
      </c>
      <c r="K1288" s="57"/>
      <c r="L1288" s="54">
        <f t="shared" si="98"/>
        <v>0</v>
      </c>
    </row>
    <row r="1289" spans="1:12" x14ac:dyDescent="0.3">
      <c r="A1289" s="54"/>
      <c r="B1289" s="54"/>
      <c r="C1289" s="54"/>
      <c r="D1289" s="54"/>
      <c r="E1289" s="55"/>
      <c r="F1289" s="57"/>
      <c r="G1289" s="57"/>
      <c r="H1289" s="54">
        <f t="shared" si="96"/>
        <v>0</v>
      </c>
      <c r="I1289" s="58"/>
      <c r="J1289" s="54">
        <f t="shared" si="97"/>
        <v>0</v>
      </c>
      <c r="K1289" s="57"/>
      <c r="L1289" s="54">
        <f t="shared" si="98"/>
        <v>0</v>
      </c>
    </row>
    <row r="1290" spans="1:12" x14ac:dyDescent="0.3">
      <c r="A1290" s="54"/>
      <c r="B1290" s="54"/>
      <c r="C1290" s="54"/>
      <c r="D1290" s="54"/>
      <c r="E1290" s="55"/>
      <c r="F1290" s="57"/>
      <c r="G1290" s="57"/>
      <c r="H1290" s="54">
        <f t="shared" si="96"/>
        <v>0</v>
      </c>
      <c r="I1290" s="58"/>
      <c r="J1290" s="54">
        <f t="shared" si="97"/>
        <v>0</v>
      </c>
      <c r="K1290" s="57"/>
      <c r="L1290" s="54">
        <f t="shared" si="98"/>
        <v>0</v>
      </c>
    </row>
    <row r="1291" spans="1:12" x14ac:dyDescent="0.3">
      <c r="A1291" s="54"/>
      <c r="B1291" s="54"/>
      <c r="C1291" s="54"/>
      <c r="D1291" s="54"/>
      <c r="E1291" s="55"/>
      <c r="F1291" s="57"/>
      <c r="G1291" s="57"/>
      <c r="H1291" s="54">
        <f t="shared" si="96"/>
        <v>0</v>
      </c>
      <c r="I1291" s="58"/>
      <c r="J1291" s="54">
        <f t="shared" si="97"/>
        <v>0</v>
      </c>
      <c r="K1291" s="57"/>
      <c r="L1291" s="54">
        <f t="shared" si="98"/>
        <v>0</v>
      </c>
    </row>
    <row r="1292" spans="1:12" x14ac:dyDescent="0.3">
      <c r="A1292" s="54"/>
      <c r="B1292" s="54"/>
      <c r="C1292" s="54"/>
      <c r="D1292" s="54"/>
      <c r="E1292" s="55"/>
      <c r="F1292" s="57"/>
      <c r="G1292" s="57"/>
      <c r="H1292" s="54">
        <f t="shared" si="96"/>
        <v>0</v>
      </c>
      <c r="I1292" s="58"/>
      <c r="J1292" s="54">
        <f t="shared" si="97"/>
        <v>0</v>
      </c>
      <c r="K1292" s="57"/>
      <c r="L1292" s="54">
        <f t="shared" si="98"/>
        <v>0</v>
      </c>
    </row>
    <row r="1293" spans="1:12" x14ac:dyDescent="0.3">
      <c r="A1293" s="54"/>
      <c r="B1293" s="54"/>
      <c r="C1293" s="54"/>
      <c r="D1293" s="54"/>
      <c r="E1293" s="55"/>
      <c r="F1293" s="57"/>
      <c r="G1293" s="57"/>
      <c r="H1293" s="54">
        <f t="shared" si="96"/>
        <v>0</v>
      </c>
      <c r="I1293" s="58"/>
      <c r="J1293" s="54">
        <f t="shared" si="97"/>
        <v>0</v>
      </c>
      <c r="K1293" s="57"/>
      <c r="L1293" s="54">
        <f t="shared" si="98"/>
        <v>0</v>
      </c>
    </row>
    <row r="1294" spans="1:12" x14ac:dyDescent="0.3">
      <c r="A1294" s="54"/>
      <c r="B1294" s="54"/>
      <c r="C1294" s="54"/>
      <c r="D1294" s="54"/>
      <c r="E1294" s="55"/>
      <c r="F1294" s="57"/>
      <c r="G1294" s="57"/>
      <c r="H1294" s="54">
        <f t="shared" si="96"/>
        <v>0</v>
      </c>
      <c r="I1294" s="58"/>
      <c r="J1294" s="54">
        <f t="shared" si="97"/>
        <v>0</v>
      </c>
      <c r="K1294" s="57"/>
      <c r="L1294" s="54">
        <f t="shared" si="98"/>
        <v>0</v>
      </c>
    </row>
    <row r="1295" spans="1:12" x14ac:dyDescent="0.3">
      <c r="A1295" s="54"/>
      <c r="B1295" s="54"/>
      <c r="C1295" s="54"/>
      <c r="D1295" s="54"/>
      <c r="E1295" s="55"/>
      <c r="F1295" s="57"/>
      <c r="G1295" s="57"/>
      <c r="H1295" s="54">
        <f t="shared" si="96"/>
        <v>0</v>
      </c>
      <c r="I1295" s="58"/>
      <c r="J1295" s="54">
        <f t="shared" si="97"/>
        <v>0</v>
      </c>
      <c r="K1295" s="57"/>
      <c r="L1295" s="54">
        <f t="shared" si="98"/>
        <v>0</v>
      </c>
    </row>
    <row r="1296" spans="1:12" x14ac:dyDescent="0.3">
      <c r="A1296" s="54"/>
      <c r="B1296" s="54"/>
      <c r="C1296" s="54"/>
      <c r="D1296" s="54"/>
      <c r="E1296" s="55"/>
      <c r="F1296" s="57"/>
      <c r="G1296" s="57"/>
      <c r="H1296" s="54">
        <f t="shared" si="96"/>
        <v>0</v>
      </c>
      <c r="I1296" s="58"/>
      <c r="J1296" s="54">
        <f t="shared" si="97"/>
        <v>0</v>
      </c>
      <c r="K1296" s="57"/>
      <c r="L1296" s="54">
        <f t="shared" si="98"/>
        <v>0</v>
      </c>
    </row>
    <row r="1297" spans="1:12" x14ac:dyDescent="0.3">
      <c r="A1297" s="54"/>
      <c r="B1297" s="54"/>
      <c r="C1297" s="54"/>
      <c r="D1297" s="54"/>
      <c r="E1297" s="55"/>
      <c r="F1297" s="57"/>
      <c r="G1297" s="57"/>
      <c r="H1297" s="54">
        <f t="shared" si="96"/>
        <v>0</v>
      </c>
      <c r="I1297" s="58"/>
      <c r="J1297" s="54">
        <f t="shared" si="97"/>
        <v>0</v>
      </c>
      <c r="K1297" s="57"/>
      <c r="L1297" s="54">
        <f t="shared" si="98"/>
        <v>0</v>
      </c>
    </row>
    <row r="1298" spans="1:12" x14ac:dyDescent="0.3">
      <c r="A1298" s="54"/>
      <c r="B1298" s="54"/>
      <c r="C1298" s="54"/>
      <c r="D1298" s="54"/>
      <c r="E1298" s="55"/>
      <c r="F1298" s="57"/>
      <c r="G1298" s="57"/>
      <c r="H1298" s="54">
        <f t="shared" si="96"/>
        <v>0</v>
      </c>
      <c r="I1298" s="58"/>
      <c r="J1298" s="54">
        <f t="shared" si="97"/>
        <v>0</v>
      </c>
      <c r="K1298" s="57"/>
      <c r="L1298" s="54">
        <f t="shared" si="98"/>
        <v>0</v>
      </c>
    </row>
    <row r="1299" spans="1:12" x14ac:dyDescent="0.3">
      <c r="A1299" s="54"/>
      <c r="B1299" s="54"/>
      <c r="C1299" s="54"/>
      <c r="D1299" s="54"/>
      <c r="E1299" s="55"/>
      <c r="F1299" s="57"/>
      <c r="G1299" s="57"/>
      <c r="H1299" s="54">
        <f t="shared" si="96"/>
        <v>0</v>
      </c>
      <c r="I1299" s="58"/>
      <c r="J1299" s="54">
        <f t="shared" si="97"/>
        <v>0</v>
      </c>
      <c r="K1299" s="57"/>
      <c r="L1299" s="54">
        <f t="shared" si="98"/>
        <v>0</v>
      </c>
    </row>
    <row r="1300" spans="1:12" x14ac:dyDescent="0.3">
      <c r="A1300" s="54"/>
      <c r="B1300" s="54"/>
      <c r="C1300" s="54"/>
      <c r="D1300" s="54"/>
      <c r="E1300" s="55"/>
      <c r="F1300" s="57"/>
      <c r="G1300" s="57"/>
      <c r="H1300" s="54">
        <f t="shared" si="96"/>
        <v>0</v>
      </c>
      <c r="I1300" s="58"/>
      <c r="J1300" s="54">
        <f t="shared" si="97"/>
        <v>0</v>
      </c>
      <c r="K1300" s="57"/>
      <c r="L1300" s="54">
        <f t="shared" si="98"/>
        <v>0</v>
      </c>
    </row>
    <row r="1301" spans="1:12" x14ac:dyDescent="0.3">
      <c r="A1301" s="54"/>
      <c r="B1301" s="54"/>
      <c r="C1301" s="54"/>
      <c r="D1301" s="54"/>
      <c r="E1301" s="55"/>
      <c r="F1301" s="57"/>
      <c r="G1301" s="57"/>
      <c r="H1301" s="54">
        <f t="shared" si="96"/>
        <v>0</v>
      </c>
      <c r="I1301" s="58"/>
      <c r="J1301" s="54">
        <f t="shared" si="97"/>
        <v>0</v>
      </c>
      <c r="K1301" s="57"/>
      <c r="L1301" s="54">
        <f t="shared" si="98"/>
        <v>0</v>
      </c>
    </row>
    <row r="1302" spans="1:12" x14ac:dyDescent="0.3">
      <c r="A1302" s="54"/>
      <c r="B1302" s="54"/>
      <c r="C1302" s="54"/>
      <c r="D1302" s="54"/>
      <c r="E1302" s="55"/>
      <c r="F1302" s="57"/>
      <c r="G1302" s="57"/>
      <c r="H1302" s="54">
        <f t="shared" si="96"/>
        <v>0</v>
      </c>
      <c r="I1302" s="58"/>
      <c r="J1302" s="54">
        <f t="shared" si="97"/>
        <v>0</v>
      </c>
      <c r="K1302" s="57"/>
      <c r="L1302" s="54">
        <f t="shared" si="98"/>
        <v>0</v>
      </c>
    </row>
    <row r="1303" spans="1:12" x14ac:dyDescent="0.3">
      <c r="A1303" s="54"/>
      <c r="B1303" s="54"/>
      <c r="C1303" s="54"/>
      <c r="D1303" s="54"/>
      <c r="E1303" s="55"/>
      <c r="F1303" s="57"/>
      <c r="G1303" s="57"/>
      <c r="H1303" s="54">
        <f t="shared" si="96"/>
        <v>0</v>
      </c>
      <c r="I1303" s="58"/>
      <c r="J1303" s="54">
        <f t="shared" si="97"/>
        <v>0</v>
      </c>
      <c r="K1303" s="57"/>
      <c r="L1303" s="54">
        <f t="shared" si="98"/>
        <v>0</v>
      </c>
    </row>
    <row r="1304" spans="1:12" x14ac:dyDescent="0.3">
      <c r="A1304" s="54"/>
      <c r="B1304" s="54"/>
      <c r="C1304" s="54"/>
      <c r="D1304" s="54"/>
      <c r="E1304" s="55"/>
      <c r="F1304" s="57"/>
      <c r="G1304" s="57"/>
      <c r="H1304" s="54">
        <f t="shared" si="96"/>
        <v>0</v>
      </c>
      <c r="I1304" s="58"/>
      <c r="J1304" s="54">
        <f t="shared" si="97"/>
        <v>0</v>
      </c>
      <c r="K1304" s="57"/>
      <c r="L1304" s="54">
        <f t="shared" si="98"/>
        <v>0</v>
      </c>
    </row>
    <row r="1305" spans="1:12" x14ac:dyDescent="0.3">
      <c r="A1305" s="54"/>
      <c r="B1305" s="54"/>
      <c r="C1305" s="54"/>
      <c r="D1305" s="54"/>
      <c r="E1305" s="55"/>
      <c r="F1305" s="57"/>
      <c r="G1305" s="57"/>
      <c r="H1305" s="54">
        <f t="shared" si="96"/>
        <v>0</v>
      </c>
      <c r="I1305" s="58"/>
      <c r="J1305" s="54">
        <f t="shared" si="97"/>
        <v>0</v>
      </c>
      <c r="K1305" s="57"/>
      <c r="L1305" s="54">
        <f t="shared" si="98"/>
        <v>0</v>
      </c>
    </row>
    <row r="1306" spans="1:12" x14ac:dyDescent="0.3">
      <c r="A1306" s="54"/>
      <c r="B1306" s="54"/>
      <c r="C1306" s="54"/>
      <c r="D1306" s="54"/>
      <c r="E1306" s="55"/>
      <c r="F1306" s="57"/>
      <c r="G1306" s="57"/>
      <c r="H1306" s="54">
        <f t="shared" si="96"/>
        <v>0</v>
      </c>
      <c r="I1306" s="58"/>
      <c r="J1306" s="54">
        <f t="shared" si="97"/>
        <v>0</v>
      </c>
      <c r="K1306" s="57"/>
      <c r="L1306" s="54">
        <f t="shared" si="98"/>
        <v>0</v>
      </c>
    </row>
    <row r="1307" spans="1:12" x14ac:dyDescent="0.3">
      <c r="A1307" s="54"/>
      <c r="B1307" s="54"/>
      <c r="C1307" s="54"/>
      <c r="D1307" s="54"/>
      <c r="E1307" s="55"/>
      <c r="F1307" s="57"/>
      <c r="G1307" s="57"/>
      <c r="H1307" s="54">
        <f t="shared" ref="H1307:H1370" si="99">+F1307-G1307</f>
        <v>0</v>
      </c>
      <c r="I1307" s="58"/>
      <c r="J1307" s="54">
        <f t="shared" ref="J1307:J1370" si="100">+H1307-H1307*I1307/100</f>
        <v>0</v>
      </c>
      <c r="K1307" s="57"/>
      <c r="L1307" s="54">
        <f t="shared" ref="L1307:L1370" si="101">+J1307*K1307</f>
        <v>0</v>
      </c>
    </row>
    <row r="1308" spans="1:12" x14ac:dyDescent="0.3">
      <c r="A1308" s="54"/>
      <c r="B1308" s="54"/>
      <c r="C1308" s="54"/>
      <c r="D1308" s="54"/>
      <c r="E1308" s="55"/>
      <c r="F1308" s="57"/>
      <c r="G1308" s="57"/>
      <c r="H1308" s="54">
        <f t="shared" si="99"/>
        <v>0</v>
      </c>
      <c r="I1308" s="58"/>
      <c r="J1308" s="54">
        <f t="shared" si="100"/>
        <v>0</v>
      </c>
      <c r="K1308" s="57"/>
      <c r="L1308" s="54">
        <f t="shared" si="101"/>
        <v>0</v>
      </c>
    </row>
    <row r="1309" spans="1:12" x14ac:dyDescent="0.3">
      <c r="A1309" s="54"/>
      <c r="B1309" s="54"/>
      <c r="C1309" s="54"/>
      <c r="D1309" s="54"/>
      <c r="E1309" s="55"/>
      <c r="F1309" s="57"/>
      <c r="G1309" s="57"/>
      <c r="H1309" s="54">
        <f t="shared" si="99"/>
        <v>0</v>
      </c>
      <c r="I1309" s="58"/>
      <c r="J1309" s="54">
        <f t="shared" si="100"/>
        <v>0</v>
      </c>
      <c r="K1309" s="57"/>
      <c r="L1309" s="54">
        <f t="shared" si="101"/>
        <v>0</v>
      </c>
    </row>
    <row r="1310" spans="1:12" x14ac:dyDescent="0.3">
      <c r="A1310" s="54"/>
      <c r="B1310" s="54"/>
      <c r="C1310" s="54"/>
      <c r="D1310" s="54"/>
      <c r="E1310" s="55"/>
      <c r="F1310" s="57"/>
      <c r="G1310" s="57"/>
      <c r="H1310" s="54">
        <f t="shared" si="99"/>
        <v>0</v>
      </c>
      <c r="I1310" s="58"/>
      <c r="J1310" s="54">
        <f t="shared" si="100"/>
        <v>0</v>
      </c>
      <c r="K1310" s="57"/>
      <c r="L1310" s="54">
        <f t="shared" si="101"/>
        <v>0</v>
      </c>
    </row>
    <row r="1311" spans="1:12" x14ac:dyDescent="0.3">
      <c r="A1311" s="54"/>
      <c r="B1311" s="54"/>
      <c r="C1311" s="54"/>
      <c r="D1311" s="54"/>
      <c r="E1311" s="55"/>
      <c r="F1311" s="57"/>
      <c r="G1311" s="57"/>
      <c r="H1311" s="54">
        <f t="shared" si="99"/>
        <v>0</v>
      </c>
      <c r="I1311" s="58"/>
      <c r="J1311" s="54">
        <f t="shared" si="100"/>
        <v>0</v>
      </c>
      <c r="K1311" s="57"/>
      <c r="L1311" s="54">
        <f t="shared" si="101"/>
        <v>0</v>
      </c>
    </row>
    <row r="1312" spans="1:12" x14ac:dyDescent="0.3">
      <c r="A1312" s="54"/>
      <c r="B1312" s="54"/>
      <c r="C1312" s="54"/>
      <c r="D1312" s="54"/>
      <c r="E1312" s="55"/>
      <c r="F1312" s="57"/>
      <c r="G1312" s="57"/>
      <c r="H1312" s="54">
        <f t="shared" si="99"/>
        <v>0</v>
      </c>
      <c r="I1312" s="58"/>
      <c r="J1312" s="54">
        <f t="shared" si="100"/>
        <v>0</v>
      </c>
      <c r="K1312" s="57"/>
      <c r="L1312" s="54">
        <f t="shared" si="101"/>
        <v>0</v>
      </c>
    </row>
    <row r="1313" spans="1:12" x14ac:dyDescent="0.3">
      <c r="A1313" s="54"/>
      <c r="B1313" s="54"/>
      <c r="C1313" s="54"/>
      <c r="D1313" s="54"/>
      <c r="E1313" s="55"/>
      <c r="F1313" s="57"/>
      <c r="G1313" s="57"/>
      <c r="H1313" s="54">
        <f t="shared" si="99"/>
        <v>0</v>
      </c>
      <c r="I1313" s="58"/>
      <c r="J1313" s="54">
        <f t="shared" si="100"/>
        <v>0</v>
      </c>
      <c r="K1313" s="57"/>
      <c r="L1313" s="54">
        <f t="shared" si="101"/>
        <v>0</v>
      </c>
    </row>
    <row r="1314" spans="1:12" x14ac:dyDescent="0.3">
      <c r="A1314" s="54"/>
      <c r="B1314" s="54"/>
      <c r="C1314" s="54"/>
      <c r="D1314" s="54"/>
      <c r="E1314" s="55"/>
      <c r="F1314" s="57"/>
      <c r="G1314" s="57"/>
      <c r="H1314" s="54">
        <f t="shared" si="99"/>
        <v>0</v>
      </c>
      <c r="I1314" s="58"/>
      <c r="J1314" s="54">
        <f t="shared" si="100"/>
        <v>0</v>
      </c>
      <c r="K1314" s="57"/>
      <c r="L1314" s="54">
        <f t="shared" si="101"/>
        <v>0</v>
      </c>
    </row>
    <row r="1315" spans="1:12" x14ac:dyDescent="0.3">
      <c r="A1315" s="54"/>
      <c r="B1315" s="54"/>
      <c r="C1315" s="54"/>
      <c r="D1315" s="54"/>
      <c r="E1315" s="55"/>
      <c r="F1315" s="57"/>
      <c r="G1315" s="57"/>
      <c r="H1315" s="54">
        <f t="shared" si="99"/>
        <v>0</v>
      </c>
      <c r="I1315" s="58"/>
      <c r="J1315" s="54">
        <f t="shared" si="100"/>
        <v>0</v>
      </c>
      <c r="K1315" s="57"/>
      <c r="L1315" s="54">
        <f t="shared" si="101"/>
        <v>0</v>
      </c>
    </row>
    <row r="1316" spans="1:12" x14ac:dyDescent="0.3">
      <c r="A1316" s="54"/>
      <c r="B1316" s="54"/>
      <c r="C1316" s="54"/>
      <c r="D1316" s="54"/>
      <c r="E1316" s="55"/>
      <c r="F1316" s="57"/>
      <c r="G1316" s="57"/>
      <c r="H1316" s="54">
        <f t="shared" si="99"/>
        <v>0</v>
      </c>
      <c r="I1316" s="58"/>
      <c r="J1316" s="54">
        <f t="shared" si="100"/>
        <v>0</v>
      </c>
      <c r="K1316" s="57"/>
      <c r="L1316" s="54">
        <f t="shared" si="101"/>
        <v>0</v>
      </c>
    </row>
    <row r="1317" spans="1:12" x14ac:dyDescent="0.3">
      <c r="A1317" s="54"/>
      <c r="B1317" s="54"/>
      <c r="C1317" s="54"/>
      <c r="D1317" s="54"/>
      <c r="E1317" s="55"/>
      <c r="F1317" s="57"/>
      <c r="G1317" s="57"/>
      <c r="H1317" s="54">
        <f t="shared" si="99"/>
        <v>0</v>
      </c>
      <c r="I1317" s="58"/>
      <c r="J1317" s="54">
        <f t="shared" si="100"/>
        <v>0</v>
      </c>
      <c r="K1317" s="57"/>
      <c r="L1317" s="54">
        <f t="shared" si="101"/>
        <v>0</v>
      </c>
    </row>
    <row r="1318" spans="1:12" x14ac:dyDescent="0.3">
      <c r="A1318" s="54"/>
      <c r="B1318" s="54"/>
      <c r="C1318" s="54"/>
      <c r="D1318" s="54"/>
      <c r="E1318" s="55"/>
      <c r="F1318" s="57"/>
      <c r="G1318" s="57"/>
      <c r="H1318" s="54">
        <f t="shared" si="99"/>
        <v>0</v>
      </c>
      <c r="I1318" s="58"/>
      <c r="J1318" s="54">
        <f t="shared" si="100"/>
        <v>0</v>
      </c>
      <c r="K1318" s="57"/>
      <c r="L1318" s="54">
        <f t="shared" si="101"/>
        <v>0</v>
      </c>
    </row>
    <row r="1319" spans="1:12" x14ac:dyDescent="0.3">
      <c r="A1319" s="54"/>
      <c r="B1319" s="54"/>
      <c r="C1319" s="54"/>
      <c r="D1319" s="54"/>
      <c r="E1319" s="55"/>
      <c r="F1319" s="57"/>
      <c r="G1319" s="57"/>
      <c r="H1319" s="54">
        <f t="shared" si="99"/>
        <v>0</v>
      </c>
      <c r="I1319" s="58"/>
      <c r="J1319" s="54">
        <f t="shared" si="100"/>
        <v>0</v>
      </c>
      <c r="K1319" s="57"/>
      <c r="L1319" s="54">
        <f t="shared" si="101"/>
        <v>0</v>
      </c>
    </row>
    <row r="1320" spans="1:12" x14ac:dyDescent="0.3">
      <c r="A1320" s="54"/>
      <c r="B1320" s="54"/>
      <c r="C1320" s="54"/>
      <c r="D1320" s="54"/>
      <c r="E1320" s="55"/>
      <c r="F1320" s="57"/>
      <c r="G1320" s="57"/>
      <c r="H1320" s="54">
        <f t="shared" si="99"/>
        <v>0</v>
      </c>
      <c r="I1320" s="58"/>
      <c r="J1320" s="54">
        <f t="shared" si="100"/>
        <v>0</v>
      </c>
      <c r="K1320" s="57"/>
      <c r="L1320" s="54">
        <f t="shared" si="101"/>
        <v>0</v>
      </c>
    </row>
    <row r="1321" spans="1:12" x14ac:dyDescent="0.3">
      <c r="A1321" s="54"/>
      <c r="B1321" s="54"/>
      <c r="C1321" s="54"/>
      <c r="D1321" s="54"/>
      <c r="E1321" s="55"/>
      <c r="F1321" s="57"/>
      <c r="G1321" s="57"/>
      <c r="H1321" s="54">
        <f t="shared" si="99"/>
        <v>0</v>
      </c>
      <c r="I1321" s="58"/>
      <c r="J1321" s="54">
        <f t="shared" si="100"/>
        <v>0</v>
      </c>
      <c r="K1321" s="57"/>
      <c r="L1321" s="54">
        <f t="shared" si="101"/>
        <v>0</v>
      </c>
    </row>
    <row r="1322" spans="1:12" x14ac:dyDescent="0.3">
      <c r="A1322" s="54"/>
      <c r="B1322" s="54"/>
      <c r="C1322" s="54"/>
      <c r="D1322" s="54"/>
      <c r="E1322" s="55"/>
      <c r="F1322" s="57"/>
      <c r="G1322" s="57"/>
      <c r="H1322" s="54">
        <f t="shared" si="99"/>
        <v>0</v>
      </c>
      <c r="I1322" s="58"/>
      <c r="J1322" s="54">
        <f t="shared" si="100"/>
        <v>0</v>
      </c>
      <c r="K1322" s="57"/>
      <c r="L1322" s="54">
        <f t="shared" si="101"/>
        <v>0</v>
      </c>
    </row>
    <row r="1323" spans="1:12" x14ac:dyDescent="0.3">
      <c r="A1323" s="54"/>
      <c r="B1323" s="54"/>
      <c r="C1323" s="54"/>
      <c r="D1323" s="54"/>
      <c r="E1323" s="55"/>
      <c r="F1323" s="57"/>
      <c r="G1323" s="57"/>
      <c r="H1323" s="54">
        <f t="shared" si="99"/>
        <v>0</v>
      </c>
      <c r="I1323" s="58"/>
      <c r="J1323" s="54">
        <f t="shared" si="100"/>
        <v>0</v>
      </c>
      <c r="K1323" s="57"/>
      <c r="L1323" s="54">
        <f t="shared" si="101"/>
        <v>0</v>
      </c>
    </row>
    <row r="1324" spans="1:12" x14ac:dyDescent="0.3">
      <c r="A1324" s="54"/>
      <c r="B1324" s="54"/>
      <c r="C1324" s="54"/>
      <c r="D1324" s="54"/>
      <c r="E1324" s="55"/>
      <c r="F1324" s="57"/>
      <c r="G1324" s="57"/>
      <c r="H1324" s="54">
        <f t="shared" si="99"/>
        <v>0</v>
      </c>
      <c r="I1324" s="58"/>
      <c r="J1324" s="54">
        <f t="shared" si="100"/>
        <v>0</v>
      </c>
      <c r="K1324" s="57"/>
      <c r="L1324" s="54">
        <f t="shared" si="101"/>
        <v>0</v>
      </c>
    </row>
    <row r="1325" spans="1:12" x14ac:dyDescent="0.3">
      <c r="A1325" s="54"/>
      <c r="B1325" s="54"/>
      <c r="C1325" s="54"/>
      <c r="D1325" s="54"/>
      <c r="E1325" s="55"/>
      <c r="F1325" s="57"/>
      <c r="G1325" s="57"/>
      <c r="H1325" s="54">
        <f t="shared" si="99"/>
        <v>0</v>
      </c>
      <c r="I1325" s="58"/>
      <c r="J1325" s="54">
        <f t="shared" si="100"/>
        <v>0</v>
      </c>
      <c r="K1325" s="57"/>
      <c r="L1325" s="54">
        <f t="shared" si="101"/>
        <v>0</v>
      </c>
    </row>
    <row r="1326" spans="1:12" x14ac:dyDescent="0.3">
      <c r="A1326" s="54"/>
      <c r="B1326" s="54"/>
      <c r="C1326" s="54"/>
      <c r="D1326" s="54"/>
      <c r="E1326" s="55"/>
      <c r="F1326" s="57"/>
      <c r="G1326" s="57"/>
      <c r="H1326" s="54">
        <f t="shared" si="99"/>
        <v>0</v>
      </c>
      <c r="I1326" s="58"/>
      <c r="J1326" s="54">
        <f t="shared" si="100"/>
        <v>0</v>
      </c>
      <c r="K1326" s="57"/>
      <c r="L1326" s="54">
        <f t="shared" si="101"/>
        <v>0</v>
      </c>
    </row>
    <row r="1327" spans="1:12" x14ac:dyDescent="0.3">
      <c r="A1327" s="54"/>
      <c r="B1327" s="54"/>
      <c r="C1327" s="54"/>
      <c r="D1327" s="54"/>
      <c r="E1327" s="55"/>
      <c r="F1327" s="57"/>
      <c r="G1327" s="57"/>
      <c r="H1327" s="54">
        <f t="shared" si="99"/>
        <v>0</v>
      </c>
      <c r="I1327" s="58"/>
      <c r="J1327" s="54">
        <f t="shared" si="100"/>
        <v>0</v>
      </c>
      <c r="K1327" s="57"/>
      <c r="L1327" s="54">
        <f t="shared" si="101"/>
        <v>0</v>
      </c>
    </row>
    <row r="1328" spans="1:12" x14ac:dyDescent="0.3">
      <c r="A1328" s="54"/>
      <c r="B1328" s="54"/>
      <c r="C1328" s="54"/>
      <c r="D1328" s="54"/>
      <c r="E1328" s="55"/>
      <c r="F1328" s="57"/>
      <c r="G1328" s="57"/>
      <c r="H1328" s="54">
        <f t="shared" si="99"/>
        <v>0</v>
      </c>
      <c r="I1328" s="58"/>
      <c r="J1328" s="54">
        <f t="shared" si="100"/>
        <v>0</v>
      </c>
      <c r="K1328" s="57"/>
      <c r="L1328" s="54">
        <f t="shared" si="101"/>
        <v>0</v>
      </c>
    </row>
    <row r="1329" spans="1:12" x14ac:dyDescent="0.3">
      <c r="A1329" s="54"/>
      <c r="B1329" s="54"/>
      <c r="C1329" s="54"/>
      <c r="D1329" s="54"/>
      <c r="E1329" s="55"/>
      <c r="F1329" s="57"/>
      <c r="G1329" s="57"/>
      <c r="H1329" s="54">
        <f t="shared" si="99"/>
        <v>0</v>
      </c>
      <c r="I1329" s="58"/>
      <c r="J1329" s="54">
        <f t="shared" si="100"/>
        <v>0</v>
      </c>
      <c r="K1329" s="57"/>
      <c r="L1329" s="54">
        <f t="shared" si="101"/>
        <v>0</v>
      </c>
    </row>
    <row r="1330" spans="1:12" x14ac:dyDescent="0.3">
      <c r="A1330" s="54"/>
      <c r="B1330" s="54"/>
      <c r="C1330" s="54"/>
      <c r="D1330" s="54"/>
      <c r="E1330" s="55"/>
      <c r="F1330" s="57"/>
      <c r="G1330" s="57"/>
      <c r="H1330" s="54">
        <f t="shared" si="99"/>
        <v>0</v>
      </c>
      <c r="I1330" s="58"/>
      <c r="J1330" s="54">
        <f t="shared" si="100"/>
        <v>0</v>
      </c>
      <c r="K1330" s="57"/>
      <c r="L1330" s="54">
        <f t="shared" si="101"/>
        <v>0</v>
      </c>
    </row>
    <row r="1331" spans="1:12" x14ac:dyDescent="0.3">
      <c r="A1331" s="54"/>
      <c r="B1331" s="54"/>
      <c r="C1331" s="54"/>
      <c r="D1331" s="54"/>
      <c r="E1331" s="55"/>
      <c r="F1331" s="57"/>
      <c r="G1331" s="57"/>
      <c r="H1331" s="54">
        <f t="shared" si="99"/>
        <v>0</v>
      </c>
      <c r="I1331" s="58"/>
      <c r="J1331" s="54">
        <f t="shared" si="100"/>
        <v>0</v>
      </c>
      <c r="K1331" s="57"/>
      <c r="L1331" s="54">
        <f t="shared" si="101"/>
        <v>0</v>
      </c>
    </row>
    <row r="1332" spans="1:12" x14ac:dyDescent="0.3">
      <c r="A1332" s="54"/>
      <c r="B1332" s="54"/>
      <c r="C1332" s="54"/>
      <c r="D1332" s="54"/>
      <c r="E1332" s="55"/>
      <c r="F1332" s="57"/>
      <c r="G1332" s="57"/>
      <c r="H1332" s="54">
        <f t="shared" si="99"/>
        <v>0</v>
      </c>
      <c r="I1332" s="58"/>
      <c r="J1332" s="54">
        <f t="shared" si="100"/>
        <v>0</v>
      </c>
      <c r="K1332" s="57"/>
      <c r="L1332" s="54">
        <f t="shared" si="101"/>
        <v>0</v>
      </c>
    </row>
    <row r="1333" spans="1:12" x14ac:dyDescent="0.3">
      <c r="A1333" s="54"/>
      <c r="B1333" s="54"/>
      <c r="C1333" s="54"/>
      <c r="D1333" s="54"/>
      <c r="E1333" s="55"/>
      <c r="F1333" s="57"/>
      <c r="G1333" s="57"/>
      <c r="H1333" s="54">
        <f t="shared" si="99"/>
        <v>0</v>
      </c>
      <c r="I1333" s="58"/>
      <c r="J1333" s="54">
        <f t="shared" si="100"/>
        <v>0</v>
      </c>
      <c r="K1333" s="57"/>
      <c r="L1333" s="54">
        <f t="shared" si="101"/>
        <v>0</v>
      </c>
    </row>
    <row r="1334" spans="1:12" x14ac:dyDescent="0.3">
      <c r="A1334" s="54"/>
      <c r="B1334" s="54"/>
      <c r="C1334" s="54"/>
      <c r="D1334" s="54"/>
      <c r="E1334" s="55"/>
      <c r="F1334" s="57"/>
      <c r="G1334" s="57"/>
      <c r="H1334" s="54">
        <f t="shared" si="99"/>
        <v>0</v>
      </c>
      <c r="I1334" s="58"/>
      <c r="J1334" s="54">
        <f t="shared" si="100"/>
        <v>0</v>
      </c>
      <c r="K1334" s="57"/>
      <c r="L1334" s="54">
        <f t="shared" si="101"/>
        <v>0</v>
      </c>
    </row>
    <row r="1335" spans="1:12" x14ac:dyDescent="0.3">
      <c r="A1335" s="54"/>
      <c r="B1335" s="54"/>
      <c r="C1335" s="54"/>
      <c r="D1335" s="54"/>
      <c r="E1335" s="55"/>
      <c r="F1335" s="57"/>
      <c r="G1335" s="57"/>
      <c r="H1335" s="54">
        <f t="shared" si="99"/>
        <v>0</v>
      </c>
      <c r="I1335" s="58"/>
      <c r="J1335" s="54">
        <f t="shared" si="100"/>
        <v>0</v>
      </c>
      <c r="K1335" s="57"/>
      <c r="L1335" s="54">
        <f t="shared" si="101"/>
        <v>0</v>
      </c>
    </row>
    <row r="1336" spans="1:12" x14ac:dyDescent="0.3">
      <c r="A1336" s="54"/>
      <c r="B1336" s="54"/>
      <c r="C1336" s="54"/>
      <c r="D1336" s="54"/>
      <c r="E1336" s="55"/>
      <c r="F1336" s="57"/>
      <c r="G1336" s="57"/>
      <c r="H1336" s="54">
        <f t="shared" si="99"/>
        <v>0</v>
      </c>
      <c r="I1336" s="58"/>
      <c r="J1336" s="54">
        <f t="shared" si="100"/>
        <v>0</v>
      </c>
      <c r="K1336" s="57"/>
      <c r="L1336" s="54">
        <f t="shared" si="101"/>
        <v>0</v>
      </c>
    </row>
    <row r="1337" spans="1:12" x14ac:dyDescent="0.3">
      <c r="A1337" s="54"/>
      <c r="B1337" s="54"/>
      <c r="C1337" s="54"/>
      <c r="D1337" s="54"/>
      <c r="E1337" s="55"/>
      <c r="F1337" s="57"/>
      <c r="G1337" s="57"/>
      <c r="H1337" s="54">
        <f t="shared" si="99"/>
        <v>0</v>
      </c>
      <c r="I1337" s="58"/>
      <c r="J1337" s="54">
        <f t="shared" si="100"/>
        <v>0</v>
      </c>
      <c r="K1337" s="57"/>
      <c r="L1337" s="54">
        <f t="shared" si="101"/>
        <v>0</v>
      </c>
    </row>
    <row r="1338" spans="1:12" x14ac:dyDescent="0.3">
      <c r="A1338" s="54"/>
      <c r="B1338" s="54"/>
      <c r="C1338" s="54"/>
      <c r="D1338" s="54"/>
      <c r="E1338" s="55"/>
      <c r="F1338" s="57"/>
      <c r="G1338" s="57"/>
      <c r="H1338" s="54">
        <f t="shared" si="99"/>
        <v>0</v>
      </c>
      <c r="I1338" s="58"/>
      <c r="J1338" s="54">
        <f t="shared" si="100"/>
        <v>0</v>
      </c>
      <c r="K1338" s="57"/>
      <c r="L1338" s="54">
        <f t="shared" si="101"/>
        <v>0</v>
      </c>
    </row>
    <row r="1339" spans="1:12" x14ac:dyDescent="0.3">
      <c r="A1339" s="54"/>
      <c r="B1339" s="54"/>
      <c r="C1339" s="54"/>
      <c r="D1339" s="54"/>
      <c r="E1339" s="55"/>
      <c r="F1339" s="57"/>
      <c r="G1339" s="57"/>
      <c r="H1339" s="54">
        <f t="shared" si="99"/>
        <v>0</v>
      </c>
      <c r="I1339" s="58"/>
      <c r="J1339" s="54">
        <f t="shared" si="100"/>
        <v>0</v>
      </c>
      <c r="K1339" s="57"/>
      <c r="L1339" s="54">
        <f t="shared" si="101"/>
        <v>0</v>
      </c>
    </row>
    <row r="1340" spans="1:12" x14ac:dyDescent="0.3">
      <c r="A1340" s="54"/>
      <c r="B1340" s="54"/>
      <c r="C1340" s="54"/>
      <c r="D1340" s="54"/>
      <c r="E1340" s="55"/>
      <c r="F1340" s="57"/>
      <c r="G1340" s="57"/>
      <c r="H1340" s="54">
        <f t="shared" si="99"/>
        <v>0</v>
      </c>
      <c r="I1340" s="58"/>
      <c r="J1340" s="54">
        <f t="shared" si="100"/>
        <v>0</v>
      </c>
      <c r="K1340" s="57"/>
      <c r="L1340" s="54">
        <f t="shared" si="101"/>
        <v>0</v>
      </c>
    </row>
    <row r="1341" spans="1:12" x14ac:dyDescent="0.3">
      <c r="A1341" s="54"/>
      <c r="B1341" s="54"/>
      <c r="C1341" s="54"/>
      <c r="D1341" s="54"/>
      <c r="E1341" s="55"/>
      <c r="F1341" s="57"/>
      <c r="G1341" s="57"/>
      <c r="H1341" s="54">
        <f t="shared" si="99"/>
        <v>0</v>
      </c>
      <c r="I1341" s="58"/>
      <c r="J1341" s="54">
        <f t="shared" si="100"/>
        <v>0</v>
      </c>
      <c r="K1341" s="57"/>
      <c r="L1341" s="54">
        <f t="shared" si="101"/>
        <v>0</v>
      </c>
    </row>
    <row r="1342" spans="1:12" x14ac:dyDescent="0.3">
      <c r="A1342" s="54"/>
      <c r="B1342" s="54"/>
      <c r="C1342" s="54"/>
      <c r="D1342" s="54"/>
      <c r="E1342" s="55"/>
      <c r="F1342" s="57"/>
      <c r="G1342" s="57"/>
      <c r="H1342" s="54">
        <f t="shared" si="99"/>
        <v>0</v>
      </c>
      <c r="I1342" s="58"/>
      <c r="J1342" s="54">
        <f t="shared" si="100"/>
        <v>0</v>
      </c>
      <c r="K1342" s="57"/>
      <c r="L1342" s="54">
        <f t="shared" si="101"/>
        <v>0</v>
      </c>
    </row>
    <row r="1343" spans="1:12" x14ac:dyDescent="0.3">
      <c r="A1343" s="54"/>
      <c r="B1343" s="54"/>
      <c r="C1343" s="54"/>
      <c r="D1343" s="54"/>
      <c r="E1343" s="55"/>
      <c r="F1343" s="57"/>
      <c r="G1343" s="57"/>
      <c r="H1343" s="54">
        <f t="shared" si="99"/>
        <v>0</v>
      </c>
      <c r="I1343" s="58"/>
      <c r="J1343" s="54">
        <f t="shared" si="100"/>
        <v>0</v>
      </c>
      <c r="K1343" s="57"/>
      <c r="L1343" s="54">
        <f t="shared" si="101"/>
        <v>0</v>
      </c>
    </row>
    <row r="1344" spans="1:12" x14ac:dyDescent="0.3">
      <c r="A1344" s="54"/>
      <c r="B1344" s="54"/>
      <c r="C1344" s="54"/>
      <c r="D1344" s="54"/>
      <c r="E1344" s="55"/>
      <c r="F1344" s="57"/>
      <c r="G1344" s="57"/>
      <c r="H1344" s="54">
        <f t="shared" si="99"/>
        <v>0</v>
      </c>
      <c r="I1344" s="58"/>
      <c r="J1344" s="54">
        <f t="shared" si="100"/>
        <v>0</v>
      </c>
      <c r="K1344" s="57"/>
      <c r="L1344" s="54">
        <f t="shared" si="101"/>
        <v>0</v>
      </c>
    </row>
    <row r="1345" spans="1:12" x14ac:dyDescent="0.3">
      <c r="A1345" s="54"/>
      <c r="B1345" s="54"/>
      <c r="C1345" s="54"/>
      <c r="D1345" s="54"/>
      <c r="E1345" s="55"/>
      <c r="F1345" s="57"/>
      <c r="G1345" s="57"/>
      <c r="H1345" s="54">
        <f t="shared" si="99"/>
        <v>0</v>
      </c>
      <c r="I1345" s="58"/>
      <c r="J1345" s="54">
        <f t="shared" si="100"/>
        <v>0</v>
      </c>
      <c r="K1345" s="57"/>
      <c r="L1345" s="54">
        <f t="shared" si="101"/>
        <v>0</v>
      </c>
    </row>
    <row r="1346" spans="1:12" x14ac:dyDescent="0.3">
      <c r="A1346" s="54"/>
      <c r="B1346" s="54"/>
      <c r="C1346" s="54"/>
      <c r="D1346" s="54"/>
      <c r="E1346" s="55"/>
      <c r="F1346" s="57"/>
      <c r="G1346" s="57"/>
      <c r="H1346" s="54">
        <f t="shared" si="99"/>
        <v>0</v>
      </c>
      <c r="I1346" s="58"/>
      <c r="J1346" s="54">
        <f t="shared" si="100"/>
        <v>0</v>
      </c>
      <c r="K1346" s="57"/>
      <c r="L1346" s="54">
        <f t="shared" si="101"/>
        <v>0</v>
      </c>
    </row>
    <row r="1347" spans="1:12" x14ac:dyDescent="0.3">
      <c r="A1347" s="54"/>
      <c r="B1347" s="54"/>
      <c r="C1347" s="54"/>
      <c r="D1347" s="54"/>
      <c r="E1347" s="55"/>
      <c r="F1347" s="57"/>
      <c r="G1347" s="57"/>
      <c r="H1347" s="54">
        <f t="shared" si="99"/>
        <v>0</v>
      </c>
      <c r="I1347" s="58"/>
      <c r="J1347" s="54">
        <f t="shared" si="100"/>
        <v>0</v>
      </c>
      <c r="K1347" s="57"/>
      <c r="L1347" s="54">
        <f t="shared" si="101"/>
        <v>0</v>
      </c>
    </row>
    <row r="1348" spans="1:12" x14ac:dyDescent="0.3">
      <c r="A1348" s="54"/>
      <c r="B1348" s="54"/>
      <c r="C1348" s="54"/>
      <c r="D1348" s="54"/>
      <c r="E1348" s="55"/>
      <c r="F1348" s="57"/>
      <c r="G1348" s="57"/>
      <c r="H1348" s="54">
        <f t="shared" si="99"/>
        <v>0</v>
      </c>
      <c r="I1348" s="58"/>
      <c r="J1348" s="54">
        <f t="shared" si="100"/>
        <v>0</v>
      </c>
      <c r="K1348" s="57"/>
      <c r="L1348" s="54">
        <f t="shared" si="101"/>
        <v>0</v>
      </c>
    </row>
    <row r="1349" spans="1:12" x14ac:dyDescent="0.3">
      <c r="A1349" s="54"/>
      <c r="B1349" s="54"/>
      <c r="C1349" s="54"/>
      <c r="D1349" s="54"/>
      <c r="E1349" s="55"/>
      <c r="F1349" s="57"/>
      <c r="G1349" s="57"/>
      <c r="H1349" s="54">
        <f t="shared" si="99"/>
        <v>0</v>
      </c>
      <c r="I1349" s="58"/>
      <c r="J1349" s="54">
        <f t="shared" si="100"/>
        <v>0</v>
      </c>
      <c r="K1349" s="57"/>
      <c r="L1349" s="54">
        <f t="shared" si="101"/>
        <v>0</v>
      </c>
    </row>
    <row r="1350" spans="1:12" x14ac:dyDescent="0.3">
      <c r="A1350" s="54"/>
      <c r="B1350" s="54"/>
      <c r="C1350" s="54"/>
      <c r="D1350" s="54"/>
      <c r="E1350" s="55"/>
      <c r="F1350" s="57"/>
      <c r="G1350" s="57"/>
      <c r="H1350" s="54">
        <f t="shared" si="99"/>
        <v>0</v>
      </c>
      <c r="I1350" s="58"/>
      <c r="J1350" s="54">
        <f t="shared" si="100"/>
        <v>0</v>
      </c>
      <c r="K1350" s="57"/>
      <c r="L1350" s="54">
        <f t="shared" si="101"/>
        <v>0</v>
      </c>
    </row>
    <row r="1351" spans="1:12" x14ac:dyDescent="0.3">
      <c r="A1351" s="54"/>
      <c r="B1351" s="54"/>
      <c r="C1351" s="54"/>
      <c r="D1351" s="54"/>
      <c r="E1351" s="55"/>
      <c r="F1351" s="57"/>
      <c r="G1351" s="57"/>
      <c r="H1351" s="54">
        <f t="shared" si="99"/>
        <v>0</v>
      </c>
      <c r="I1351" s="58"/>
      <c r="J1351" s="54">
        <f t="shared" si="100"/>
        <v>0</v>
      </c>
      <c r="K1351" s="57"/>
      <c r="L1351" s="54">
        <f t="shared" si="101"/>
        <v>0</v>
      </c>
    </row>
    <row r="1352" spans="1:12" x14ac:dyDescent="0.3">
      <c r="A1352" s="54"/>
      <c r="B1352" s="54"/>
      <c r="C1352" s="54"/>
      <c r="D1352" s="54"/>
      <c r="E1352" s="55"/>
      <c r="F1352" s="57"/>
      <c r="G1352" s="57"/>
      <c r="H1352" s="54">
        <f t="shared" si="99"/>
        <v>0</v>
      </c>
      <c r="I1352" s="58"/>
      <c r="J1352" s="54">
        <f t="shared" si="100"/>
        <v>0</v>
      </c>
      <c r="K1352" s="57"/>
      <c r="L1352" s="54">
        <f t="shared" si="101"/>
        <v>0</v>
      </c>
    </row>
    <row r="1353" spans="1:12" x14ac:dyDescent="0.3">
      <c r="A1353" s="54"/>
      <c r="B1353" s="54"/>
      <c r="C1353" s="54"/>
      <c r="D1353" s="54"/>
      <c r="E1353" s="55"/>
      <c r="F1353" s="57"/>
      <c r="G1353" s="57"/>
      <c r="H1353" s="54">
        <f t="shared" si="99"/>
        <v>0</v>
      </c>
      <c r="I1353" s="58"/>
      <c r="J1353" s="54">
        <f t="shared" si="100"/>
        <v>0</v>
      </c>
      <c r="K1353" s="57"/>
      <c r="L1353" s="54">
        <f t="shared" si="101"/>
        <v>0</v>
      </c>
    </row>
    <row r="1354" spans="1:12" x14ac:dyDescent="0.3">
      <c r="A1354" s="54"/>
      <c r="B1354" s="54"/>
      <c r="C1354" s="54"/>
      <c r="D1354" s="54"/>
      <c r="E1354" s="55"/>
      <c r="F1354" s="57"/>
      <c r="G1354" s="57"/>
      <c r="H1354" s="54">
        <f t="shared" si="99"/>
        <v>0</v>
      </c>
      <c r="I1354" s="58"/>
      <c r="J1354" s="54">
        <f t="shared" si="100"/>
        <v>0</v>
      </c>
      <c r="K1354" s="57"/>
      <c r="L1354" s="54">
        <f t="shared" si="101"/>
        <v>0</v>
      </c>
    </row>
    <row r="1355" spans="1:12" x14ac:dyDescent="0.3">
      <c r="A1355" s="54"/>
      <c r="B1355" s="54"/>
      <c r="C1355" s="54"/>
      <c r="D1355" s="54"/>
      <c r="E1355" s="55"/>
      <c r="F1355" s="57"/>
      <c r="G1355" s="57"/>
      <c r="H1355" s="54">
        <f t="shared" si="99"/>
        <v>0</v>
      </c>
      <c r="I1355" s="58"/>
      <c r="J1355" s="54">
        <f t="shared" si="100"/>
        <v>0</v>
      </c>
      <c r="K1355" s="57"/>
      <c r="L1355" s="54">
        <f t="shared" si="101"/>
        <v>0</v>
      </c>
    </row>
    <row r="1356" spans="1:12" x14ac:dyDescent="0.3">
      <c r="A1356" s="54"/>
      <c r="B1356" s="54"/>
      <c r="C1356" s="54"/>
      <c r="D1356" s="54"/>
      <c r="E1356" s="55"/>
      <c r="F1356" s="57"/>
      <c r="G1356" s="57"/>
      <c r="H1356" s="54">
        <f t="shared" si="99"/>
        <v>0</v>
      </c>
      <c r="I1356" s="58"/>
      <c r="J1356" s="54">
        <f t="shared" si="100"/>
        <v>0</v>
      </c>
      <c r="K1356" s="57"/>
      <c r="L1356" s="54">
        <f t="shared" si="101"/>
        <v>0</v>
      </c>
    </row>
    <row r="1357" spans="1:12" x14ac:dyDescent="0.3">
      <c r="A1357" s="54"/>
      <c r="B1357" s="54"/>
      <c r="C1357" s="54"/>
      <c r="D1357" s="54"/>
      <c r="E1357" s="55"/>
      <c r="F1357" s="57"/>
      <c r="G1357" s="57"/>
      <c r="H1357" s="54">
        <f t="shared" si="99"/>
        <v>0</v>
      </c>
      <c r="I1357" s="58"/>
      <c r="J1357" s="54">
        <f t="shared" si="100"/>
        <v>0</v>
      </c>
      <c r="K1357" s="57"/>
      <c r="L1357" s="54">
        <f t="shared" si="101"/>
        <v>0</v>
      </c>
    </row>
    <row r="1358" spans="1:12" x14ac:dyDescent="0.3">
      <c r="A1358" s="54"/>
      <c r="B1358" s="54"/>
      <c r="C1358" s="54"/>
      <c r="D1358" s="54"/>
      <c r="E1358" s="55"/>
      <c r="F1358" s="57"/>
      <c r="G1358" s="57"/>
      <c r="H1358" s="54">
        <f t="shared" si="99"/>
        <v>0</v>
      </c>
      <c r="I1358" s="58"/>
      <c r="J1358" s="54">
        <f t="shared" si="100"/>
        <v>0</v>
      </c>
      <c r="K1358" s="57"/>
      <c r="L1358" s="54">
        <f t="shared" si="101"/>
        <v>0</v>
      </c>
    </row>
    <row r="1359" spans="1:12" x14ac:dyDescent="0.3">
      <c r="A1359" s="54"/>
      <c r="B1359" s="54"/>
      <c r="C1359" s="54"/>
      <c r="D1359" s="54"/>
      <c r="E1359" s="55"/>
      <c r="F1359" s="57"/>
      <c r="G1359" s="57"/>
      <c r="H1359" s="54">
        <f t="shared" si="99"/>
        <v>0</v>
      </c>
      <c r="I1359" s="58"/>
      <c r="J1359" s="54">
        <f t="shared" si="100"/>
        <v>0</v>
      </c>
      <c r="K1359" s="57"/>
      <c r="L1359" s="54">
        <f t="shared" si="101"/>
        <v>0</v>
      </c>
    </row>
    <row r="1360" spans="1:12" x14ac:dyDescent="0.3">
      <c r="A1360" s="54"/>
      <c r="B1360" s="54"/>
      <c r="C1360" s="54"/>
      <c r="D1360" s="54"/>
      <c r="E1360" s="55"/>
      <c r="F1360" s="57"/>
      <c r="G1360" s="57"/>
      <c r="H1360" s="54">
        <f t="shared" si="99"/>
        <v>0</v>
      </c>
      <c r="I1360" s="58"/>
      <c r="J1360" s="54">
        <f t="shared" si="100"/>
        <v>0</v>
      </c>
      <c r="K1360" s="57"/>
      <c r="L1360" s="54">
        <f t="shared" si="101"/>
        <v>0</v>
      </c>
    </row>
    <row r="1361" spans="1:12" x14ac:dyDescent="0.3">
      <c r="A1361" s="54"/>
      <c r="B1361" s="54"/>
      <c r="C1361" s="54"/>
      <c r="D1361" s="54"/>
      <c r="E1361" s="55"/>
      <c r="F1361" s="57"/>
      <c r="G1361" s="57"/>
      <c r="H1361" s="54">
        <f t="shared" si="99"/>
        <v>0</v>
      </c>
      <c r="I1361" s="58"/>
      <c r="J1361" s="54">
        <f t="shared" si="100"/>
        <v>0</v>
      </c>
      <c r="K1361" s="57"/>
      <c r="L1361" s="54">
        <f t="shared" si="101"/>
        <v>0</v>
      </c>
    </row>
    <row r="1362" spans="1:12" x14ac:dyDescent="0.3">
      <c r="A1362" s="54"/>
      <c r="B1362" s="54"/>
      <c r="C1362" s="54"/>
      <c r="D1362" s="54"/>
      <c r="E1362" s="55"/>
      <c r="F1362" s="57"/>
      <c r="G1362" s="57"/>
      <c r="H1362" s="54">
        <f t="shared" si="99"/>
        <v>0</v>
      </c>
      <c r="I1362" s="58"/>
      <c r="J1362" s="54">
        <f t="shared" si="100"/>
        <v>0</v>
      </c>
      <c r="K1362" s="57"/>
      <c r="L1362" s="54">
        <f t="shared" si="101"/>
        <v>0</v>
      </c>
    </row>
    <row r="1363" spans="1:12" x14ac:dyDescent="0.3">
      <c r="A1363" s="54"/>
      <c r="B1363" s="54"/>
      <c r="C1363" s="54"/>
      <c r="D1363" s="54"/>
      <c r="E1363" s="55"/>
      <c r="F1363" s="57"/>
      <c r="G1363" s="57"/>
      <c r="H1363" s="54">
        <f t="shared" si="99"/>
        <v>0</v>
      </c>
      <c r="I1363" s="58"/>
      <c r="J1363" s="54">
        <f t="shared" si="100"/>
        <v>0</v>
      </c>
      <c r="K1363" s="57"/>
      <c r="L1363" s="54">
        <f t="shared" si="101"/>
        <v>0</v>
      </c>
    </row>
    <row r="1364" spans="1:12" x14ac:dyDescent="0.3">
      <c r="A1364" s="54"/>
      <c r="B1364" s="54"/>
      <c r="C1364" s="54"/>
      <c r="D1364" s="54"/>
      <c r="E1364" s="55"/>
      <c r="F1364" s="57"/>
      <c r="G1364" s="57"/>
      <c r="H1364" s="54">
        <f t="shared" si="99"/>
        <v>0</v>
      </c>
      <c r="I1364" s="58"/>
      <c r="J1364" s="54">
        <f t="shared" si="100"/>
        <v>0</v>
      </c>
      <c r="K1364" s="57"/>
      <c r="L1364" s="54">
        <f t="shared" si="101"/>
        <v>0</v>
      </c>
    </row>
    <row r="1365" spans="1:12" x14ac:dyDescent="0.3">
      <c r="A1365" s="54"/>
      <c r="B1365" s="54"/>
      <c r="C1365" s="54"/>
      <c r="D1365" s="54"/>
      <c r="E1365" s="55"/>
      <c r="F1365" s="57"/>
      <c r="G1365" s="57"/>
      <c r="H1365" s="54">
        <f t="shared" si="99"/>
        <v>0</v>
      </c>
      <c r="I1365" s="58"/>
      <c r="J1365" s="54">
        <f t="shared" si="100"/>
        <v>0</v>
      </c>
      <c r="K1365" s="57"/>
      <c r="L1365" s="54">
        <f t="shared" si="101"/>
        <v>0</v>
      </c>
    </row>
    <row r="1366" spans="1:12" x14ac:dyDescent="0.3">
      <c r="A1366" s="54"/>
      <c r="B1366" s="54"/>
      <c r="C1366" s="54"/>
      <c r="D1366" s="54"/>
      <c r="E1366" s="55"/>
      <c r="F1366" s="57"/>
      <c r="G1366" s="57"/>
      <c r="H1366" s="54">
        <f t="shared" si="99"/>
        <v>0</v>
      </c>
      <c r="I1366" s="58"/>
      <c r="J1366" s="54">
        <f t="shared" si="100"/>
        <v>0</v>
      </c>
      <c r="K1366" s="57"/>
      <c r="L1366" s="54">
        <f t="shared" si="101"/>
        <v>0</v>
      </c>
    </row>
    <row r="1367" spans="1:12" x14ac:dyDescent="0.3">
      <c r="A1367" s="54"/>
      <c r="B1367" s="54"/>
      <c r="C1367" s="54"/>
      <c r="D1367" s="54"/>
      <c r="E1367" s="55"/>
      <c r="F1367" s="57"/>
      <c r="G1367" s="57"/>
      <c r="H1367" s="54">
        <f t="shared" si="99"/>
        <v>0</v>
      </c>
      <c r="I1367" s="58"/>
      <c r="J1367" s="54">
        <f t="shared" si="100"/>
        <v>0</v>
      </c>
      <c r="K1367" s="57"/>
      <c r="L1367" s="54">
        <f t="shared" si="101"/>
        <v>0</v>
      </c>
    </row>
    <row r="1368" spans="1:12" x14ac:dyDescent="0.3">
      <c r="A1368" s="54"/>
      <c r="B1368" s="54"/>
      <c r="C1368" s="54"/>
      <c r="D1368" s="54"/>
      <c r="E1368" s="55"/>
      <c r="F1368" s="57"/>
      <c r="G1368" s="57"/>
      <c r="H1368" s="54">
        <f t="shared" si="99"/>
        <v>0</v>
      </c>
      <c r="I1368" s="58"/>
      <c r="J1368" s="54">
        <f t="shared" si="100"/>
        <v>0</v>
      </c>
      <c r="K1368" s="57"/>
      <c r="L1368" s="54">
        <f t="shared" si="101"/>
        <v>0</v>
      </c>
    </row>
    <row r="1369" spans="1:12" x14ac:dyDescent="0.3">
      <c r="A1369" s="54"/>
      <c r="B1369" s="54"/>
      <c r="C1369" s="54"/>
      <c r="D1369" s="54"/>
      <c r="E1369" s="55"/>
      <c r="F1369" s="57"/>
      <c r="G1369" s="57"/>
      <c r="H1369" s="54">
        <f t="shared" si="99"/>
        <v>0</v>
      </c>
      <c r="I1369" s="58"/>
      <c r="J1369" s="54">
        <f t="shared" si="100"/>
        <v>0</v>
      </c>
      <c r="K1369" s="57"/>
      <c r="L1369" s="54">
        <f t="shared" si="101"/>
        <v>0</v>
      </c>
    </row>
    <row r="1370" spans="1:12" x14ac:dyDescent="0.3">
      <c r="A1370" s="54"/>
      <c r="B1370" s="54"/>
      <c r="C1370" s="54"/>
      <c r="D1370" s="54"/>
      <c r="E1370" s="55"/>
      <c r="F1370" s="57"/>
      <c r="G1370" s="57"/>
      <c r="H1370" s="54">
        <f t="shared" si="99"/>
        <v>0</v>
      </c>
      <c r="I1370" s="58"/>
      <c r="J1370" s="54">
        <f t="shared" si="100"/>
        <v>0</v>
      </c>
      <c r="K1370" s="57"/>
      <c r="L1370" s="54">
        <f t="shared" si="101"/>
        <v>0</v>
      </c>
    </row>
    <row r="1371" spans="1:12" x14ac:dyDescent="0.3">
      <c r="A1371" s="54"/>
      <c r="B1371" s="54"/>
      <c r="C1371" s="54"/>
      <c r="D1371" s="54"/>
      <c r="E1371" s="55"/>
      <c r="F1371" s="57"/>
      <c r="G1371" s="57"/>
      <c r="H1371" s="54">
        <f t="shared" ref="H1371:H1434" si="102">+F1371-G1371</f>
        <v>0</v>
      </c>
      <c r="I1371" s="58"/>
      <c r="J1371" s="54">
        <f t="shared" ref="J1371:J1434" si="103">+H1371-H1371*I1371/100</f>
        <v>0</v>
      </c>
      <c r="K1371" s="57"/>
      <c r="L1371" s="54">
        <f t="shared" ref="L1371:L1434" si="104">+J1371*K1371</f>
        <v>0</v>
      </c>
    </row>
    <row r="1372" spans="1:12" x14ac:dyDescent="0.3">
      <c r="A1372" s="54"/>
      <c r="B1372" s="54"/>
      <c r="C1372" s="54"/>
      <c r="D1372" s="54"/>
      <c r="E1372" s="55"/>
      <c r="F1372" s="57"/>
      <c r="G1372" s="57"/>
      <c r="H1372" s="54">
        <f t="shared" si="102"/>
        <v>0</v>
      </c>
      <c r="I1372" s="58"/>
      <c r="J1372" s="54">
        <f t="shared" si="103"/>
        <v>0</v>
      </c>
      <c r="K1372" s="57"/>
      <c r="L1372" s="54">
        <f t="shared" si="104"/>
        <v>0</v>
      </c>
    </row>
    <row r="1373" spans="1:12" x14ac:dyDescent="0.3">
      <c r="A1373" s="54"/>
      <c r="B1373" s="54"/>
      <c r="C1373" s="54"/>
      <c r="D1373" s="54"/>
      <c r="E1373" s="55"/>
      <c r="F1373" s="57"/>
      <c r="G1373" s="57"/>
      <c r="H1373" s="54">
        <f t="shared" si="102"/>
        <v>0</v>
      </c>
      <c r="I1373" s="58"/>
      <c r="J1373" s="54">
        <f t="shared" si="103"/>
        <v>0</v>
      </c>
      <c r="K1373" s="57"/>
      <c r="L1373" s="54">
        <f t="shared" si="104"/>
        <v>0</v>
      </c>
    </row>
    <row r="1374" spans="1:12" x14ac:dyDescent="0.3">
      <c r="A1374" s="54"/>
      <c r="B1374" s="54"/>
      <c r="C1374" s="54"/>
      <c r="D1374" s="54"/>
      <c r="E1374" s="55"/>
      <c r="F1374" s="57"/>
      <c r="G1374" s="57"/>
      <c r="H1374" s="54">
        <f t="shared" si="102"/>
        <v>0</v>
      </c>
      <c r="I1374" s="58"/>
      <c r="J1374" s="54">
        <f t="shared" si="103"/>
        <v>0</v>
      </c>
      <c r="K1374" s="57"/>
      <c r="L1374" s="54">
        <f t="shared" si="104"/>
        <v>0</v>
      </c>
    </row>
    <row r="1375" spans="1:12" x14ac:dyDescent="0.3">
      <c r="A1375" s="54"/>
      <c r="B1375" s="54"/>
      <c r="C1375" s="54"/>
      <c r="D1375" s="54"/>
      <c r="E1375" s="55"/>
      <c r="F1375" s="57"/>
      <c r="G1375" s="57"/>
      <c r="H1375" s="54">
        <f t="shared" si="102"/>
        <v>0</v>
      </c>
      <c r="I1375" s="58"/>
      <c r="J1375" s="54">
        <f t="shared" si="103"/>
        <v>0</v>
      </c>
      <c r="K1375" s="57"/>
      <c r="L1375" s="54">
        <f t="shared" si="104"/>
        <v>0</v>
      </c>
    </row>
    <row r="1376" spans="1:12" x14ac:dyDescent="0.3">
      <c r="A1376" s="54"/>
      <c r="B1376" s="54"/>
      <c r="C1376" s="54"/>
      <c r="D1376" s="54"/>
      <c r="E1376" s="55"/>
      <c r="F1376" s="57"/>
      <c r="G1376" s="57"/>
      <c r="H1376" s="54">
        <f t="shared" si="102"/>
        <v>0</v>
      </c>
      <c r="I1376" s="58"/>
      <c r="J1376" s="54">
        <f t="shared" si="103"/>
        <v>0</v>
      </c>
      <c r="K1376" s="57"/>
      <c r="L1376" s="54">
        <f t="shared" si="104"/>
        <v>0</v>
      </c>
    </row>
    <row r="1377" spans="1:12" x14ac:dyDescent="0.3">
      <c r="A1377" s="54"/>
      <c r="B1377" s="54"/>
      <c r="C1377" s="54"/>
      <c r="D1377" s="54"/>
      <c r="E1377" s="55"/>
      <c r="F1377" s="57"/>
      <c r="G1377" s="57"/>
      <c r="H1377" s="54">
        <f t="shared" si="102"/>
        <v>0</v>
      </c>
      <c r="I1377" s="58"/>
      <c r="J1377" s="54">
        <f t="shared" si="103"/>
        <v>0</v>
      </c>
      <c r="K1377" s="57"/>
      <c r="L1377" s="54">
        <f t="shared" si="104"/>
        <v>0</v>
      </c>
    </row>
    <row r="1378" spans="1:12" x14ac:dyDescent="0.3">
      <c r="A1378" s="54"/>
      <c r="B1378" s="54"/>
      <c r="C1378" s="54"/>
      <c r="D1378" s="54"/>
      <c r="E1378" s="55"/>
      <c r="F1378" s="57"/>
      <c r="G1378" s="57"/>
      <c r="H1378" s="54">
        <f t="shared" si="102"/>
        <v>0</v>
      </c>
      <c r="I1378" s="58"/>
      <c r="J1378" s="54">
        <f t="shared" si="103"/>
        <v>0</v>
      </c>
      <c r="K1378" s="57"/>
      <c r="L1378" s="54">
        <f t="shared" si="104"/>
        <v>0</v>
      </c>
    </row>
    <row r="1379" spans="1:12" x14ac:dyDescent="0.3">
      <c r="A1379" s="54"/>
      <c r="B1379" s="54"/>
      <c r="C1379" s="54"/>
      <c r="D1379" s="54"/>
      <c r="E1379" s="55"/>
      <c r="F1379" s="57"/>
      <c r="G1379" s="57"/>
      <c r="H1379" s="54">
        <f t="shared" si="102"/>
        <v>0</v>
      </c>
      <c r="I1379" s="58"/>
      <c r="J1379" s="54">
        <f t="shared" si="103"/>
        <v>0</v>
      </c>
      <c r="K1379" s="57"/>
      <c r="L1379" s="54">
        <f t="shared" si="104"/>
        <v>0</v>
      </c>
    </row>
    <row r="1380" spans="1:12" x14ac:dyDescent="0.3">
      <c r="A1380" s="54"/>
      <c r="B1380" s="54"/>
      <c r="C1380" s="54"/>
      <c r="D1380" s="54"/>
      <c r="E1380" s="55"/>
      <c r="F1380" s="57"/>
      <c r="G1380" s="57"/>
      <c r="H1380" s="54">
        <f t="shared" si="102"/>
        <v>0</v>
      </c>
      <c r="I1380" s="58"/>
      <c r="J1380" s="54">
        <f t="shared" si="103"/>
        <v>0</v>
      </c>
      <c r="K1380" s="57"/>
      <c r="L1380" s="54">
        <f t="shared" si="104"/>
        <v>0</v>
      </c>
    </row>
    <row r="1381" spans="1:12" x14ac:dyDescent="0.3">
      <c r="A1381" s="54"/>
      <c r="B1381" s="54"/>
      <c r="C1381" s="54"/>
      <c r="D1381" s="54"/>
      <c r="E1381" s="55"/>
      <c r="F1381" s="57"/>
      <c r="G1381" s="57"/>
      <c r="H1381" s="54">
        <f t="shared" si="102"/>
        <v>0</v>
      </c>
      <c r="I1381" s="58"/>
      <c r="J1381" s="54">
        <f t="shared" si="103"/>
        <v>0</v>
      </c>
      <c r="K1381" s="57"/>
      <c r="L1381" s="54">
        <f t="shared" si="104"/>
        <v>0</v>
      </c>
    </row>
    <row r="1382" spans="1:12" x14ac:dyDescent="0.3">
      <c r="A1382" s="54"/>
      <c r="B1382" s="54"/>
      <c r="C1382" s="54"/>
      <c r="D1382" s="54"/>
      <c r="E1382" s="55"/>
      <c r="F1382" s="57"/>
      <c r="G1382" s="57"/>
      <c r="H1382" s="54">
        <f t="shared" si="102"/>
        <v>0</v>
      </c>
      <c r="I1382" s="58"/>
      <c r="J1382" s="54">
        <f t="shared" si="103"/>
        <v>0</v>
      </c>
      <c r="K1382" s="57"/>
      <c r="L1382" s="54">
        <f t="shared" si="104"/>
        <v>0</v>
      </c>
    </row>
    <row r="1383" spans="1:12" x14ac:dyDescent="0.3">
      <c r="A1383" s="54"/>
      <c r="B1383" s="54"/>
      <c r="C1383" s="54"/>
      <c r="D1383" s="54"/>
      <c r="E1383" s="55"/>
      <c r="F1383" s="57"/>
      <c r="G1383" s="57"/>
      <c r="H1383" s="54">
        <f t="shared" si="102"/>
        <v>0</v>
      </c>
      <c r="I1383" s="58"/>
      <c r="J1383" s="54">
        <f t="shared" si="103"/>
        <v>0</v>
      </c>
      <c r="K1383" s="57"/>
      <c r="L1383" s="54">
        <f t="shared" si="104"/>
        <v>0</v>
      </c>
    </row>
    <row r="1384" spans="1:12" x14ac:dyDescent="0.3">
      <c r="A1384" s="54"/>
      <c r="B1384" s="54"/>
      <c r="C1384" s="54"/>
      <c r="D1384" s="54"/>
      <c r="E1384" s="55"/>
      <c r="F1384" s="57"/>
      <c r="G1384" s="57"/>
      <c r="H1384" s="54">
        <f t="shared" si="102"/>
        <v>0</v>
      </c>
      <c r="I1384" s="58"/>
      <c r="J1384" s="54">
        <f t="shared" si="103"/>
        <v>0</v>
      </c>
      <c r="K1384" s="57"/>
      <c r="L1384" s="54">
        <f t="shared" si="104"/>
        <v>0</v>
      </c>
    </row>
    <row r="1385" spans="1:12" x14ac:dyDescent="0.3">
      <c r="A1385" s="54"/>
      <c r="B1385" s="54"/>
      <c r="C1385" s="54"/>
      <c r="D1385" s="54"/>
      <c r="E1385" s="55"/>
      <c r="F1385" s="57"/>
      <c r="G1385" s="57"/>
      <c r="H1385" s="54">
        <f t="shared" si="102"/>
        <v>0</v>
      </c>
      <c r="I1385" s="58"/>
      <c r="J1385" s="54">
        <f t="shared" si="103"/>
        <v>0</v>
      </c>
      <c r="K1385" s="57"/>
      <c r="L1385" s="54">
        <f t="shared" si="104"/>
        <v>0</v>
      </c>
    </row>
    <row r="1386" spans="1:12" x14ac:dyDescent="0.3">
      <c r="A1386" s="54"/>
      <c r="B1386" s="54"/>
      <c r="C1386" s="54"/>
      <c r="D1386" s="54"/>
      <c r="E1386" s="55"/>
      <c r="F1386" s="57"/>
      <c r="G1386" s="57"/>
      <c r="H1386" s="54">
        <f t="shared" si="102"/>
        <v>0</v>
      </c>
      <c r="I1386" s="58"/>
      <c r="J1386" s="54">
        <f t="shared" si="103"/>
        <v>0</v>
      </c>
      <c r="K1386" s="57"/>
      <c r="L1386" s="54">
        <f t="shared" si="104"/>
        <v>0</v>
      </c>
    </row>
    <row r="1387" spans="1:12" x14ac:dyDescent="0.3">
      <c r="A1387" s="54"/>
      <c r="B1387" s="54"/>
      <c r="C1387" s="54"/>
      <c r="D1387" s="54"/>
      <c r="E1387" s="55"/>
      <c r="F1387" s="57"/>
      <c r="G1387" s="57"/>
      <c r="H1387" s="54">
        <f t="shared" si="102"/>
        <v>0</v>
      </c>
      <c r="I1387" s="58"/>
      <c r="J1387" s="54">
        <f t="shared" si="103"/>
        <v>0</v>
      </c>
      <c r="K1387" s="57"/>
      <c r="L1387" s="54">
        <f t="shared" si="104"/>
        <v>0</v>
      </c>
    </row>
    <row r="1388" spans="1:12" x14ac:dyDescent="0.3">
      <c r="A1388" s="54"/>
      <c r="B1388" s="54"/>
      <c r="C1388" s="54"/>
      <c r="D1388" s="54"/>
      <c r="E1388" s="55"/>
      <c r="F1388" s="57"/>
      <c r="G1388" s="57"/>
      <c r="H1388" s="54">
        <f t="shared" si="102"/>
        <v>0</v>
      </c>
      <c r="I1388" s="58"/>
      <c r="J1388" s="54">
        <f t="shared" si="103"/>
        <v>0</v>
      </c>
      <c r="K1388" s="57"/>
      <c r="L1388" s="54">
        <f t="shared" si="104"/>
        <v>0</v>
      </c>
    </row>
    <row r="1389" spans="1:12" x14ac:dyDescent="0.3">
      <c r="A1389" s="54"/>
      <c r="B1389" s="54"/>
      <c r="C1389" s="54"/>
      <c r="D1389" s="54"/>
      <c r="E1389" s="55"/>
      <c r="F1389" s="57"/>
      <c r="G1389" s="57"/>
      <c r="H1389" s="54">
        <f t="shared" si="102"/>
        <v>0</v>
      </c>
      <c r="I1389" s="58"/>
      <c r="J1389" s="54">
        <f t="shared" si="103"/>
        <v>0</v>
      </c>
      <c r="K1389" s="57"/>
      <c r="L1389" s="54">
        <f t="shared" si="104"/>
        <v>0</v>
      </c>
    </row>
    <row r="1390" spans="1:12" x14ac:dyDescent="0.3">
      <c r="A1390" s="54"/>
      <c r="B1390" s="54"/>
      <c r="C1390" s="54"/>
      <c r="D1390" s="54"/>
      <c r="E1390" s="55"/>
      <c r="F1390" s="57"/>
      <c r="G1390" s="57"/>
      <c r="H1390" s="54">
        <f t="shared" si="102"/>
        <v>0</v>
      </c>
      <c r="I1390" s="58"/>
      <c r="J1390" s="54">
        <f t="shared" si="103"/>
        <v>0</v>
      </c>
      <c r="K1390" s="57"/>
      <c r="L1390" s="54">
        <f t="shared" si="104"/>
        <v>0</v>
      </c>
    </row>
    <row r="1391" spans="1:12" x14ac:dyDescent="0.3">
      <c r="A1391" s="54"/>
      <c r="B1391" s="54"/>
      <c r="C1391" s="54"/>
      <c r="D1391" s="54"/>
      <c r="E1391" s="55"/>
      <c r="F1391" s="57"/>
      <c r="G1391" s="57"/>
      <c r="H1391" s="54">
        <f t="shared" si="102"/>
        <v>0</v>
      </c>
      <c r="I1391" s="58"/>
      <c r="J1391" s="54">
        <f t="shared" si="103"/>
        <v>0</v>
      </c>
      <c r="K1391" s="57"/>
      <c r="L1391" s="54">
        <f t="shared" si="104"/>
        <v>0</v>
      </c>
    </row>
    <row r="1392" spans="1:12" x14ac:dyDescent="0.3">
      <c r="A1392" s="54"/>
      <c r="B1392" s="54"/>
      <c r="C1392" s="54"/>
      <c r="D1392" s="54"/>
      <c r="E1392" s="55"/>
      <c r="F1392" s="57"/>
      <c r="G1392" s="57"/>
      <c r="H1392" s="54">
        <f t="shared" si="102"/>
        <v>0</v>
      </c>
      <c r="I1392" s="58"/>
      <c r="J1392" s="54">
        <f t="shared" si="103"/>
        <v>0</v>
      </c>
      <c r="K1392" s="57"/>
      <c r="L1392" s="54">
        <f t="shared" si="104"/>
        <v>0</v>
      </c>
    </row>
    <row r="1393" spans="1:12" x14ac:dyDescent="0.3">
      <c r="A1393" s="54"/>
      <c r="B1393" s="54"/>
      <c r="C1393" s="54"/>
      <c r="D1393" s="54"/>
      <c r="E1393" s="55"/>
      <c r="F1393" s="57"/>
      <c r="G1393" s="57"/>
      <c r="H1393" s="54">
        <f t="shared" si="102"/>
        <v>0</v>
      </c>
      <c r="I1393" s="58"/>
      <c r="J1393" s="54">
        <f t="shared" si="103"/>
        <v>0</v>
      </c>
      <c r="K1393" s="57"/>
      <c r="L1393" s="54">
        <f t="shared" si="104"/>
        <v>0</v>
      </c>
    </row>
    <row r="1394" spans="1:12" x14ac:dyDescent="0.3">
      <c r="A1394" s="54"/>
      <c r="B1394" s="54"/>
      <c r="C1394" s="54"/>
      <c r="D1394" s="54"/>
      <c r="E1394" s="55"/>
      <c r="F1394" s="57"/>
      <c r="G1394" s="57"/>
      <c r="H1394" s="54">
        <f t="shared" si="102"/>
        <v>0</v>
      </c>
      <c r="I1394" s="58"/>
      <c r="J1394" s="54">
        <f t="shared" si="103"/>
        <v>0</v>
      </c>
      <c r="K1394" s="57"/>
      <c r="L1394" s="54">
        <f t="shared" si="104"/>
        <v>0</v>
      </c>
    </row>
    <row r="1395" spans="1:12" x14ac:dyDescent="0.3">
      <c r="A1395" s="54"/>
      <c r="B1395" s="54"/>
      <c r="C1395" s="54"/>
      <c r="D1395" s="54"/>
      <c r="E1395" s="55"/>
      <c r="F1395" s="57"/>
      <c r="G1395" s="57"/>
      <c r="H1395" s="54">
        <f t="shared" si="102"/>
        <v>0</v>
      </c>
      <c r="I1395" s="58"/>
      <c r="J1395" s="54">
        <f t="shared" si="103"/>
        <v>0</v>
      </c>
      <c r="K1395" s="57"/>
      <c r="L1395" s="54">
        <f t="shared" si="104"/>
        <v>0</v>
      </c>
    </row>
    <row r="1396" spans="1:12" x14ac:dyDescent="0.3">
      <c r="A1396" s="54"/>
      <c r="B1396" s="54"/>
      <c r="C1396" s="54"/>
      <c r="D1396" s="54"/>
      <c r="E1396" s="55"/>
      <c r="F1396" s="57"/>
      <c r="G1396" s="57"/>
      <c r="H1396" s="54">
        <f t="shared" si="102"/>
        <v>0</v>
      </c>
      <c r="I1396" s="58"/>
      <c r="J1396" s="54">
        <f t="shared" si="103"/>
        <v>0</v>
      </c>
      <c r="K1396" s="57"/>
      <c r="L1396" s="54">
        <f t="shared" si="104"/>
        <v>0</v>
      </c>
    </row>
    <row r="1397" spans="1:12" x14ac:dyDescent="0.3">
      <c r="A1397" s="54"/>
      <c r="B1397" s="54"/>
      <c r="C1397" s="54"/>
      <c r="D1397" s="54"/>
      <c r="E1397" s="55"/>
      <c r="F1397" s="57"/>
      <c r="G1397" s="57"/>
      <c r="H1397" s="54">
        <f t="shared" si="102"/>
        <v>0</v>
      </c>
      <c r="I1397" s="58"/>
      <c r="J1397" s="54">
        <f t="shared" si="103"/>
        <v>0</v>
      </c>
      <c r="K1397" s="57"/>
      <c r="L1397" s="54">
        <f t="shared" si="104"/>
        <v>0</v>
      </c>
    </row>
    <row r="1398" spans="1:12" x14ac:dyDescent="0.3">
      <c r="A1398" s="54"/>
      <c r="B1398" s="54"/>
      <c r="C1398" s="54"/>
      <c r="D1398" s="54"/>
      <c r="E1398" s="55"/>
      <c r="F1398" s="57"/>
      <c r="G1398" s="57"/>
      <c r="H1398" s="54">
        <f t="shared" si="102"/>
        <v>0</v>
      </c>
      <c r="I1398" s="58"/>
      <c r="J1398" s="54">
        <f t="shared" si="103"/>
        <v>0</v>
      </c>
      <c r="K1398" s="57"/>
      <c r="L1398" s="54">
        <f t="shared" si="104"/>
        <v>0</v>
      </c>
    </row>
    <row r="1399" spans="1:12" x14ac:dyDescent="0.3">
      <c r="A1399" s="54"/>
      <c r="B1399" s="54"/>
      <c r="C1399" s="54"/>
      <c r="D1399" s="54"/>
      <c r="E1399" s="55"/>
      <c r="F1399" s="57"/>
      <c r="G1399" s="57"/>
      <c r="H1399" s="54">
        <f t="shared" si="102"/>
        <v>0</v>
      </c>
      <c r="I1399" s="58"/>
      <c r="J1399" s="54">
        <f t="shared" si="103"/>
        <v>0</v>
      </c>
      <c r="K1399" s="57"/>
      <c r="L1399" s="54">
        <f t="shared" si="104"/>
        <v>0</v>
      </c>
    </row>
    <row r="1400" spans="1:12" x14ac:dyDescent="0.3">
      <c r="A1400" s="54"/>
      <c r="B1400" s="54"/>
      <c r="C1400" s="54"/>
      <c r="D1400" s="54"/>
      <c r="E1400" s="55"/>
      <c r="F1400" s="57"/>
      <c r="G1400" s="57"/>
      <c r="H1400" s="54">
        <f t="shared" si="102"/>
        <v>0</v>
      </c>
      <c r="I1400" s="58"/>
      <c r="J1400" s="54">
        <f t="shared" si="103"/>
        <v>0</v>
      </c>
      <c r="K1400" s="57"/>
      <c r="L1400" s="54">
        <f t="shared" si="104"/>
        <v>0</v>
      </c>
    </row>
    <row r="1401" spans="1:12" x14ac:dyDescent="0.3">
      <c r="A1401" s="54"/>
      <c r="B1401" s="54"/>
      <c r="C1401" s="54"/>
      <c r="D1401" s="54"/>
      <c r="E1401" s="55"/>
      <c r="F1401" s="57"/>
      <c r="G1401" s="57"/>
      <c r="H1401" s="54">
        <f t="shared" si="102"/>
        <v>0</v>
      </c>
      <c r="I1401" s="58"/>
      <c r="J1401" s="54">
        <f t="shared" si="103"/>
        <v>0</v>
      </c>
      <c r="K1401" s="57"/>
      <c r="L1401" s="54">
        <f t="shared" si="104"/>
        <v>0</v>
      </c>
    </row>
    <row r="1402" spans="1:12" x14ac:dyDescent="0.3">
      <c r="A1402" s="54"/>
      <c r="B1402" s="54"/>
      <c r="C1402" s="54"/>
      <c r="D1402" s="54"/>
      <c r="E1402" s="55"/>
      <c r="F1402" s="57"/>
      <c r="G1402" s="57"/>
      <c r="H1402" s="54">
        <f t="shared" si="102"/>
        <v>0</v>
      </c>
      <c r="I1402" s="58"/>
      <c r="J1402" s="54">
        <f t="shared" si="103"/>
        <v>0</v>
      </c>
      <c r="K1402" s="57"/>
      <c r="L1402" s="54">
        <f t="shared" si="104"/>
        <v>0</v>
      </c>
    </row>
    <row r="1403" spans="1:12" x14ac:dyDescent="0.3">
      <c r="A1403" s="54"/>
      <c r="B1403" s="54"/>
      <c r="C1403" s="54"/>
      <c r="D1403" s="54"/>
      <c r="E1403" s="55"/>
      <c r="F1403" s="57"/>
      <c r="G1403" s="57"/>
      <c r="H1403" s="54">
        <f t="shared" si="102"/>
        <v>0</v>
      </c>
      <c r="I1403" s="58"/>
      <c r="J1403" s="54">
        <f t="shared" si="103"/>
        <v>0</v>
      </c>
      <c r="K1403" s="57"/>
      <c r="L1403" s="54">
        <f t="shared" si="104"/>
        <v>0</v>
      </c>
    </row>
    <row r="1404" spans="1:12" x14ac:dyDescent="0.3">
      <c r="A1404" s="54"/>
      <c r="B1404" s="54"/>
      <c r="C1404" s="54"/>
      <c r="D1404" s="54"/>
      <c r="E1404" s="55"/>
      <c r="F1404" s="57"/>
      <c r="G1404" s="57"/>
      <c r="H1404" s="54">
        <f t="shared" si="102"/>
        <v>0</v>
      </c>
      <c r="I1404" s="58"/>
      <c r="J1404" s="54">
        <f t="shared" si="103"/>
        <v>0</v>
      </c>
      <c r="K1404" s="57"/>
      <c r="L1404" s="54">
        <f t="shared" si="104"/>
        <v>0</v>
      </c>
    </row>
    <row r="1405" spans="1:12" x14ac:dyDescent="0.3">
      <c r="A1405" s="54"/>
      <c r="B1405" s="54"/>
      <c r="C1405" s="54"/>
      <c r="D1405" s="54"/>
      <c r="E1405" s="55"/>
      <c r="F1405" s="57"/>
      <c r="G1405" s="57"/>
      <c r="H1405" s="54">
        <f t="shared" si="102"/>
        <v>0</v>
      </c>
      <c r="I1405" s="58"/>
      <c r="J1405" s="54">
        <f t="shared" si="103"/>
        <v>0</v>
      </c>
      <c r="K1405" s="57"/>
      <c r="L1405" s="54">
        <f t="shared" si="104"/>
        <v>0</v>
      </c>
    </row>
    <row r="1406" spans="1:12" x14ac:dyDescent="0.3">
      <c r="A1406" s="54"/>
      <c r="B1406" s="54"/>
      <c r="C1406" s="54"/>
      <c r="D1406" s="54"/>
      <c r="E1406" s="55"/>
      <c r="F1406" s="57"/>
      <c r="G1406" s="57"/>
      <c r="H1406" s="54">
        <f t="shared" si="102"/>
        <v>0</v>
      </c>
      <c r="I1406" s="58"/>
      <c r="J1406" s="54">
        <f t="shared" si="103"/>
        <v>0</v>
      </c>
      <c r="K1406" s="57"/>
      <c r="L1406" s="54">
        <f t="shared" si="104"/>
        <v>0</v>
      </c>
    </row>
    <row r="1407" spans="1:12" x14ac:dyDescent="0.3">
      <c r="A1407" s="54"/>
      <c r="B1407" s="54"/>
      <c r="C1407" s="54"/>
      <c r="D1407" s="54"/>
      <c r="E1407" s="55"/>
      <c r="F1407" s="57"/>
      <c r="G1407" s="57"/>
      <c r="H1407" s="54">
        <f t="shared" si="102"/>
        <v>0</v>
      </c>
      <c r="I1407" s="58"/>
      <c r="J1407" s="54">
        <f t="shared" si="103"/>
        <v>0</v>
      </c>
      <c r="K1407" s="57"/>
      <c r="L1407" s="54">
        <f t="shared" si="104"/>
        <v>0</v>
      </c>
    </row>
    <row r="1408" spans="1:12" x14ac:dyDescent="0.3">
      <c r="A1408" s="54"/>
      <c r="B1408" s="54"/>
      <c r="C1408" s="54"/>
      <c r="D1408" s="54"/>
      <c r="E1408" s="55"/>
      <c r="F1408" s="57"/>
      <c r="G1408" s="57"/>
      <c r="H1408" s="54">
        <f t="shared" si="102"/>
        <v>0</v>
      </c>
      <c r="I1408" s="58"/>
      <c r="J1408" s="54">
        <f t="shared" si="103"/>
        <v>0</v>
      </c>
      <c r="K1408" s="57"/>
      <c r="L1408" s="54">
        <f t="shared" si="104"/>
        <v>0</v>
      </c>
    </row>
    <row r="1409" spans="1:12" x14ac:dyDescent="0.3">
      <c r="A1409" s="54"/>
      <c r="B1409" s="54"/>
      <c r="C1409" s="54"/>
      <c r="D1409" s="54"/>
      <c r="E1409" s="55"/>
      <c r="F1409" s="57"/>
      <c r="G1409" s="57"/>
      <c r="H1409" s="54">
        <f t="shared" si="102"/>
        <v>0</v>
      </c>
      <c r="I1409" s="58"/>
      <c r="J1409" s="54">
        <f t="shared" si="103"/>
        <v>0</v>
      </c>
      <c r="K1409" s="57"/>
      <c r="L1409" s="54">
        <f t="shared" si="104"/>
        <v>0</v>
      </c>
    </row>
    <row r="1410" spans="1:12" x14ac:dyDescent="0.3">
      <c r="A1410" s="54"/>
      <c r="B1410" s="54"/>
      <c r="C1410" s="54"/>
      <c r="D1410" s="54"/>
      <c r="E1410" s="55"/>
      <c r="F1410" s="57"/>
      <c r="G1410" s="57"/>
      <c r="H1410" s="54">
        <f t="shared" si="102"/>
        <v>0</v>
      </c>
      <c r="I1410" s="58"/>
      <c r="J1410" s="54">
        <f t="shared" si="103"/>
        <v>0</v>
      </c>
      <c r="K1410" s="57"/>
      <c r="L1410" s="54">
        <f t="shared" si="104"/>
        <v>0</v>
      </c>
    </row>
    <row r="1411" spans="1:12" x14ac:dyDescent="0.3">
      <c r="A1411" s="54"/>
      <c r="B1411" s="54"/>
      <c r="C1411" s="54"/>
      <c r="D1411" s="54"/>
      <c r="E1411" s="55"/>
      <c r="F1411" s="57"/>
      <c r="G1411" s="57"/>
      <c r="H1411" s="54">
        <f t="shared" si="102"/>
        <v>0</v>
      </c>
      <c r="I1411" s="58"/>
      <c r="J1411" s="54">
        <f t="shared" si="103"/>
        <v>0</v>
      </c>
      <c r="K1411" s="57"/>
      <c r="L1411" s="54">
        <f t="shared" si="104"/>
        <v>0</v>
      </c>
    </row>
    <row r="1412" spans="1:12" x14ac:dyDescent="0.3">
      <c r="A1412" s="54"/>
      <c r="B1412" s="54"/>
      <c r="C1412" s="54"/>
      <c r="D1412" s="54"/>
      <c r="E1412" s="55"/>
      <c r="F1412" s="57"/>
      <c r="G1412" s="57"/>
      <c r="H1412" s="54">
        <f t="shared" si="102"/>
        <v>0</v>
      </c>
      <c r="I1412" s="58"/>
      <c r="J1412" s="54">
        <f t="shared" si="103"/>
        <v>0</v>
      </c>
      <c r="K1412" s="57"/>
      <c r="L1412" s="54">
        <f t="shared" si="104"/>
        <v>0</v>
      </c>
    </row>
    <row r="1413" spans="1:12" x14ac:dyDescent="0.3">
      <c r="A1413" s="54"/>
      <c r="B1413" s="54"/>
      <c r="C1413" s="54"/>
      <c r="D1413" s="54"/>
      <c r="E1413" s="55"/>
      <c r="F1413" s="57"/>
      <c r="G1413" s="57"/>
      <c r="H1413" s="54">
        <f t="shared" si="102"/>
        <v>0</v>
      </c>
      <c r="I1413" s="58"/>
      <c r="J1413" s="54">
        <f t="shared" si="103"/>
        <v>0</v>
      </c>
      <c r="K1413" s="57"/>
      <c r="L1413" s="54">
        <f t="shared" si="104"/>
        <v>0</v>
      </c>
    </row>
    <row r="1414" spans="1:12" x14ac:dyDescent="0.3">
      <c r="A1414" s="54"/>
      <c r="B1414" s="54"/>
      <c r="C1414" s="54"/>
      <c r="D1414" s="54"/>
      <c r="E1414" s="55"/>
      <c r="F1414" s="57"/>
      <c r="G1414" s="57"/>
      <c r="H1414" s="54">
        <f t="shared" si="102"/>
        <v>0</v>
      </c>
      <c r="I1414" s="58"/>
      <c r="J1414" s="54">
        <f t="shared" si="103"/>
        <v>0</v>
      </c>
      <c r="K1414" s="57"/>
      <c r="L1414" s="54">
        <f t="shared" si="104"/>
        <v>0</v>
      </c>
    </row>
    <row r="1415" spans="1:12" x14ac:dyDescent="0.3">
      <c r="A1415" s="54"/>
      <c r="B1415" s="54"/>
      <c r="C1415" s="54"/>
      <c r="D1415" s="54"/>
      <c r="E1415" s="55"/>
      <c r="F1415" s="57"/>
      <c r="G1415" s="57"/>
      <c r="H1415" s="54">
        <f t="shared" si="102"/>
        <v>0</v>
      </c>
      <c r="I1415" s="58"/>
      <c r="J1415" s="54">
        <f t="shared" si="103"/>
        <v>0</v>
      </c>
      <c r="K1415" s="57"/>
      <c r="L1415" s="54">
        <f t="shared" si="104"/>
        <v>0</v>
      </c>
    </row>
    <row r="1416" spans="1:12" x14ac:dyDescent="0.3">
      <c r="A1416" s="54"/>
      <c r="B1416" s="54"/>
      <c r="C1416" s="54"/>
      <c r="D1416" s="54"/>
      <c r="E1416" s="55"/>
      <c r="F1416" s="57"/>
      <c r="G1416" s="57"/>
      <c r="H1416" s="54">
        <f t="shared" si="102"/>
        <v>0</v>
      </c>
      <c r="I1416" s="58"/>
      <c r="J1416" s="54">
        <f t="shared" si="103"/>
        <v>0</v>
      </c>
      <c r="K1416" s="57"/>
      <c r="L1416" s="54">
        <f t="shared" si="104"/>
        <v>0</v>
      </c>
    </row>
    <row r="1417" spans="1:12" x14ac:dyDescent="0.3">
      <c r="A1417" s="54"/>
      <c r="B1417" s="54"/>
      <c r="C1417" s="54"/>
      <c r="D1417" s="54"/>
      <c r="E1417" s="55"/>
      <c r="F1417" s="57"/>
      <c r="G1417" s="57"/>
      <c r="H1417" s="54">
        <f t="shared" si="102"/>
        <v>0</v>
      </c>
      <c r="I1417" s="58"/>
      <c r="J1417" s="54">
        <f t="shared" si="103"/>
        <v>0</v>
      </c>
      <c r="K1417" s="57"/>
      <c r="L1417" s="54">
        <f t="shared" si="104"/>
        <v>0</v>
      </c>
    </row>
    <row r="1418" spans="1:12" x14ac:dyDescent="0.3">
      <c r="A1418" s="54"/>
      <c r="B1418" s="54"/>
      <c r="C1418" s="54"/>
      <c r="D1418" s="54"/>
      <c r="E1418" s="55"/>
      <c r="F1418" s="57"/>
      <c r="G1418" s="57"/>
      <c r="H1418" s="54">
        <f t="shared" si="102"/>
        <v>0</v>
      </c>
      <c r="I1418" s="58"/>
      <c r="J1418" s="54">
        <f t="shared" si="103"/>
        <v>0</v>
      </c>
      <c r="K1418" s="57"/>
      <c r="L1418" s="54">
        <f t="shared" si="104"/>
        <v>0</v>
      </c>
    </row>
    <row r="1419" spans="1:12" x14ac:dyDescent="0.3">
      <c r="A1419" s="54"/>
      <c r="B1419" s="54"/>
      <c r="C1419" s="54"/>
      <c r="D1419" s="54"/>
      <c r="E1419" s="55"/>
      <c r="F1419" s="57"/>
      <c r="G1419" s="57"/>
      <c r="H1419" s="54">
        <f t="shared" si="102"/>
        <v>0</v>
      </c>
      <c r="I1419" s="58"/>
      <c r="J1419" s="54">
        <f t="shared" si="103"/>
        <v>0</v>
      </c>
      <c r="K1419" s="57"/>
      <c r="L1419" s="54">
        <f t="shared" si="104"/>
        <v>0</v>
      </c>
    </row>
    <row r="1420" spans="1:12" x14ac:dyDescent="0.3">
      <c r="A1420" s="54"/>
      <c r="B1420" s="54"/>
      <c r="C1420" s="54"/>
      <c r="D1420" s="54"/>
      <c r="E1420" s="55"/>
      <c r="F1420" s="57"/>
      <c r="G1420" s="57"/>
      <c r="H1420" s="54">
        <f t="shared" si="102"/>
        <v>0</v>
      </c>
      <c r="I1420" s="58"/>
      <c r="J1420" s="54">
        <f t="shared" si="103"/>
        <v>0</v>
      </c>
      <c r="K1420" s="57"/>
      <c r="L1420" s="54">
        <f t="shared" si="104"/>
        <v>0</v>
      </c>
    </row>
    <row r="1421" spans="1:12" x14ac:dyDescent="0.3">
      <c r="A1421" s="54"/>
      <c r="B1421" s="54"/>
      <c r="C1421" s="54"/>
      <c r="D1421" s="54"/>
      <c r="E1421" s="55"/>
      <c r="F1421" s="57"/>
      <c r="G1421" s="57"/>
      <c r="H1421" s="54">
        <f t="shared" si="102"/>
        <v>0</v>
      </c>
      <c r="I1421" s="58"/>
      <c r="J1421" s="54">
        <f t="shared" si="103"/>
        <v>0</v>
      </c>
      <c r="K1421" s="57"/>
      <c r="L1421" s="54">
        <f t="shared" si="104"/>
        <v>0</v>
      </c>
    </row>
    <row r="1422" spans="1:12" x14ac:dyDescent="0.3">
      <c r="A1422" s="54"/>
      <c r="B1422" s="54"/>
      <c r="C1422" s="54"/>
      <c r="D1422" s="54"/>
      <c r="E1422" s="55"/>
      <c r="F1422" s="57"/>
      <c r="G1422" s="57"/>
      <c r="H1422" s="54">
        <f t="shared" si="102"/>
        <v>0</v>
      </c>
      <c r="I1422" s="58"/>
      <c r="J1422" s="54">
        <f t="shared" si="103"/>
        <v>0</v>
      </c>
      <c r="K1422" s="57"/>
      <c r="L1422" s="54">
        <f t="shared" si="104"/>
        <v>0</v>
      </c>
    </row>
    <row r="1423" spans="1:12" x14ac:dyDescent="0.3">
      <c r="A1423" s="54"/>
      <c r="B1423" s="54"/>
      <c r="C1423" s="54"/>
      <c r="D1423" s="54"/>
      <c r="E1423" s="55"/>
      <c r="F1423" s="57"/>
      <c r="G1423" s="57"/>
      <c r="H1423" s="54">
        <f t="shared" si="102"/>
        <v>0</v>
      </c>
      <c r="I1423" s="58"/>
      <c r="J1423" s="54">
        <f t="shared" si="103"/>
        <v>0</v>
      </c>
      <c r="K1423" s="57"/>
      <c r="L1423" s="54">
        <f t="shared" si="104"/>
        <v>0</v>
      </c>
    </row>
    <row r="1424" spans="1:12" x14ac:dyDescent="0.3">
      <c r="A1424" s="54"/>
      <c r="B1424" s="54"/>
      <c r="C1424" s="54"/>
      <c r="D1424" s="54"/>
      <c r="E1424" s="55"/>
      <c r="F1424" s="57"/>
      <c r="G1424" s="57"/>
      <c r="H1424" s="54">
        <f t="shared" si="102"/>
        <v>0</v>
      </c>
      <c r="I1424" s="58"/>
      <c r="J1424" s="54">
        <f t="shared" si="103"/>
        <v>0</v>
      </c>
      <c r="K1424" s="57"/>
      <c r="L1424" s="54">
        <f t="shared" si="104"/>
        <v>0</v>
      </c>
    </row>
    <row r="1425" spans="1:12" x14ac:dyDescent="0.3">
      <c r="A1425" s="54"/>
      <c r="B1425" s="54"/>
      <c r="C1425" s="54"/>
      <c r="D1425" s="54"/>
      <c r="E1425" s="55"/>
      <c r="F1425" s="57"/>
      <c r="G1425" s="57"/>
      <c r="H1425" s="54">
        <f t="shared" si="102"/>
        <v>0</v>
      </c>
      <c r="I1425" s="58"/>
      <c r="J1425" s="54">
        <f t="shared" si="103"/>
        <v>0</v>
      </c>
      <c r="K1425" s="57"/>
      <c r="L1425" s="54">
        <f t="shared" si="104"/>
        <v>0</v>
      </c>
    </row>
    <row r="1426" spans="1:12" x14ac:dyDescent="0.3">
      <c r="A1426" s="54"/>
      <c r="B1426" s="54"/>
      <c r="C1426" s="54"/>
      <c r="D1426" s="54"/>
      <c r="E1426" s="55"/>
      <c r="F1426" s="57"/>
      <c r="G1426" s="57"/>
      <c r="H1426" s="54">
        <f t="shared" si="102"/>
        <v>0</v>
      </c>
      <c r="I1426" s="58"/>
      <c r="J1426" s="54">
        <f t="shared" si="103"/>
        <v>0</v>
      </c>
      <c r="K1426" s="57"/>
      <c r="L1426" s="54">
        <f t="shared" si="104"/>
        <v>0</v>
      </c>
    </row>
    <row r="1427" spans="1:12" x14ac:dyDescent="0.3">
      <c r="A1427" s="54"/>
      <c r="B1427" s="54"/>
      <c r="C1427" s="54"/>
      <c r="D1427" s="54"/>
      <c r="E1427" s="55"/>
      <c r="F1427" s="57"/>
      <c r="G1427" s="57"/>
      <c r="H1427" s="54">
        <f t="shared" si="102"/>
        <v>0</v>
      </c>
      <c r="I1427" s="58"/>
      <c r="J1427" s="54">
        <f t="shared" si="103"/>
        <v>0</v>
      </c>
      <c r="K1427" s="57"/>
      <c r="L1427" s="54">
        <f t="shared" si="104"/>
        <v>0</v>
      </c>
    </row>
    <row r="1428" spans="1:12" x14ac:dyDescent="0.3">
      <c r="A1428" s="54"/>
      <c r="B1428" s="54"/>
      <c r="C1428" s="54"/>
      <c r="D1428" s="54"/>
      <c r="E1428" s="55"/>
      <c r="F1428" s="57"/>
      <c r="G1428" s="57"/>
      <c r="H1428" s="54">
        <f t="shared" si="102"/>
        <v>0</v>
      </c>
      <c r="I1428" s="58"/>
      <c r="J1428" s="54">
        <f t="shared" si="103"/>
        <v>0</v>
      </c>
      <c r="K1428" s="57"/>
      <c r="L1428" s="54">
        <f t="shared" si="104"/>
        <v>0</v>
      </c>
    </row>
    <row r="1429" spans="1:12" x14ac:dyDescent="0.3">
      <c r="A1429" s="54"/>
      <c r="B1429" s="54"/>
      <c r="C1429" s="54"/>
      <c r="D1429" s="54"/>
      <c r="E1429" s="55"/>
      <c r="F1429" s="57"/>
      <c r="G1429" s="57"/>
      <c r="H1429" s="54">
        <f t="shared" si="102"/>
        <v>0</v>
      </c>
      <c r="I1429" s="58"/>
      <c r="J1429" s="54">
        <f t="shared" si="103"/>
        <v>0</v>
      </c>
      <c r="K1429" s="57"/>
      <c r="L1429" s="54">
        <f t="shared" si="104"/>
        <v>0</v>
      </c>
    </row>
    <row r="1430" spans="1:12" x14ac:dyDescent="0.3">
      <c r="A1430" s="54"/>
      <c r="B1430" s="54"/>
      <c r="C1430" s="54"/>
      <c r="D1430" s="54"/>
      <c r="E1430" s="55"/>
      <c r="F1430" s="57"/>
      <c r="G1430" s="57"/>
      <c r="H1430" s="54">
        <f t="shared" si="102"/>
        <v>0</v>
      </c>
      <c r="I1430" s="58"/>
      <c r="J1430" s="54">
        <f t="shared" si="103"/>
        <v>0</v>
      </c>
      <c r="K1430" s="57"/>
      <c r="L1430" s="54">
        <f t="shared" si="104"/>
        <v>0</v>
      </c>
    </row>
    <row r="1431" spans="1:12" x14ac:dyDescent="0.3">
      <c r="A1431" s="54"/>
      <c r="B1431" s="54"/>
      <c r="C1431" s="54"/>
      <c r="D1431" s="54"/>
      <c r="E1431" s="55"/>
      <c r="F1431" s="57"/>
      <c r="G1431" s="57"/>
      <c r="H1431" s="54">
        <f t="shared" si="102"/>
        <v>0</v>
      </c>
      <c r="I1431" s="58"/>
      <c r="J1431" s="54">
        <f t="shared" si="103"/>
        <v>0</v>
      </c>
      <c r="K1431" s="57"/>
      <c r="L1431" s="54">
        <f t="shared" si="104"/>
        <v>0</v>
      </c>
    </row>
    <row r="1432" spans="1:12" x14ac:dyDescent="0.3">
      <c r="A1432" s="54"/>
      <c r="B1432" s="54"/>
      <c r="C1432" s="54"/>
      <c r="D1432" s="54"/>
      <c r="E1432" s="55"/>
      <c r="F1432" s="57"/>
      <c r="G1432" s="57"/>
      <c r="H1432" s="54">
        <f t="shared" si="102"/>
        <v>0</v>
      </c>
      <c r="I1432" s="58"/>
      <c r="J1432" s="54">
        <f t="shared" si="103"/>
        <v>0</v>
      </c>
      <c r="K1432" s="57"/>
      <c r="L1432" s="54">
        <f t="shared" si="104"/>
        <v>0</v>
      </c>
    </row>
    <row r="1433" spans="1:12" x14ac:dyDescent="0.3">
      <c r="A1433" s="54"/>
      <c r="B1433" s="54"/>
      <c r="C1433" s="54"/>
      <c r="D1433" s="54"/>
      <c r="E1433" s="55"/>
      <c r="F1433" s="57"/>
      <c r="G1433" s="57"/>
      <c r="H1433" s="54">
        <f t="shared" si="102"/>
        <v>0</v>
      </c>
      <c r="I1433" s="58"/>
      <c r="J1433" s="54">
        <f t="shared" si="103"/>
        <v>0</v>
      </c>
      <c r="K1433" s="57"/>
      <c r="L1433" s="54">
        <f t="shared" si="104"/>
        <v>0</v>
      </c>
    </row>
    <row r="1434" spans="1:12" x14ac:dyDescent="0.3">
      <c r="A1434" s="54"/>
      <c r="B1434" s="54"/>
      <c r="C1434" s="54"/>
      <c r="D1434" s="54"/>
      <c r="E1434" s="55"/>
      <c r="F1434" s="57"/>
      <c r="G1434" s="57"/>
      <c r="H1434" s="54">
        <f t="shared" si="102"/>
        <v>0</v>
      </c>
      <c r="I1434" s="58"/>
      <c r="J1434" s="54">
        <f t="shared" si="103"/>
        <v>0</v>
      </c>
      <c r="K1434" s="57"/>
      <c r="L1434" s="54">
        <f t="shared" si="104"/>
        <v>0</v>
      </c>
    </row>
    <row r="1435" spans="1:12" x14ac:dyDescent="0.3">
      <c r="A1435" s="54"/>
      <c r="B1435" s="54"/>
      <c r="C1435" s="54"/>
      <c r="D1435" s="54"/>
      <c r="E1435" s="55"/>
      <c r="F1435" s="57"/>
      <c r="G1435" s="57"/>
      <c r="H1435" s="54">
        <f t="shared" ref="H1435:H1498" si="105">+F1435-G1435</f>
        <v>0</v>
      </c>
      <c r="I1435" s="58"/>
      <c r="J1435" s="54">
        <f t="shared" ref="J1435:J1498" si="106">+H1435-H1435*I1435/100</f>
        <v>0</v>
      </c>
      <c r="K1435" s="57"/>
      <c r="L1435" s="54">
        <f t="shared" ref="L1435:L1498" si="107">+J1435*K1435</f>
        <v>0</v>
      </c>
    </row>
    <row r="1436" spans="1:12" x14ac:dyDescent="0.3">
      <c r="A1436" s="54"/>
      <c r="B1436" s="54"/>
      <c r="C1436" s="54"/>
      <c r="D1436" s="54"/>
      <c r="E1436" s="55"/>
      <c r="F1436" s="57"/>
      <c r="G1436" s="57"/>
      <c r="H1436" s="54">
        <f t="shared" si="105"/>
        <v>0</v>
      </c>
      <c r="I1436" s="58"/>
      <c r="J1436" s="54">
        <f t="shared" si="106"/>
        <v>0</v>
      </c>
      <c r="K1436" s="57"/>
      <c r="L1436" s="54">
        <f t="shared" si="107"/>
        <v>0</v>
      </c>
    </row>
    <row r="1437" spans="1:12" x14ac:dyDescent="0.3">
      <c r="A1437" s="54"/>
      <c r="B1437" s="54"/>
      <c r="C1437" s="54"/>
      <c r="D1437" s="54"/>
      <c r="E1437" s="55"/>
      <c r="F1437" s="57"/>
      <c r="G1437" s="57"/>
      <c r="H1437" s="54">
        <f t="shared" si="105"/>
        <v>0</v>
      </c>
      <c r="I1437" s="58"/>
      <c r="J1437" s="54">
        <f t="shared" si="106"/>
        <v>0</v>
      </c>
      <c r="K1437" s="57"/>
      <c r="L1437" s="54">
        <f t="shared" si="107"/>
        <v>0</v>
      </c>
    </row>
    <row r="1438" spans="1:12" x14ac:dyDescent="0.3">
      <c r="A1438" s="54"/>
      <c r="B1438" s="54"/>
      <c r="C1438" s="54"/>
      <c r="D1438" s="54"/>
      <c r="E1438" s="55"/>
      <c r="F1438" s="57"/>
      <c r="G1438" s="57"/>
      <c r="H1438" s="54">
        <f t="shared" si="105"/>
        <v>0</v>
      </c>
      <c r="I1438" s="58"/>
      <c r="J1438" s="54">
        <f t="shared" si="106"/>
        <v>0</v>
      </c>
      <c r="K1438" s="57"/>
      <c r="L1438" s="54">
        <f t="shared" si="107"/>
        <v>0</v>
      </c>
    </row>
    <row r="1439" spans="1:12" x14ac:dyDescent="0.3">
      <c r="A1439" s="54"/>
      <c r="B1439" s="54"/>
      <c r="C1439" s="54"/>
      <c r="D1439" s="54"/>
      <c r="E1439" s="55"/>
      <c r="F1439" s="57"/>
      <c r="G1439" s="57"/>
      <c r="H1439" s="54">
        <f t="shared" si="105"/>
        <v>0</v>
      </c>
      <c r="I1439" s="58"/>
      <c r="J1439" s="54">
        <f t="shared" si="106"/>
        <v>0</v>
      </c>
      <c r="K1439" s="57"/>
      <c r="L1439" s="54">
        <f t="shared" si="107"/>
        <v>0</v>
      </c>
    </row>
    <row r="1440" spans="1:12" x14ac:dyDescent="0.3">
      <c r="A1440" s="54"/>
      <c r="B1440" s="54"/>
      <c r="C1440" s="54"/>
      <c r="D1440" s="54"/>
      <c r="E1440" s="55"/>
      <c r="F1440" s="57"/>
      <c r="G1440" s="57"/>
      <c r="H1440" s="54">
        <f t="shared" si="105"/>
        <v>0</v>
      </c>
      <c r="I1440" s="58"/>
      <c r="J1440" s="54">
        <f t="shared" si="106"/>
        <v>0</v>
      </c>
      <c r="K1440" s="57"/>
      <c r="L1440" s="54">
        <f t="shared" si="107"/>
        <v>0</v>
      </c>
    </row>
    <row r="1441" spans="1:12" x14ac:dyDescent="0.3">
      <c r="A1441" s="54"/>
      <c r="B1441" s="54"/>
      <c r="C1441" s="54"/>
      <c r="D1441" s="54"/>
      <c r="E1441" s="55"/>
      <c r="F1441" s="57"/>
      <c r="G1441" s="57"/>
      <c r="H1441" s="54">
        <f t="shared" si="105"/>
        <v>0</v>
      </c>
      <c r="I1441" s="58"/>
      <c r="J1441" s="54">
        <f t="shared" si="106"/>
        <v>0</v>
      </c>
      <c r="K1441" s="57"/>
      <c r="L1441" s="54">
        <f t="shared" si="107"/>
        <v>0</v>
      </c>
    </row>
    <row r="1442" spans="1:12" x14ac:dyDescent="0.3">
      <c r="A1442" s="54"/>
      <c r="B1442" s="54"/>
      <c r="C1442" s="54"/>
      <c r="D1442" s="54"/>
      <c r="E1442" s="55"/>
      <c r="F1442" s="57"/>
      <c r="G1442" s="57"/>
      <c r="H1442" s="54">
        <f t="shared" si="105"/>
        <v>0</v>
      </c>
      <c r="I1442" s="58"/>
      <c r="J1442" s="54">
        <f t="shared" si="106"/>
        <v>0</v>
      </c>
      <c r="K1442" s="57"/>
      <c r="L1442" s="54">
        <f t="shared" si="107"/>
        <v>0</v>
      </c>
    </row>
    <row r="1443" spans="1:12" x14ac:dyDescent="0.3">
      <c r="A1443" s="54"/>
      <c r="B1443" s="54"/>
      <c r="C1443" s="54"/>
      <c r="D1443" s="54"/>
      <c r="E1443" s="55"/>
      <c r="F1443" s="57"/>
      <c r="G1443" s="57"/>
      <c r="H1443" s="54">
        <f t="shared" si="105"/>
        <v>0</v>
      </c>
      <c r="I1443" s="58"/>
      <c r="J1443" s="54">
        <f t="shared" si="106"/>
        <v>0</v>
      </c>
      <c r="K1443" s="57"/>
      <c r="L1443" s="54">
        <f t="shared" si="107"/>
        <v>0</v>
      </c>
    </row>
    <row r="1444" spans="1:12" x14ac:dyDescent="0.3">
      <c r="A1444" s="54"/>
      <c r="B1444" s="54"/>
      <c r="C1444" s="54"/>
      <c r="D1444" s="54"/>
      <c r="E1444" s="55"/>
      <c r="F1444" s="57"/>
      <c r="G1444" s="57"/>
      <c r="H1444" s="54">
        <f t="shared" si="105"/>
        <v>0</v>
      </c>
      <c r="I1444" s="58"/>
      <c r="J1444" s="54">
        <f t="shared" si="106"/>
        <v>0</v>
      </c>
      <c r="K1444" s="57"/>
      <c r="L1444" s="54">
        <f t="shared" si="107"/>
        <v>0</v>
      </c>
    </row>
    <row r="1445" spans="1:12" x14ac:dyDescent="0.3">
      <c r="A1445" s="54"/>
      <c r="B1445" s="54"/>
      <c r="C1445" s="54"/>
      <c r="D1445" s="54"/>
      <c r="E1445" s="55"/>
      <c r="F1445" s="57"/>
      <c r="G1445" s="57"/>
      <c r="H1445" s="54">
        <f t="shared" si="105"/>
        <v>0</v>
      </c>
      <c r="I1445" s="58"/>
      <c r="J1445" s="54">
        <f t="shared" si="106"/>
        <v>0</v>
      </c>
      <c r="K1445" s="57"/>
      <c r="L1445" s="54">
        <f t="shared" si="107"/>
        <v>0</v>
      </c>
    </row>
    <row r="1446" spans="1:12" x14ac:dyDescent="0.3">
      <c r="A1446" s="54"/>
      <c r="B1446" s="54"/>
      <c r="C1446" s="54"/>
      <c r="D1446" s="54"/>
      <c r="E1446" s="55"/>
      <c r="F1446" s="57"/>
      <c r="G1446" s="57"/>
      <c r="H1446" s="54">
        <f t="shared" si="105"/>
        <v>0</v>
      </c>
      <c r="I1446" s="58"/>
      <c r="J1446" s="54">
        <f t="shared" si="106"/>
        <v>0</v>
      </c>
      <c r="K1446" s="57"/>
      <c r="L1446" s="54">
        <f t="shared" si="107"/>
        <v>0</v>
      </c>
    </row>
    <row r="1447" spans="1:12" x14ac:dyDescent="0.3">
      <c r="A1447" s="54"/>
      <c r="B1447" s="54"/>
      <c r="C1447" s="54"/>
      <c r="D1447" s="54"/>
      <c r="E1447" s="55"/>
      <c r="F1447" s="57"/>
      <c r="G1447" s="57"/>
      <c r="H1447" s="54">
        <f t="shared" si="105"/>
        <v>0</v>
      </c>
      <c r="I1447" s="58"/>
      <c r="J1447" s="54">
        <f t="shared" si="106"/>
        <v>0</v>
      </c>
      <c r="K1447" s="57"/>
      <c r="L1447" s="54">
        <f t="shared" si="107"/>
        <v>0</v>
      </c>
    </row>
    <row r="1448" spans="1:12" x14ac:dyDescent="0.3">
      <c r="A1448" s="54"/>
      <c r="B1448" s="54"/>
      <c r="C1448" s="54"/>
      <c r="D1448" s="54"/>
      <c r="E1448" s="55"/>
      <c r="F1448" s="57"/>
      <c r="G1448" s="57"/>
      <c r="H1448" s="54">
        <f t="shared" si="105"/>
        <v>0</v>
      </c>
      <c r="I1448" s="58"/>
      <c r="J1448" s="54">
        <f t="shared" si="106"/>
        <v>0</v>
      </c>
      <c r="K1448" s="57"/>
      <c r="L1448" s="54">
        <f t="shared" si="107"/>
        <v>0</v>
      </c>
    </row>
    <row r="1449" spans="1:12" x14ac:dyDescent="0.3">
      <c r="A1449" s="54"/>
      <c r="B1449" s="54"/>
      <c r="C1449" s="54"/>
      <c r="D1449" s="54"/>
      <c r="E1449" s="55"/>
      <c r="F1449" s="57"/>
      <c r="G1449" s="57"/>
      <c r="H1449" s="54">
        <f t="shared" si="105"/>
        <v>0</v>
      </c>
      <c r="I1449" s="58"/>
      <c r="J1449" s="54">
        <f t="shared" si="106"/>
        <v>0</v>
      </c>
      <c r="K1449" s="57"/>
      <c r="L1449" s="54">
        <f t="shared" si="107"/>
        <v>0</v>
      </c>
    </row>
    <row r="1450" spans="1:12" x14ac:dyDescent="0.3">
      <c r="A1450" s="54"/>
      <c r="B1450" s="54"/>
      <c r="C1450" s="54"/>
      <c r="D1450" s="54"/>
      <c r="E1450" s="55"/>
      <c r="F1450" s="57"/>
      <c r="G1450" s="57"/>
      <c r="H1450" s="54">
        <f t="shared" si="105"/>
        <v>0</v>
      </c>
      <c r="I1450" s="58"/>
      <c r="J1450" s="54">
        <f t="shared" si="106"/>
        <v>0</v>
      </c>
      <c r="K1450" s="57"/>
      <c r="L1450" s="54">
        <f t="shared" si="107"/>
        <v>0</v>
      </c>
    </row>
    <row r="1451" spans="1:12" x14ac:dyDescent="0.3">
      <c r="A1451" s="54"/>
      <c r="B1451" s="54"/>
      <c r="C1451" s="54"/>
      <c r="D1451" s="54"/>
      <c r="E1451" s="55"/>
      <c r="F1451" s="57"/>
      <c r="G1451" s="57"/>
      <c r="H1451" s="54">
        <f t="shared" si="105"/>
        <v>0</v>
      </c>
      <c r="I1451" s="58"/>
      <c r="J1451" s="54">
        <f t="shared" si="106"/>
        <v>0</v>
      </c>
      <c r="K1451" s="57"/>
      <c r="L1451" s="54">
        <f t="shared" si="107"/>
        <v>0</v>
      </c>
    </row>
    <row r="1452" spans="1:12" x14ac:dyDescent="0.3">
      <c r="A1452" s="54"/>
      <c r="B1452" s="54"/>
      <c r="C1452" s="54"/>
      <c r="D1452" s="54"/>
      <c r="E1452" s="55"/>
      <c r="F1452" s="57"/>
      <c r="G1452" s="57"/>
      <c r="H1452" s="54">
        <f t="shared" si="105"/>
        <v>0</v>
      </c>
      <c r="I1452" s="58"/>
      <c r="J1452" s="54">
        <f t="shared" si="106"/>
        <v>0</v>
      </c>
      <c r="K1452" s="57"/>
      <c r="L1452" s="54">
        <f t="shared" si="107"/>
        <v>0</v>
      </c>
    </row>
    <row r="1453" spans="1:12" x14ac:dyDescent="0.3">
      <c r="A1453" s="54"/>
      <c r="B1453" s="54"/>
      <c r="C1453" s="54"/>
      <c r="D1453" s="54"/>
      <c r="E1453" s="55"/>
      <c r="F1453" s="57"/>
      <c r="G1453" s="57"/>
      <c r="H1453" s="54">
        <f t="shared" si="105"/>
        <v>0</v>
      </c>
      <c r="I1453" s="58"/>
      <c r="J1453" s="54">
        <f t="shared" si="106"/>
        <v>0</v>
      </c>
      <c r="K1453" s="57"/>
      <c r="L1453" s="54">
        <f t="shared" si="107"/>
        <v>0</v>
      </c>
    </row>
    <row r="1454" spans="1:12" x14ac:dyDescent="0.3">
      <c r="A1454" s="54"/>
      <c r="B1454" s="54"/>
      <c r="C1454" s="54"/>
      <c r="D1454" s="54"/>
      <c r="E1454" s="55"/>
      <c r="F1454" s="57"/>
      <c r="G1454" s="57"/>
      <c r="H1454" s="54">
        <f t="shared" si="105"/>
        <v>0</v>
      </c>
      <c r="I1454" s="58"/>
      <c r="J1454" s="54">
        <f t="shared" si="106"/>
        <v>0</v>
      </c>
      <c r="K1454" s="57"/>
      <c r="L1454" s="54">
        <f t="shared" si="107"/>
        <v>0</v>
      </c>
    </row>
    <row r="1455" spans="1:12" x14ac:dyDescent="0.3">
      <c r="A1455" s="54"/>
      <c r="B1455" s="54"/>
      <c r="C1455" s="54"/>
      <c r="D1455" s="54"/>
      <c r="E1455" s="55"/>
      <c r="F1455" s="57"/>
      <c r="G1455" s="57"/>
      <c r="H1455" s="54">
        <f t="shared" si="105"/>
        <v>0</v>
      </c>
      <c r="I1455" s="58"/>
      <c r="J1455" s="54">
        <f t="shared" si="106"/>
        <v>0</v>
      </c>
      <c r="K1455" s="57"/>
      <c r="L1455" s="54">
        <f t="shared" si="107"/>
        <v>0</v>
      </c>
    </row>
    <row r="1456" spans="1:12" x14ac:dyDescent="0.3">
      <c r="A1456" s="54"/>
      <c r="B1456" s="54"/>
      <c r="C1456" s="54"/>
      <c r="D1456" s="54"/>
      <c r="E1456" s="55"/>
      <c r="F1456" s="57"/>
      <c r="G1456" s="57"/>
      <c r="H1456" s="54">
        <f t="shared" si="105"/>
        <v>0</v>
      </c>
      <c r="I1456" s="58"/>
      <c r="J1456" s="54">
        <f t="shared" si="106"/>
        <v>0</v>
      </c>
      <c r="K1456" s="57"/>
      <c r="L1456" s="54">
        <f t="shared" si="107"/>
        <v>0</v>
      </c>
    </row>
    <row r="1457" spans="1:12" x14ac:dyDescent="0.3">
      <c r="A1457" s="54"/>
      <c r="B1457" s="54"/>
      <c r="C1457" s="54"/>
      <c r="D1457" s="54"/>
      <c r="E1457" s="55"/>
      <c r="F1457" s="57"/>
      <c r="G1457" s="57"/>
      <c r="H1457" s="54">
        <f t="shared" si="105"/>
        <v>0</v>
      </c>
      <c r="I1457" s="58"/>
      <c r="J1457" s="54">
        <f t="shared" si="106"/>
        <v>0</v>
      </c>
      <c r="K1457" s="57"/>
      <c r="L1457" s="54">
        <f t="shared" si="107"/>
        <v>0</v>
      </c>
    </row>
    <row r="1458" spans="1:12" x14ac:dyDescent="0.3">
      <c r="A1458" s="54"/>
      <c r="B1458" s="54"/>
      <c r="C1458" s="54"/>
      <c r="D1458" s="54"/>
      <c r="E1458" s="55"/>
      <c r="F1458" s="57"/>
      <c r="G1458" s="57"/>
      <c r="H1458" s="54">
        <f t="shared" si="105"/>
        <v>0</v>
      </c>
      <c r="I1458" s="58"/>
      <c r="J1458" s="54">
        <f t="shared" si="106"/>
        <v>0</v>
      </c>
      <c r="K1458" s="57"/>
      <c r="L1458" s="54">
        <f t="shared" si="107"/>
        <v>0</v>
      </c>
    </row>
    <row r="1459" spans="1:12" x14ac:dyDescent="0.3">
      <c r="A1459" s="54"/>
      <c r="B1459" s="54"/>
      <c r="C1459" s="54"/>
      <c r="D1459" s="54"/>
      <c r="E1459" s="55"/>
      <c r="F1459" s="57"/>
      <c r="G1459" s="57"/>
      <c r="H1459" s="54">
        <f t="shared" si="105"/>
        <v>0</v>
      </c>
      <c r="I1459" s="58"/>
      <c r="J1459" s="54">
        <f t="shared" si="106"/>
        <v>0</v>
      </c>
      <c r="K1459" s="57"/>
      <c r="L1459" s="54">
        <f t="shared" si="107"/>
        <v>0</v>
      </c>
    </row>
    <row r="1460" spans="1:12" x14ac:dyDescent="0.3">
      <c r="A1460" s="54"/>
      <c r="B1460" s="54"/>
      <c r="C1460" s="54"/>
      <c r="D1460" s="54"/>
      <c r="E1460" s="55"/>
      <c r="F1460" s="57"/>
      <c r="G1460" s="57"/>
      <c r="H1460" s="54">
        <f t="shared" si="105"/>
        <v>0</v>
      </c>
      <c r="I1460" s="58"/>
      <c r="J1460" s="54">
        <f t="shared" si="106"/>
        <v>0</v>
      </c>
      <c r="K1460" s="57"/>
      <c r="L1460" s="54">
        <f t="shared" si="107"/>
        <v>0</v>
      </c>
    </row>
    <row r="1461" spans="1:12" x14ac:dyDescent="0.3">
      <c r="A1461" s="54"/>
      <c r="B1461" s="54"/>
      <c r="C1461" s="54"/>
      <c r="D1461" s="54"/>
      <c r="E1461" s="55"/>
      <c r="F1461" s="57"/>
      <c r="G1461" s="57"/>
      <c r="H1461" s="54">
        <f t="shared" si="105"/>
        <v>0</v>
      </c>
      <c r="I1461" s="58"/>
      <c r="J1461" s="54">
        <f t="shared" si="106"/>
        <v>0</v>
      </c>
      <c r="K1461" s="57"/>
      <c r="L1461" s="54">
        <f t="shared" si="107"/>
        <v>0</v>
      </c>
    </row>
    <row r="1462" spans="1:12" x14ac:dyDescent="0.3">
      <c r="A1462" s="54"/>
      <c r="B1462" s="54"/>
      <c r="C1462" s="54"/>
      <c r="D1462" s="54"/>
      <c r="E1462" s="55"/>
      <c r="F1462" s="57"/>
      <c r="G1462" s="57"/>
      <c r="H1462" s="54">
        <f t="shared" si="105"/>
        <v>0</v>
      </c>
      <c r="I1462" s="58"/>
      <c r="J1462" s="54">
        <f t="shared" si="106"/>
        <v>0</v>
      </c>
      <c r="K1462" s="57"/>
      <c r="L1462" s="54">
        <f t="shared" si="107"/>
        <v>0</v>
      </c>
    </row>
    <row r="1463" spans="1:12" x14ac:dyDescent="0.3">
      <c r="A1463" s="54"/>
      <c r="B1463" s="54"/>
      <c r="C1463" s="54"/>
      <c r="D1463" s="54"/>
      <c r="E1463" s="55"/>
      <c r="F1463" s="57"/>
      <c r="G1463" s="57"/>
      <c r="H1463" s="54">
        <f t="shared" si="105"/>
        <v>0</v>
      </c>
      <c r="I1463" s="58"/>
      <c r="J1463" s="54">
        <f t="shared" si="106"/>
        <v>0</v>
      </c>
      <c r="K1463" s="57"/>
      <c r="L1463" s="54">
        <f t="shared" si="107"/>
        <v>0</v>
      </c>
    </row>
    <row r="1464" spans="1:12" x14ac:dyDescent="0.3">
      <c r="A1464" s="54"/>
      <c r="B1464" s="54"/>
      <c r="C1464" s="54"/>
      <c r="D1464" s="54"/>
      <c r="E1464" s="55"/>
      <c r="F1464" s="57"/>
      <c r="G1464" s="57"/>
      <c r="H1464" s="54">
        <f t="shared" si="105"/>
        <v>0</v>
      </c>
      <c r="I1464" s="58"/>
      <c r="J1464" s="54">
        <f t="shared" si="106"/>
        <v>0</v>
      </c>
      <c r="K1464" s="57"/>
      <c r="L1464" s="54">
        <f t="shared" si="107"/>
        <v>0</v>
      </c>
    </row>
    <row r="1465" spans="1:12" x14ac:dyDescent="0.3">
      <c r="A1465" s="54"/>
      <c r="B1465" s="54"/>
      <c r="C1465" s="54"/>
      <c r="D1465" s="54"/>
      <c r="E1465" s="55"/>
      <c r="F1465" s="57"/>
      <c r="G1465" s="57"/>
      <c r="H1465" s="54">
        <f t="shared" si="105"/>
        <v>0</v>
      </c>
      <c r="I1465" s="58"/>
      <c r="J1465" s="54">
        <f t="shared" si="106"/>
        <v>0</v>
      </c>
      <c r="K1465" s="57"/>
      <c r="L1465" s="54">
        <f t="shared" si="107"/>
        <v>0</v>
      </c>
    </row>
    <row r="1466" spans="1:12" x14ac:dyDescent="0.3">
      <c r="A1466" s="54"/>
      <c r="B1466" s="54"/>
      <c r="C1466" s="54"/>
      <c r="D1466" s="54"/>
      <c r="E1466" s="55"/>
      <c r="F1466" s="57"/>
      <c r="G1466" s="57"/>
      <c r="H1466" s="54">
        <f t="shared" si="105"/>
        <v>0</v>
      </c>
      <c r="I1466" s="58"/>
      <c r="J1466" s="54">
        <f t="shared" si="106"/>
        <v>0</v>
      </c>
      <c r="K1466" s="57"/>
      <c r="L1466" s="54">
        <f t="shared" si="107"/>
        <v>0</v>
      </c>
    </row>
    <row r="1467" spans="1:12" x14ac:dyDescent="0.3">
      <c r="A1467" s="54"/>
      <c r="B1467" s="54"/>
      <c r="C1467" s="54"/>
      <c r="D1467" s="54"/>
      <c r="E1467" s="55"/>
      <c r="F1467" s="57"/>
      <c r="G1467" s="57"/>
      <c r="H1467" s="54">
        <f t="shared" si="105"/>
        <v>0</v>
      </c>
      <c r="I1467" s="58"/>
      <c r="J1467" s="54">
        <f t="shared" si="106"/>
        <v>0</v>
      </c>
      <c r="K1467" s="57"/>
      <c r="L1467" s="54">
        <f t="shared" si="107"/>
        <v>0</v>
      </c>
    </row>
    <row r="1468" spans="1:12" x14ac:dyDescent="0.3">
      <c r="A1468" s="54"/>
      <c r="B1468" s="54"/>
      <c r="C1468" s="54"/>
      <c r="D1468" s="54"/>
      <c r="E1468" s="55"/>
      <c r="F1468" s="57"/>
      <c r="G1468" s="57"/>
      <c r="H1468" s="54">
        <f t="shared" si="105"/>
        <v>0</v>
      </c>
      <c r="I1468" s="58"/>
      <c r="J1468" s="54">
        <f t="shared" si="106"/>
        <v>0</v>
      </c>
      <c r="K1468" s="57"/>
      <c r="L1468" s="54">
        <f t="shared" si="107"/>
        <v>0</v>
      </c>
    </row>
    <row r="1469" spans="1:12" x14ac:dyDescent="0.3">
      <c r="A1469" s="54"/>
      <c r="B1469" s="54"/>
      <c r="C1469" s="54"/>
      <c r="D1469" s="54"/>
      <c r="E1469" s="55"/>
      <c r="F1469" s="57"/>
      <c r="G1469" s="57"/>
      <c r="H1469" s="54">
        <f t="shared" si="105"/>
        <v>0</v>
      </c>
      <c r="I1469" s="58"/>
      <c r="J1469" s="54">
        <f t="shared" si="106"/>
        <v>0</v>
      </c>
      <c r="K1469" s="57"/>
      <c r="L1469" s="54">
        <f t="shared" si="107"/>
        <v>0</v>
      </c>
    </row>
    <row r="1470" spans="1:12" x14ac:dyDescent="0.3">
      <c r="A1470" s="54"/>
      <c r="B1470" s="54"/>
      <c r="C1470" s="54"/>
      <c r="D1470" s="54"/>
      <c r="E1470" s="55"/>
      <c r="F1470" s="57"/>
      <c r="G1470" s="57"/>
      <c r="H1470" s="54">
        <f t="shared" si="105"/>
        <v>0</v>
      </c>
      <c r="I1470" s="58"/>
      <c r="J1470" s="54">
        <f t="shared" si="106"/>
        <v>0</v>
      </c>
      <c r="K1470" s="57"/>
      <c r="L1470" s="54">
        <f t="shared" si="107"/>
        <v>0</v>
      </c>
    </row>
    <row r="1471" spans="1:12" x14ac:dyDescent="0.3">
      <c r="A1471" s="54"/>
      <c r="B1471" s="54"/>
      <c r="C1471" s="54"/>
      <c r="D1471" s="54"/>
      <c r="E1471" s="55"/>
      <c r="F1471" s="57"/>
      <c r="G1471" s="57"/>
      <c r="H1471" s="54">
        <f t="shared" si="105"/>
        <v>0</v>
      </c>
      <c r="I1471" s="58"/>
      <c r="J1471" s="54">
        <f t="shared" si="106"/>
        <v>0</v>
      </c>
      <c r="K1471" s="57"/>
      <c r="L1471" s="54">
        <f t="shared" si="107"/>
        <v>0</v>
      </c>
    </row>
    <row r="1472" spans="1:12" x14ac:dyDescent="0.3">
      <c r="A1472" s="54"/>
      <c r="B1472" s="54"/>
      <c r="C1472" s="54"/>
      <c r="D1472" s="54"/>
      <c r="E1472" s="55"/>
      <c r="F1472" s="57"/>
      <c r="G1472" s="57"/>
      <c r="H1472" s="54">
        <f t="shared" si="105"/>
        <v>0</v>
      </c>
      <c r="I1472" s="58"/>
      <c r="J1472" s="54">
        <f t="shared" si="106"/>
        <v>0</v>
      </c>
      <c r="K1472" s="57"/>
      <c r="L1472" s="54">
        <f t="shared" si="107"/>
        <v>0</v>
      </c>
    </row>
    <row r="1473" spans="1:12" x14ac:dyDescent="0.3">
      <c r="A1473" s="54"/>
      <c r="B1473" s="54"/>
      <c r="C1473" s="54"/>
      <c r="D1473" s="54"/>
      <c r="E1473" s="55"/>
      <c r="F1473" s="57"/>
      <c r="G1473" s="57"/>
      <c r="H1473" s="54">
        <f t="shared" si="105"/>
        <v>0</v>
      </c>
      <c r="I1473" s="58"/>
      <c r="J1473" s="54">
        <f t="shared" si="106"/>
        <v>0</v>
      </c>
      <c r="K1473" s="57"/>
      <c r="L1473" s="54">
        <f t="shared" si="107"/>
        <v>0</v>
      </c>
    </row>
    <row r="1474" spans="1:12" x14ac:dyDescent="0.3">
      <c r="A1474" s="54"/>
      <c r="B1474" s="54"/>
      <c r="C1474" s="54"/>
      <c r="D1474" s="54"/>
      <c r="E1474" s="55"/>
      <c r="F1474" s="57"/>
      <c r="G1474" s="57"/>
      <c r="H1474" s="54">
        <f t="shared" si="105"/>
        <v>0</v>
      </c>
      <c r="I1474" s="58"/>
      <c r="J1474" s="54">
        <f t="shared" si="106"/>
        <v>0</v>
      </c>
      <c r="K1474" s="57"/>
      <c r="L1474" s="54">
        <f t="shared" si="107"/>
        <v>0</v>
      </c>
    </row>
    <row r="1475" spans="1:12" x14ac:dyDescent="0.3">
      <c r="A1475" s="54"/>
      <c r="B1475" s="54"/>
      <c r="C1475" s="54"/>
      <c r="D1475" s="54"/>
      <c r="E1475" s="55"/>
      <c r="F1475" s="57"/>
      <c r="G1475" s="57"/>
      <c r="H1475" s="54">
        <f t="shared" si="105"/>
        <v>0</v>
      </c>
      <c r="I1475" s="58"/>
      <c r="J1475" s="54">
        <f t="shared" si="106"/>
        <v>0</v>
      </c>
      <c r="K1475" s="57"/>
      <c r="L1475" s="54">
        <f t="shared" si="107"/>
        <v>0</v>
      </c>
    </row>
    <row r="1476" spans="1:12" x14ac:dyDescent="0.3">
      <c r="A1476" s="54"/>
      <c r="B1476" s="54"/>
      <c r="C1476" s="54"/>
      <c r="D1476" s="54"/>
      <c r="E1476" s="55"/>
      <c r="F1476" s="57"/>
      <c r="G1476" s="57"/>
      <c r="H1476" s="54">
        <f t="shared" si="105"/>
        <v>0</v>
      </c>
      <c r="I1476" s="58"/>
      <c r="J1476" s="54">
        <f t="shared" si="106"/>
        <v>0</v>
      </c>
      <c r="K1476" s="57"/>
      <c r="L1476" s="54">
        <f t="shared" si="107"/>
        <v>0</v>
      </c>
    </row>
    <row r="1477" spans="1:12" x14ac:dyDescent="0.3">
      <c r="A1477" s="54"/>
      <c r="B1477" s="54"/>
      <c r="C1477" s="54"/>
      <c r="D1477" s="54"/>
      <c r="E1477" s="55"/>
      <c r="F1477" s="57"/>
      <c r="G1477" s="57"/>
      <c r="H1477" s="54">
        <f t="shared" si="105"/>
        <v>0</v>
      </c>
      <c r="I1477" s="58"/>
      <c r="J1477" s="54">
        <f t="shared" si="106"/>
        <v>0</v>
      </c>
      <c r="K1477" s="57"/>
      <c r="L1477" s="54">
        <f t="shared" si="107"/>
        <v>0</v>
      </c>
    </row>
    <row r="1478" spans="1:12" x14ac:dyDescent="0.3">
      <c r="A1478" s="54"/>
      <c r="B1478" s="54"/>
      <c r="C1478" s="54"/>
      <c r="D1478" s="54"/>
      <c r="E1478" s="55"/>
      <c r="F1478" s="57"/>
      <c r="G1478" s="57"/>
      <c r="H1478" s="54">
        <f t="shared" si="105"/>
        <v>0</v>
      </c>
      <c r="I1478" s="58"/>
      <c r="J1478" s="54">
        <f t="shared" si="106"/>
        <v>0</v>
      </c>
      <c r="K1478" s="57"/>
      <c r="L1478" s="54">
        <f t="shared" si="107"/>
        <v>0</v>
      </c>
    </row>
    <row r="1479" spans="1:12" x14ac:dyDescent="0.3">
      <c r="A1479" s="54"/>
      <c r="B1479" s="54"/>
      <c r="C1479" s="54"/>
      <c r="D1479" s="54"/>
      <c r="E1479" s="55"/>
      <c r="F1479" s="57"/>
      <c r="G1479" s="57"/>
      <c r="H1479" s="54">
        <f t="shared" si="105"/>
        <v>0</v>
      </c>
      <c r="I1479" s="58"/>
      <c r="J1479" s="54">
        <f t="shared" si="106"/>
        <v>0</v>
      </c>
      <c r="K1479" s="57"/>
      <c r="L1479" s="54">
        <f t="shared" si="107"/>
        <v>0</v>
      </c>
    </row>
    <row r="1480" spans="1:12" x14ac:dyDescent="0.3">
      <c r="A1480" s="54"/>
      <c r="B1480" s="54"/>
      <c r="C1480" s="54"/>
      <c r="D1480" s="54"/>
      <c r="E1480" s="55"/>
      <c r="F1480" s="57"/>
      <c r="G1480" s="57"/>
      <c r="H1480" s="54">
        <f t="shared" si="105"/>
        <v>0</v>
      </c>
      <c r="I1480" s="58"/>
      <c r="J1480" s="54">
        <f t="shared" si="106"/>
        <v>0</v>
      </c>
      <c r="K1480" s="57"/>
      <c r="L1480" s="54">
        <f t="shared" si="107"/>
        <v>0</v>
      </c>
    </row>
    <row r="1481" spans="1:12" x14ac:dyDescent="0.3">
      <c r="A1481" s="54"/>
      <c r="B1481" s="54"/>
      <c r="C1481" s="54"/>
      <c r="D1481" s="54"/>
      <c r="E1481" s="55"/>
      <c r="F1481" s="57"/>
      <c r="G1481" s="57"/>
      <c r="H1481" s="54">
        <f t="shared" si="105"/>
        <v>0</v>
      </c>
      <c r="I1481" s="58"/>
      <c r="J1481" s="54">
        <f t="shared" si="106"/>
        <v>0</v>
      </c>
      <c r="K1481" s="57"/>
      <c r="L1481" s="54">
        <f t="shared" si="107"/>
        <v>0</v>
      </c>
    </row>
    <row r="1482" spans="1:12" x14ac:dyDescent="0.3">
      <c r="A1482" s="54"/>
      <c r="B1482" s="54"/>
      <c r="C1482" s="54"/>
      <c r="D1482" s="54"/>
      <c r="E1482" s="55"/>
      <c r="F1482" s="57"/>
      <c r="G1482" s="57"/>
      <c r="H1482" s="54">
        <f t="shared" si="105"/>
        <v>0</v>
      </c>
      <c r="I1482" s="58"/>
      <c r="J1482" s="54">
        <f t="shared" si="106"/>
        <v>0</v>
      </c>
      <c r="K1482" s="57"/>
      <c r="L1482" s="54">
        <f t="shared" si="107"/>
        <v>0</v>
      </c>
    </row>
    <row r="1483" spans="1:12" x14ac:dyDescent="0.3">
      <c r="A1483" s="54"/>
      <c r="B1483" s="54"/>
      <c r="C1483" s="54"/>
      <c r="D1483" s="54"/>
      <c r="E1483" s="55"/>
      <c r="F1483" s="57"/>
      <c r="G1483" s="57"/>
      <c r="H1483" s="54">
        <f t="shared" si="105"/>
        <v>0</v>
      </c>
      <c r="I1483" s="58"/>
      <c r="J1483" s="54">
        <f t="shared" si="106"/>
        <v>0</v>
      </c>
      <c r="K1483" s="57"/>
      <c r="L1483" s="54">
        <f t="shared" si="107"/>
        <v>0</v>
      </c>
    </row>
    <row r="1484" spans="1:12" x14ac:dyDescent="0.3">
      <c r="A1484" s="54"/>
      <c r="B1484" s="54"/>
      <c r="C1484" s="54"/>
      <c r="D1484" s="54"/>
      <c r="E1484" s="55"/>
      <c r="F1484" s="57"/>
      <c r="G1484" s="57"/>
      <c r="H1484" s="54">
        <f t="shared" si="105"/>
        <v>0</v>
      </c>
      <c r="I1484" s="58"/>
      <c r="J1484" s="54">
        <f t="shared" si="106"/>
        <v>0</v>
      </c>
      <c r="K1484" s="57"/>
      <c r="L1484" s="54">
        <f t="shared" si="107"/>
        <v>0</v>
      </c>
    </row>
    <row r="1485" spans="1:12" x14ac:dyDescent="0.3">
      <c r="A1485" s="54"/>
      <c r="B1485" s="54"/>
      <c r="C1485" s="54"/>
      <c r="D1485" s="54"/>
      <c r="E1485" s="55"/>
      <c r="F1485" s="57"/>
      <c r="G1485" s="57"/>
      <c r="H1485" s="54">
        <f t="shared" si="105"/>
        <v>0</v>
      </c>
      <c r="I1485" s="58"/>
      <c r="J1485" s="54">
        <f t="shared" si="106"/>
        <v>0</v>
      </c>
      <c r="K1485" s="57"/>
      <c r="L1485" s="54">
        <f t="shared" si="107"/>
        <v>0</v>
      </c>
    </row>
    <row r="1486" spans="1:12" x14ac:dyDescent="0.3">
      <c r="A1486" s="54"/>
      <c r="B1486" s="54"/>
      <c r="C1486" s="54"/>
      <c r="D1486" s="54"/>
      <c r="E1486" s="55"/>
      <c r="F1486" s="57"/>
      <c r="G1486" s="57"/>
      <c r="H1486" s="54">
        <f t="shared" si="105"/>
        <v>0</v>
      </c>
      <c r="I1486" s="58"/>
      <c r="J1486" s="54">
        <f t="shared" si="106"/>
        <v>0</v>
      </c>
      <c r="K1486" s="57"/>
      <c r="L1486" s="54">
        <f t="shared" si="107"/>
        <v>0</v>
      </c>
    </row>
    <row r="1487" spans="1:12" x14ac:dyDescent="0.3">
      <c r="A1487" s="54"/>
      <c r="B1487" s="54"/>
      <c r="C1487" s="54"/>
      <c r="D1487" s="54"/>
      <c r="E1487" s="55"/>
      <c r="F1487" s="57"/>
      <c r="G1487" s="57"/>
      <c r="H1487" s="54">
        <f t="shared" si="105"/>
        <v>0</v>
      </c>
      <c r="I1487" s="58"/>
      <c r="J1487" s="54">
        <f t="shared" si="106"/>
        <v>0</v>
      </c>
      <c r="K1487" s="57"/>
      <c r="L1487" s="54">
        <f t="shared" si="107"/>
        <v>0</v>
      </c>
    </row>
    <row r="1488" spans="1:12" x14ac:dyDescent="0.3">
      <c r="A1488" s="54"/>
      <c r="B1488" s="54"/>
      <c r="C1488" s="54"/>
      <c r="D1488" s="54"/>
      <c r="E1488" s="55"/>
      <c r="F1488" s="57"/>
      <c r="G1488" s="57"/>
      <c r="H1488" s="54">
        <f t="shared" si="105"/>
        <v>0</v>
      </c>
      <c r="I1488" s="58"/>
      <c r="J1488" s="54">
        <f t="shared" si="106"/>
        <v>0</v>
      </c>
      <c r="K1488" s="57"/>
      <c r="L1488" s="54">
        <f t="shared" si="107"/>
        <v>0</v>
      </c>
    </row>
    <row r="1489" spans="1:12" x14ac:dyDescent="0.3">
      <c r="A1489" s="54"/>
      <c r="B1489" s="54"/>
      <c r="C1489" s="54"/>
      <c r="D1489" s="54"/>
      <c r="E1489" s="55"/>
      <c r="F1489" s="57"/>
      <c r="G1489" s="57"/>
      <c r="H1489" s="54">
        <f t="shared" si="105"/>
        <v>0</v>
      </c>
      <c r="I1489" s="58"/>
      <c r="J1489" s="54">
        <f t="shared" si="106"/>
        <v>0</v>
      </c>
      <c r="K1489" s="57"/>
      <c r="L1489" s="54">
        <f t="shared" si="107"/>
        <v>0</v>
      </c>
    </row>
    <row r="1490" spans="1:12" x14ac:dyDescent="0.3">
      <c r="A1490" s="54"/>
      <c r="B1490" s="54"/>
      <c r="C1490" s="54"/>
      <c r="D1490" s="54"/>
      <c r="E1490" s="55"/>
      <c r="F1490" s="57"/>
      <c r="G1490" s="57"/>
      <c r="H1490" s="54">
        <f t="shared" si="105"/>
        <v>0</v>
      </c>
      <c r="I1490" s="58"/>
      <c r="J1490" s="54">
        <f t="shared" si="106"/>
        <v>0</v>
      </c>
      <c r="K1490" s="57"/>
      <c r="L1490" s="54">
        <f t="shared" si="107"/>
        <v>0</v>
      </c>
    </row>
    <row r="1491" spans="1:12" x14ac:dyDescent="0.3">
      <c r="A1491" s="54"/>
      <c r="B1491" s="54"/>
      <c r="C1491" s="54"/>
      <c r="D1491" s="54"/>
      <c r="E1491" s="55"/>
      <c r="F1491" s="57"/>
      <c r="G1491" s="57"/>
      <c r="H1491" s="54">
        <f t="shared" si="105"/>
        <v>0</v>
      </c>
      <c r="I1491" s="58"/>
      <c r="J1491" s="54">
        <f t="shared" si="106"/>
        <v>0</v>
      </c>
      <c r="K1491" s="57"/>
      <c r="L1491" s="54">
        <f t="shared" si="107"/>
        <v>0</v>
      </c>
    </row>
    <row r="1492" spans="1:12" x14ac:dyDescent="0.3">
      <c r="A1492" s="54"/>
      <c r="B1492" s="54"/>
      <c r="C1492" s="54"/>
      <c r="D1492" s="54"/>
      <c r="E1492" s="55"/>
      <c r="F1492" s="57"/>
      <c r="G1492" s="57"/>
      <c r="H1492" s="54">
        <f t="shared" si="105"/>
        <v>0</v>
      </c>
      <c r="I1492" s="58"/>
      <c r="J1492" s="54">
        <f t="shared" si="106"/>
        <v>0</v>
      </c>
      <c r="K1492" s="57"/>
      <c r="L1492" s="54">
        <f t="shared" si="107"/>
        <v>0</v>
      </c>
    </row>
    <row r="1493" spans="1:12" x14ac:dyDescent="0.3">
      <c r="A1493" s="54"/>
      <c r="B1493" s="54"/>
      <c r="C1493" s="54"/>
      <c r="D1493" s="54"/>
      <c r="E1493" s="55"/>
      <c r="F1493" s="57"/>
      <c r="G1493" s="57"/>
      <c r="H1493" s="54">
        <f t="shared" si="105"/>
        <v>0</v>
      </c>
      <c r="I1493" s="58"/>
      <c r="J1493" s="54">
        <f t="shared" si="106"/>
        <v>0</v>
      </c>
      <c r="K1493" s="57"/>
      <c r="L1493" s="54">
        <f t="shared" si="107"/>
        <v>0</v>
      </c>
    </row>
    <row r="1494" spans="1:12" x14ac:dyDescent="0.3">
      <c r="A1494" s="54"/>
      <c r="B1494" s="54"/>
      <c r="C1494" s="54"/>
      <c r="D1494" s="54"/>
      <c r="E1494" s="55"/>
      <c r="F1494" s="57"/>
      <c r="G1494" s="57"/>
      <c r="H1494" s="54">
        <f t="shared" si="105"/>
        <v>0</v>
      </c>
      <c r="I1494" s="58"/>
      <c r="J1494" s="54">
        <f t="shared" si="106"/>
        <v>0</v>
      </c>
      <c r="K1494" s="57"/>
      <c r="L1494" s="54">
        <f t="shared" si="107"/>
        <v>0</v>
      </c>
    </row>
    <row r="1495" spans="1:12" x14ac:dyDescent="0.3">
      <c r="A1495" s="54"/>
      <c r="B1495" s="54"/>
      <c r="C1495" s="54"/>
      <c r="D1495" s="54"/>
      <c r="E1495" s="55"/>
      <c r="F1495" s="57"/>
      <c r="G1495" s="57"/>
      <c r="H1495" s="54">
        <f t="shared" si="105"/>
        <v>0</v>
      </c>
      <c r="I1495" s="58"/>
      <c r="J1495" s="54">
        <f t="shared" si="106"/>
        <v>0</v>
      </c>
      <c r="K1495" s="57"/>
      <c r="L1495" s="54">
        <f t="shared" si="107"/>
        <v>0</v>
      </c>
    </row>
    <row r="1496" spans="1:12" x14ac:dyDescent="0.3">
      <c r="A1496" s="54"/>
      <c r="B1496" s="54"/>
      <c r="C1496" s="54"/>
      <c r="D1496" s="54"/>
      <c r="E1496" s="55"/>
      <c r="F1496" s="57"/>
      <c r="G1496" s="57"/>
      <c r="H1496" s="54">
        <f t="shared" si="105"/>
        <v>0</v>
      </c>
      <c r="I1496" s="58"/>
      <c r="J1496" s="54">
        <f t="shared" si="106"/>
        <v>0</v>
      </c>
      <c r="K1496" s="57"/>
      <c r="L1496" s="54">
        <f t="shared" si="107"/>
        <v>0</v>
      </c>
    </row>
    <row r="1497" spans="1:12" x14ac:dyDescent="0.3">
      <c r="A1497" s="54"/>
      <c r="B1497" s="54"/>
      <c r="C1497" s="54"/>
      <c r="D1497" s="54"/>
      <c r="E1497" s="55"/>
      <c r="F1497" s="57"/>
      <c r="G1497" s="57"/>
      <c r="H1497" s="54">
        <f t="shared" si="105"/>
        <v>0</v>
      </c>
      <c r="I1497" s="58"/>
      <c r="J1497" s="54">
        <f t="shared" si="106"/>
        <v>0</v>
      </c>
      <c r="K1497" s="57"/>
      <c r="L1497" s="54">
        <f t="shared" si="107"/>
        <v>0</v>
      </c>
    </row>
    <row r="1498" spans="1:12" x14ac:dyDescent="0.3">
      <c r="A1498" s="54"/>
      <c r="B1498" s="54"/>
      <c r="C1498" s="54"/>
      <c r="D1498" s="54"/>
      <c r="E1498" s="55"/>
      <c r="F1498" s="57"/>
      <c r="G1498" s="57"/>
      <c r="H1498" s="54">
        <f t="shared" si="105"/>
        <v>0</v>
      </c>
      <c r="I1498" s="58"/>
      <c r="J1498" s="54">
        <f t="shared" si="106"/>
        <v>0</v>
      </c>
      <c r="K1498" s="57"/>
      <c r="L1498" s="54">
        <f t="shared" si="107"/>
        <v>0</v>
      </c>
    </row>
    <row r="1499" spans="1:12" x14ac:dyDescent="0.3">
      <c r="A1499" s="54"/>
      <c r="B1499" s="54"/>
      <c r="C1499" s="54"/>
      <c r="D1499" s="54"/>
      <c r="E1499" s="55"/>
      <c r="F1499" s="57"/>
      <c r="G1499" s="57"/>
      <c r="H1499" s="54">
        <f t="shared" ref="H1499:H1562" si="108">+F1499-G1499</f>
        <v>0</v>
      </c>
      <c r="I1499" s="58"/>
      <c r="J1499" s="54">
        <f t="shared" ref="J1499:J1562" si="109">+H1499-H1499*I1499/100</f>
        <v>0</v>
      </c>
      <c r="K1499" s="57"/>
      <c r="L1499" s="54">
        <f t="shared" ref="L1499:L1562" si="110">+J1499*K1499</f>
        <v>0</v>
      </c>
    </row>
    <row r="1500" spans="1:12" x14ac:dyDescent="0.3">
      <c r="A1500" s="54"/>
      <c r="B1500" s="54"/>
      <c r="C1500" s="54"/>
      <c r="D1500" s="54"/>
      <c r="E1500" s="55"/>
      <c r="F1500" s="57"/>
      <c r="G1500" s="57"/>
      <c r="H1500" s="54">
        <f t="shared" si="108"/>
        <v>0</v>
      </c>
      <c r="I1500" s="58"/>
      <c r="J1500" s="54">
        <f t="shared" si="109"/>
        <v>0</v>
      </c>
      <c r="K1500" s="57"/>
      <c r="L1500" s="54">
        <f t="shared" si="110"/>
        <v>0</v>
      </c>
    </row>
    <row r="1501" spans="1:12" x14ac:dyDescent="0.3">
      <c r="A1501" s="54"/>
      <c r="B1501" s="54"/>
      <c r="C1501" s="54"/>
      <c r="D1501" s="54"/>
      <c r="E1501" s="55"/>
      <c r="F1501" s="57"/>
      <c r="G1501" s="57"/>
      <c r="H1501" s="54">
        <f t="shared" si="108"/>
        <v>0</v>
      </c>
      <c r="I1501" s="58"/>
      <c r="J1501" s="54">
        <f t="shared" si="109"/>
        <v>0</v>
      </c>
      <c r="K1501" s="57"/>
      <c r="L1501" s="54">
        <f t="shared" si="110"/>
        <v>0</v>
      </c>
    </row>
    <row r="1502" spans="1:12" x14ac:dyDescent="0.3">
      <c r="A1502" s="54"/>
      <c r="B1502" s="54"/>
      <c r="C1502" s="54"/>
      <c r="D1502" s="54"/>
      <c r="E1502" s="55"/>
      <c r="F1502" s="57"/>
      <c r="G1502" s="57"/>
      <c r="H1502" s="54">
        <f t="shared" si="108"/>
        <v>0</v>
      </c>
      <c r="I1502" s="58"/>
      <c r="J1502" s="54">
        <f t="shared" si="109"/>
        <v>0</v>
      </c>
      <c r="K1502" s="57"/>
      <c r="L1502" s="54">
        <f t="shared" si="110"/>
        <v>0</v>
      </c>
    </row>
    <row r="1503" spans="1:12" x14ac:dyDescent="0.3">
      <c r="A1503" s="54"/>
      <c r="B1503" s="54"/>
      <c r="C1503" s="54"/>
      <c r="D1503" s="54"/>
      <c r="E1503" s="55"/>
      <c r="F1503" s="57"/>
      <c r="G1503" s="57"/>
      <c r="H1503" s="54">
        <f t="shared" si="108"/>
        <v>0</v>
      </c>
      <c r="I1503" s="58"/>
      <c r="J1503" s="54">
        <f t="shared" si="109"/>
        <v>0</v>
      </c>
      <c r="K1503" s="57"/>
      <c r="L1503" s="54">
        <f t="shared" si="110"/>
        <v>0</v>
      </c>
    </row>
    <row r="1504" spans="1:12" x14ac:dyDescent="0.3">
      <c r="A1504" s="54"/>
      <c r="B1504" s="54"/>
      <c r="C1504" s="54"/>
      <c r="D1504" s="54"/>
      <c r="E1504" s="55"/>
      <c r="F1504" s="57"/>
      <c r="G1504" s="57"/>
      <c r="H1504" s="54">
        <f t="shared" si="108"/>
        <v>0</v>
      </c>
      <c r="I1504" s="58"/>
      <c r="J1504" s="54">
        <f t="shared" si="109"/>
        <v>0</v>
      </c>
      <c r="K1504" s="57"/>
      <c r="L1504" s="54">
        <f t="shared" si="110"/>
        <v>0</v>
      </c>
    </row>
    <row r="1505" spans="1:12" x14ac:dyDescent="0.3">
      <c r="A1505" s="54"/>
      <c r="B1505" s="54"/>
      <c r="C1505" s="54"/>
      <c r="D1505" s="54"/>
      <c r="E1505" s="55"/>
      <c r="F1505" s="57"/>
      <c r="G1505" s="57"/>
      <c r="H1505" s="54">
        <f t="shared" si="108"/>
        <v>0</v>
      </c>
      <c r="I1505" s="58"/>
      <c r="J1505" s="54">
        <f t="shared" si="109"/>
        <v>0</v>
      </c>
      <c r="K1505" s="57"/>
      <c r="L1505" s="54">
        <f t="shared" si="110"/>
        <v>0</v>
      </c>
    </row>
    <row r="1506" spans="1:12" x14ac:dyDescent="0.3">
      <c r="A1506" s="54"/>
      <c r="B1506" s="54"/>
      <c r="C1506" s="54"/>
      <c r="D1506" s="54"/>
      <c r="E1506" s="55"/>
      <c r="F1506" s="57"/>
      <c r="G1506" s="57"/>
      <c r="H1506" s="54">
        <f t="shared" si="108"/>
        <v>0</v>
      </c>
      <c r="I1506" s="58"/>
      <c r="J1506" s="54">
        <f t="shared" si="109"/>
        <v>0</v>
      </c>
      <c r="K1506" s="57"/>
      <c r="L1506" s="54">
        <f t="shared" si="110"/>
        <v>0</v>
      </c>
    </row>
    <row r="1507" spans="1:12" x14ac:dyDescent="0.3">
      <c r="A1507" s="54"/>
      <c r="B1507" s="54"/>
      <c r="C1507" s="54"/>
      <c r="D1507" s="54"/>
      <c r="E1507" s="55"/>
      <c r="F1507" s="57"/>
      <c r="G1507" s="57"/>
      <c r="H1507" s="54">
        <f t="shared" si="108"/>
        <v>0</v>
      </c>
      <c r="I1507" s="58"/>
      <c r="J1507" s="54">
        <f t="shared" si="109"/>
        <v>0</v>
      </c>
      <c r="K1507" s="57"/>
      <c r="L1507" s="54">
        <f t="shared" si="110"/>
        <v>0</v>
      </c>
    </row>
    <row r="1508" spans="1:12" x14ac:dyDescent="0.3">
      <c r="A1508" s="54"/>
      <c r="B1508" s="54"/>
      <c r="C1508" s="54"/>
      <c r="D1508" s="54"/>
      <c r="E1508" s="55"/>
      <c r="F1508" s="57"/>
      <c r="G1508" s="57"/>
      <c r="H1508" s="54">
        <f t="shared" si="108"/>
        <v>0</v>
      </c>
      <c r="I1508" s="58"/>
      <c r="J1508" s="54">
        <f t="shared" si="109"/>
        <v>0</v>
      </c>
      <c r="K1508" s="57"/>
      <c r="L1508" s="54">
        <f t="shared" si="110"/>
        <v>0</v>
      </c>
    </row>
    <row r="1509" spans="1:12" x14ac:dyDescent="0.3">
      <c r="A1509" s="54"/>
      <c r="B1509" s="54"/>
      <c r="C1509" s="54"/>
      <c r="D1509" s="54"/>
      <c r="E1509" s="55"/>
      <c r="F1509" s="57"/>
      <c r="G1509" s="57"/>
      <c r="H1509" s="54">
        <f t="shared" si="108"/>
        <v>0</v>
      </c>
      <c r="I1509" s="58"/>
      <c r="J1509" s="54">
        <f t="shared" si="109"/>
        <v>0</v>
      </c>
      <c r="K1509" s="57"/>
      <c r="L1509" s="54">
        <f t="shared" si="110"/>
        <v>0</v>
      </c>
    </row>
    <row r="1510" spans="1:12" x14ac:dyDescent="0.3">
      <c r="A1510" s="54"/>
      <c r="B1510" s="54"/>
      <c r="C1510" s="54"/>
      <c r="D1510" s="54"/>
      <c r="E1510" s="55"/>
      <c r="F1510" s="57"/>
      <c r="G1510" s="57"/>
      <c r="H1510" s="54">
        <f t="shared" si="108"/>
        <v>0</v>
      </c>
      <c r="I1510" s="58"/>
      <c r="J1510" s="54">
        <f t="shared" si="109"/>
        <v>0</v>
      </c>
      <c r="K1510" s="57"/>
      <c r="L1510" s="54">
        <f t="shared" si="110"/>
        <v>0</v>
      </c>
    </row>
    <row r="1511" spans="1:12" x14ac:dyDescent="0.3">
      <c r="A1511" s="54"/>
      <c r="B1511" s="54"/>
      <c r="C1511" s="54"/>
      <c r="D1511" s="54"/>
      <c r="E1511" s="55"/>
      <c r="F1511" s="57"/>
      <c r="G1511" s="57"/>
      <c r="H1511" s="54">
        <f t="shared" si="108"/>
        <v>0</v>
      </c>
      <c r="I1511" s="58"/>
      <c r="J1511" s="54">
        <f t="shared" si="109"/>
        <v>0</v>
      </c>
      <c r="K1511" s="57"/>
      <c r="L1511" s="54">
        <f t="shared" si="110"/>
        <v>0</v>
      </c>
    </row>
    <row r="1512" spans="1:12" x14ac:dyDescent="0.3">
      <c r="A1512" s="54"/>
      <c r="B1512" s="54"/>
      <c r="C1512" s="54"/>
      <c r="D1512" s="54"/>
      <c r="E1512" s="55"/>
      <c r="F1512" s="57"/>
      <c r="G1512" s="57"/>
      <c r="H1512" s="54">
        <f t="shared" si="108"/>
        <v>0</v>
      </c>
      <c r="I1512" s="58"/>
      <c r="J1512" s="54">
        <f t="shared" si="109"/>
        <v>0</v>
      </c>
      <c r="K1512" s="57"/>
      <c r="L1512" s="54">
        <f t="shared" si="110"/>
        <v>0</v>
      </c>
    </row>
    <row r="1513" spans="1:12" x14ac:dyDescent="0.3">
      <c r="A1513" s="54"/>
      <c r="B1513" s="54"/>
      <c r="C1513" s="54"/>
      <c r="D1513" s="54"/>
      <c r="E1513" s="55"/>
      <c r="F1513" s="57"/>
      <c r="G1513" s="57"/>
      <c r="H1513" s="54">
        <f t="shared" si="108"/>
        <v>0</v>
      </c>
      <c r="I1513" s="58"/>
      <c r="J1513" s="54">
        <f t="shared" si="109"/>
        <v>0</v>
      </c>
      <c r="K1513" s="57"/>
      <c r="L1513" s="54">
        <f t="shared" si="110"/>
        <v>0</v>
      </c>
    </row>
    <row r="1514" spans="1:12" x14ac:dyDescent="0.3">
      <c r="A1514" s="54"/>
      <c r="B1514" s="54"/>
      <c r="C1514" s="54"/>
      <c r="D1514" s="54"/>
      <c r="E1514" s="55"/>
      <c r="F1514" s="57"/>
      <c r="G1514" s="57"/>
      <c r="H1514" s="54">
        <f t="shared" si="108"/>
        <v>0</v>
      </c>
      <c r="I1514" s="58"/>
      <c r="J1514" s="54">
        <f t="shared" si="109"/>
        <v>0</v>
      </c>
      <c r="K1514" s="57"/>
      <c r="L1514" s="54">
        <f t="shared" si="110"/>
        <v>0</v>
      </c>
    </row>
    <row r="1515" spans="1:12" x14ac:dyDescent="0.3">
      <c r="A1515" s="54"/>
      <c r="B1515" s="54"/>
      <c r="C1515" s="54"/>
      <c r="D1515" s="54"/>
      <c r="E1515" s="55"/>
      <c r="F1515" s="57"/>
      <c r="G1515" s="57"/>
      <c r="H1515" s="54">
        <f t="shared" si="108"/>
        <v>0</v>
      </c>
      <c r="I1515" s="58"/>
      <c r="J1515" s="54">
        <f t="shared" si="109"/>
        <v>0</v>
      </c>
      <c r="K1515" s="57"/>
      <c r="L1515" s="54">
        <f t="shared" si="110"/>
        <v>0</v>
      </c>
    </row>
    <row r="1516" spans="1:12" x14ac:dyDescent="0.3">
      <c r="A1516" s="54"/>
      <c r="B1516" s="54"/>
      <c r="C1516" s="54"/>
      <c r="D1516" s="54"/>
      <c r="E1516" s="55"/>
      <c r="F1516" s="57"/>
      <c r="G1516" s="57"/>
      <c r="H1516" s="54">
        <f t="shared" si="108"/>
        <v>0</v>
      </c>
      <c r="I1516" s="58"/>
      <c r="J1516" s="54">
        <f t="shared" si="109"/>
        <v>0</v>
      </c>
      <c r="K1516" s="57"/>
      <c r="L1516" s="54">
        <f t="shared" si="110"/>
        <v>0</v>
      </c>
    </row>
    <row r="1517" spans="1:12" x14ac:dyDescent="0.3">
      <c r="A1517" s="54"/>
      <c r="B1517" s="54"/>
      <c r="C1517" s="54"/>
      <c r="D1517" s="54"/>
      <c r="E1517" s="55"/>
      <c r="F1517" s="57"/>
      <c r="G1517" s="57"/>
      <c r="H1517" s="54">
        <f t="shared" si="108"/>
        <v>0</v>
      </c>
      <c r="I1517" s="58"/>
      <c r="J1517" s="54">
        <f t="shared" si="109"/>
        <v>0</v>
      </c>
      <c r="K1517" s="57"/>
      <c r="L1517" s="54">
        <f t="shared" si="110"/>
        <v>0</v>
      </c>
    </row>
    <row r="1518" spans="1:12" x14ac:dyDescent="0.3">
      <c r="A1518" s="54"/>
      <c r="B1518" s="54"/>
      <c r="C1518" s="54"/>
      <c r="D1518" s="54"/>
      <c r="E1518" s="55"/>
      <c r="F1518" s="57"/>
      <c r="G1518" s="57"/>
      <c r="H1518" s="54">
        <f t="shared" si="108"/>
        <v>0</v>
      </c>
      <c r="I1518" s="58"/>
      <c r="J1518" s="54">
        <f t="shared" si="109"/>
        <v>0</v>
      </c>
      <c r="K1518" s="57"/>
      <c r="L1518" s="54">
        <f t="shared" si="110"/>
        <v>0</v>
      </c>
    </row>
    <row r="1519" spans="1:12" x14ac:dyDescent="0.3">
      <c r="A1519" s="54"/>
      <c r="B1519" s="54"/>
      <c r="C1519" s="54"/>
      <c r="D1519" s="54"/>
      <c r="E1519" s="55"/>
      <c r="F1519" s="57"/>
      <c r="G1519" s="57"/>
      <c r="H1519" s="54">
        <f t="shared" si="108"/>
        <v>0</v>
      </c>
      <c r="I1519" s="58"/>
      <c r="J1519" s="54">
        <f t="shared" si="109"/>
        <v>0</v>
      </c>
      <c r="K1519" s="57"/>
      <c r="L1519" s="54">
        <f t="shared" si="110"/>
        <v>0</v>
      </c>
    </row>
    <row r="1520" spans="1:12" x14ac:dyDescent="0.3">
      <c r="A1520" s="54"/>
      <c r="B1520" s="54"/>
      <c r="C1520" s="54"/>
      <c r="D1520" s="54"/>
      <c r="E1520" s="55"/>
      <c r="F1520" s="57"/>
      <c r="G1520" s="57"/>
      <c r="H1520" s="54">
        <f t="shared" si="108"/>
        <v>0</v>
      </c>
      <c r="I1520" s="58"/>
      <c r="J1520" s="54">
        <f t="shared" si="109"/>
        <v>0</v>
      </c>
      <c r="K1520" s="57"/>
      <c r="L1520" s="54">
        <f t="shared" si="110"/>
        <v>0</v>
      </c>
    </row>
    <row r="1521" spans="1:12" x14ac:dyDescent="0.3">
      <c r="A1521" s="54"/>
      <c r="B1521" s="54"/>
      <c r="C1521" s="54"/>
      <c r="D1521" s="54"/>
      <c r="E1521" s="55"/>
      <c r="F1521" s="57"/>
      <c r="G1521" s="57"/>
      <c r="H1521" s="54">
        <f t="shared" si="108"/>
        <v>0</v>
      </c>
      <c r="I1521" s="58"/>
      <c r="J1521" s="54">
        <f t="shared" si="109"/>
        <v>0</v>
      </c>
      <c r="K1521" s="57"/>
      <c r="L1521" s="54">
        <f t="shared" si="110"/>
        <v>0</v>
      </c>
    </row>
    <row r="1522" spans="1:12" x14ac:dyDescent="0.3">
      <c r="A1522" s="54"/>
      <c r="B1522" s="54"/>
      <c r="C1522" s="54"/>
      <c r="D1522" s="54"/>
      <c r="E1522" s="55"/>
      <c r="F1522" s="57"/>
      <c r="G1522" s="57"/>
      <c r="H1522" s="54">
        <f t="shared" si="108"/>
        <v>0</v>
      </c>
      <c r="I1522" s="58"/>
      <c r="J1522" s="54">
        <f t="shared" si="109"/>
        <v>0</v>
      </c>
      <c r="K1522" s="57"/>
      <c r="L1522" s="54">
        <f t="shared" si="110"/>
        <v>0</v>
      </c>
    </row>
    <row r="1523" spans="1:12" x14ac:dyDescent="0.3">
      <c r="A1523" s="54"/>
      <c r="B1523" s="54"/>
      <c r="C1523" s="54"/>
      <c r="D1523" s="54"/>
      <c r="E1523" s="55"/>
      <c r="F1523" s="57"/>
      <c r="G1523" s="57"/>
      <c r="H1523" s="54">
        <f t="shared" si="108"/>
        <v>0</v>
      </c>
      <c r="I1523" s="58"/>
      <c r="J1523" s="54">
        <f t="shared" si="109"/>
        <v>0</v>
      </c>
      <c r="K1523" s="57"/>
      <c r="L1523" s="54">
        <f t="shared" si="110"/>
        <v>0</v>
      </c>
    </row>
    <row r="1524" spans="1:12" x14ac:dyDescent="0.3">
      <c r="A1524" s="54"/>
      <c r="B1524" s="54"/>
      <c r="C1524" s="54"/>
      <c r="D1524" s="54"/>
      <c r="E1524" s="55"/>
      <c r="F1524" s="57"/>
      <c r="G1524" s="57"/>
      <c r="H1524" s="54">
        <f t="shared" si="108"/>
        <v>0</v>
      </c>
      <c r="I1524" s="58"/>
      <c r="J1524" s="54">
        <f t="shared" si="109"/>
        <v>0</v>
      </c>
      <c r="K1524" s="57"/>
      <c r="L1524" s="54">
        <f t="shared" si="110"/>
        <v>0</v>
      </c>
    </row>
    <row r="1525" spans="1:12" x14ac:dyDescent="0.3">
      <c r="A1525" s="54"/>
      <c r="B1525" s="54"/>
      <c r="C1525" s="54"/>
      <c r="D1525" s="54"/>
      <c r="E1525" s="55"/>
      <c r="F1525" s="57"/>
      <c r="G1525" s="57"/>
      <c r="H1525" s="54">
        <f t="shared" si="108"/>
        <v>0</v>
      </c>
      <c r="I1525" s="58"/>
      <c r="J1525" s="54">
        <f t="shared" si="109"/>
        <v>0</v>
      </c>
      <c r="K1525" s="57"/>
      <c r="L1525" s="54">
        <f t="shared" si="110"/>
        <v>0</v>
      </c>
    </row>
    <row r="1526" spans="1:12" x14ac:dyDescent="0.3">
      <c r="A1526" s="54"/>
      <c r="B1526" s="54"/>
      <c r="C1526" s="54"/>
      <c r="D1526" s="54"/>
      <c r="E1526" s="55"/>
      <c r="F1526" s="57"/>
      <c r="G1526" s="57"/>
      <c r="H1526" s="54">
        <f t="shared" si="108"/>
        <v>0</v>
      </c>
      <c r="I1526" s="58"/>
      <c r="J1526" s="54">
        <f t="shared" si="109"/>
        <v>0</v>
      </c>
      <c r="K1526" s="57"/>
      <c r="L1526" s="54">
        <f t="shared" si="110"/>
        <v>0</v>
      </c>
    </row>
    <row r="1527" spans="1:12" x14ac:dyDescent="0.3">
      <c r="A1527" s="54"/>
      <c r="B1527" s="54"/>
      <c r="C1527" s="54"/>
      <c r="D1527" s="54"/>
      <c r="E1527" s="55"/>
      <c r="F1527" s="57"/>
      <c r="G1527" s="57"/>
      <c r="H1527" s="54">
        <f t="shared" si="108"/>
        <v>0</v>
      </c>
      <c r="I1527" s="58"/>
      <c r="J1527" s="54">
        <f t="shared" si="109"/>
        <v>0</v>
      </c>
      <c r="K1527" s="57"/>
      <c r="L1527" s="54">
        <f t="shared" si="110"/>
        <v>0</v>
      </c>
    </row>
    <row r="1528" spans="1:12" x14ac:dyDescent="0.3">
      <c r="A1528" s="54"/>
      <c r="B1528" s="54"/>
      <c r="C1528" s="54"/>
      <c r="D1528" s="54"/>
      <c r="E1528" s="55"/>
      <c r="F1528" s="57"/>
      <c r="G1528" s="57"/>
      <c r="H1528" s="54">
        <f t="shared" si="108"/>
        <v>0</v>
      </c>
      <c r="I1528" s="58"/>
      <c r="J1528" s="54">
        <f t="shared" si="109"/>
        <v>0</v>
      </c>
      <c r="K1528" s="57"/>
      <c r="L1528" s="54">
        <f t="shared" si="110"/>
        <v>0</v>
      </c>
    </row>
    <row r="1529" spans="1:12" x14ac:dyDescent="0.3">
      <c r="A1529" s="54"/>
      <c r="B1529" s="54"/>
      <c r="C1529" s="54"/>
      <c r="D1529" s="54"/>
      <c r="E1529" s="55"/>
      <c r="F1529" s="57"/>
      <c r="G1529" s="57"/>
      <c r="H1529" s="54">
        <f t="shared" si="108"/>
        <v>0</v>
      </c>
      <c r="I1529" s="58"/>
      <c r="J1529" s="54">
        <f t="shared" si="109"/>
        <v>0</v>
      </c>
      <c r="K1529" s="57"/>
      <c r="L1529" s="54">
        <f t="shared" si="110"/>
        <v>0</v>
      </c>
    </row>
    <row r="1530" spans="1:12" x14ac:dyDescent="0.3">
      <c r="A1530" s="54"/>
      <c r="B1530" s="54"/>
      <c r="C1530" s="54"/>
      <c r="D1530" s="54"/>
      <c r="E1530" s="55"/>
      <c r="F1530" s="57"/>
      <c r="G1530" s="57"/>
      <c r="H1530" s="54">
        <f t="shared" si="108"/>
        <v>0</v>
      </c>
      <c r="I1530" s="58"/>
      <c r="J1530" s="54">
        <f t="shared" si="109"/>
        <v>0</v>
      </c>
      <c r="K1530" s="57"/>
      <c r="L1530" s="54">
        <f t="shared" si="110"/>
        <v>0</v>
      </c>
    </row>
    <row r="1531" spans="1:12" x14ac:dyDescent="0.3">
      <c r="A1531" s="54"/>
      <c r="B1531" s="54"/>
      <c r="C1531" s="54"/>
      <c r="D1531" s="54"/>
      <c r="E1531" s="55"/>
      <c r="F1531" s="57"/>
      <c r="G1531" s="57"/>
      <c r="H1531" s="54">
        <f t="shared" si="108"/>
        <v>0</v>
      </c>
      <c r="I1531" s="58"/>
      <c r="J1531" s="54">
        <f t="shared" si="109"/>
        <v>0</v>
      </c>
      <c r="K1531" s="57"/>
      <c r="L1531" s="54">
        <f t="shared" si="110"/>
        <v>0</v>
      </c>
    </row>
    <row r="1532" spans="1:12" x14ac:dyDescent="0.3">
      <c r="A1532" s="54"/>
      <c r="B1532" s="54"/>
      <c r="C1532" s="54"/>
      <c r="D1532" s="54"/>
      <c r="E1532" s="55"/>
      <c r="F1532" s="57"/>
      <c r="G1532" s="57"/>
      <c r="H1532" s="54">
        <f t="shared" si="108"/>
        <v>0</v>
      </c>
      <c r="I1532" s="58"/>
      <c r="J1532" s="54">
        <f t="shared" si="109"/>
        <v>0</v>
      </c>
      <c r="K1532" s="57"/>
      <c r="L1532" s="54">
        <f t="shared" si="110"/>
        <v>0</v>
      </c>
    </row>
    <row r="1533" spans="1:12" x14ac:dyDescent="0.3">
      <c r="A1533" s="54"/>
      <c r="B1533" s="54"/>
      <c r="C1533" s="54"/>
      <c r="D1533" s="54"/>
      <c r="E1533" s="55"/>
      <c r="F1533" s="57"/>
      <c r="G1533" s="57"/>
      <c r="H1533" s="54">
        <f t="shared" si="108"/>
        <v>0</v>
      </c>
      <c r="I1533" s="58"/>
      <c r="J1533" s="54">
        <f t="shared" si="109"/>
        <v>0</v>
      </c>
      <c r="K1533" s="57"/>
      <c r="L1533" s="54">
        <f t="shared" si="110"/>
        <v>0</v>
      </c>
    </row>
    <row r="1534" spans="1:12" x14ac:dyDescent="0.3">
      <c r="A1534" s="54"/>
      <c r="B1534" s="54"/>
      <c r="C1534" s="54"/>
      <c r="D1534" s="54"/>
      <c r="E1534" s="55"/>
      <c r="F1534" s="57"/>
      <c r="G1534" s="57"/>
      <c r="H1534" s="54">
        <f t="shared" si="108"/>
        <v>0</v>
      </c>
      <c r="I1534" s="58"/>
      <c r="J1534" s="54">
        <f t="shared" si="109"/>
        <v>0</v>
      </c>
      <c r="K1534" s="57"/>
      <c r="L1534" s="54">
        <f t="shared" si="110"/>
        <v>0</v>
      </c>
    </row>
    <row r="1535" spans="1:12" x14ac:dyDescent="0.3">
      <c r="A1535" s="54"/>
      <c r="B1535" s="54"/>
      <c r="C1535" s="54"/>
      <c r="D1535" s="54"/>
      <c r="E1535" s="55"/>
      <c r="F1535" s="57"/>
      <c r="G1535" s="57"/>
      <c r="H1535" s="54">
        <f t="shared" si="108"/>
        <v>0</v>
      </c>
      <c r="I1535" s="58"/>
      <c r="J1535" s="54">
        <f t="shared" si="109"/>
        <v>0</v>
      </c>
      <c r="K1535" s="57"/>
      <c r="L1535" s="54">
        <f t="shared" si="110"/>
        <v>0</v>
      </c>
    </row>
    <row r="1536" spans="1:12" x14ac:dyDescent="0.3">
      <c r="A1536" s="54"/>
      <c r="B1536" s="54"/>
      <c r="C1536" s="54"/>
      <c r="D1536" s="54"/>
      <c r="E1536" s="55"/>
      <c r="F1536" s="57"/>
      <c r="G1536" s="57"/>
      <c r="H1536" s="54">
        <f t="shared" si="108"/>
        <v>0</v>
      </c>
      <c r="I1536" s="58"/>
      <c r="J1536" s="54">
        <f t="shared" si="109"/>
        <v>0</v>
      </c>
      <c r="K1536" s="57"/>
      <c r="L1536" s="54">
        <f t="shared" si="110"/>
        <v>0</v>
      </c>
    </row>
    <row r="1537" spans="1:12" x14ac:dyDescent="0.3">
      <c r="A1537" s="54"/>
      <c r="B1537" s="54"/>
      <c r="C1537" s="54"/>
      <c r="D1537" s="54"/>
      <c r="E1537" s="55"/>
      <c r="F1537" s="57"/>
      <c r="G1537" s="57"/>
      <c r="H1537" s="54">
        <f t="shared" si="108"/>
        <v>0</v>
      </c>
      <c r="I1537" s="58"/>
      <c r="J1537" s="54">
        <f t="shared" si="109"/>
        <v>0</v>
      </c>
      <c r="K1537" s="57"/>
      <c r="L1537" s="54">
        <f t="shared" si="110"/>
        <v>0</v>
      </c>
    </row>
    <row r="1538" spans="1:12" x14ac:dyDescent="0.3">
      <c r="A1538" s="54"/>
      <c r="B1538" s="54"/>
      <c r="C1538" s="54"/>
      <c r="D1538" s="54"/>
      <c r="E1538" s="55"/>
      <c r="F1538" s="57"/>
      <c r="G1538" s="57"/>
      <c r="H1538" s="54">
        <f t="shared" si="108"/>
        <v>0</v>
      </c>
      <c r="I1538" s="58"/>
      <c r="J1538" s="54">
        <f t="shared" si="109"/>
        <v>0</v>
      </c>
      <c r="K1538" s="57"/>
      <c r="L1538" s="54">
        <f t="shared" si="110"/>
        <v>0</v>
      </c>
    </row>
    <row r="1539" spans="1:12" x14ac:dyDescent="0.3">
      <c r="A1539" s="54"/>
      <c r="B1539" s="54"/>
      <c r="C1539" s="54"/>
      <c r="D1539" s="54"/>
      <c r="E1539" s="55"/>
      <c r="F1539" s="57"/>
      <c r="G1539" s="57"/>
      <c r="H1539" s="54">
        <f t="shared" si="108"/>
        <v>0</v>
      </c>
      <c r="I1539" s="58"/>
      <c r="J1539" s="54">
        <f t="shared" si="109"/>
        <v>0</v>
      </c>
      <c r="K1539" s="57"/>
      <c r="L1539" s="54">
        <f t="shared" si="110"/>
        <v>0</v>
      </c>
    </row>
    <row r="1540" spans="1:12" x14ac:dyDescent="0.3">
      <c r="A1540" s="54"/>
      <c r="B1540" s="54"/>
      <c r="C1540" s="54"/>
      <c r="D1540" s="54"/>
      <c r="E1540" s="55"/>
      <c r="F1540" s="57"/>
      <c r="G1540" s="57"/>
      <c r="H1540" s="54">
        <f t="shared" si="108"/>
        <v>0</v>
      </c>
      <c r="I1540" s="58"/>
      <c r="J1540" s="54">
        <f t="shared" si="109"/>
        <v>0</v>
      </c>
      <c r="K1540" s="57"/>
      <c r="L1540" s="54">
        <f t="shared" si="110"/>
        <v>0</v>
      </c>
    </row>
    <row r="1541" spans="1:12" x14ac:dyDescent="0.3">
      <c r="A1541" s="54"/>
      <c r="B1541" s="54"/>
      <c r="C1541" s="54"/>
      <c r="D1541" s="54"/>
      <c r="E1541" s="55"/>
      <c r="F1541" s="57"/>
      <c r="G1541" s="57"/>
      <c r="H1541" s="54">
        <f t="shared" si="108"/>
        <v>0</v>
      </c>
      <c r="I1541" s="58"/>
      <c r="J1541" s="54">
        <f t="shared" si="109"/>
        <v>0</v>
      </c>
      <c r="K1541" s="57"/>
      <c r="L1541" s="54">
        <f t="shared" si="110"/>
        <v>0</v>
      </c>
    </row>
    <row r="1542" spans="1:12" x14ac:dyDescent="0.3">
      <c r="A1542" s="54"/>
      <c r="B1542" s="54"/>
      <c r="C1542" s="54"/>
      <c r="D1542" s="54"/>
      <c r="E1542" s="55"/>
      <c r="F1542" s="57"/>
      <c r="G1542" s="57"/>
      <c r="H1542" s="54">
        <f t="shared" si="108"/>
        <v>0</v>
      </c>
      <c r="I1542" s="58"/>
      <c r="J1542" s="54">
        <f t="shared" si="109"/>
        <v>0</v>
      </c>
      <c r="K1542" s="57"/>
      <c r="L1542" s="54">
        <f t="shared" si="110"/>
        <v>0</v>
      </c>
    </row>
    <row r="1543" spans="1:12" x14ac:dyDescent="0.3">
      <c r="A1543" s="54"/>
      <c r="B1543" s="54"/>
      <c r="C1543" s="54"/>
      <c r="D1543" s="54"/>
      <c r="E1543" s="55"/>
      <c r="F1543" s="57"/>
      <c r="G1543" s="57"/>
      <c r="H1543" s="54">
        <f t="shared" si="108"/>
        <v>0</v>
      </c>
      <c r="I1543" s="58"/>
      <c r="J1543" s="54">
        <f t="shared" si="109"/>
        <v>0</v>
      </c>
      <c r="K1543" s="57"/>
      <c r="L1543" s="54">
        <f t="shared" si="110"/>
        <v>0</v>
      </c>
    </row>
    <row r="1544" spans="1:12" x14ac:dyDescent="0.3">
      <c r="A1544" s="54"/>
      <c r="B1544" s="54"/>
      <c r="C1544" s="54"/>
      <c r="D1544" s="54"/>
      <c r="E1544" s="55"/>
      <c r="F1544" s="57"/>
      <c r="G1544" s="57"/>
      <c r="H1544" s="54">
        <f t="shared" si="108"/>
        <v>0</v>
      </c>
      <c r="I1544" s="58"/>
      <c r="J1544" s="54">
        <f t="shared" si="109"/>
        <v>0</v>
      </c>
      <c r="K1544" s="57"/>
      <c r="L1544" s="54">
        <f t="shared" si="110"/>
        <v>0</v>
      </c>
    </row>
    <row r="1545" spans="1:12" x14ac:dyDescent="0.3">
      <c r="A1545" s="54"/>
      <c r="B1545" s="54"/>
      <c r="C1545" s="54"/>
      <c r="D1545" s="54"/>
      <c r="E1545" s="55"/>
      <c r="F1545" s="57"/>
      <c r="G1545" s="57"/>
      <c r="H1545" s="54">
        <f t="shared" si="108"/>
        <v>0</v>
      </c>
      <c r="I1545" s="58"/>
      <c r="J1545" s="54">
        <f t="shared" si="109"/>
        <v>0</v>
      </c>
      <c r="K1545" s="57"/>
      <c r="L1545" s="54">
        <f t="shared" si="110"/>
        <v>0</v>
      </c>
    </row>
    <row r="1546" spans="1:12" x14ac:dyDescent="0.3">
      <c r="A1546" s="54"/>
      <c r="B1546" s="54"/>
      <c r="C1546" s="54"/>
      <c r="D1546" s="54"/>
      <c r="E1546" s="55"/>
      <c r="F1546" s="57"/>
      <c r="G1546" s="57"/>
      <c r="H1546" s="54">
        <f t="shared" si="108"/>
        <v>0</v>
      </c>
      <c r="I1546" s="58"/>
      <c r="J1546" s="54">
        <f t="shared" si="109"/>
        <v>0</v>
      </c>
      <c r="K1546" s="57"/>
      <c r="L1546" s="54">
        <f t="shared" si="110"/>
        <v>0</v>
      </c>
    </row>
    <row r="1547" spans="1:12" x14ac:dyDescent="0.3">
      <c r="A1547" s="54"/>
      <c r="B1547" s="54"/>
      <c r="C1547" s="54"/>
      <c r="D1547" s="54"/>
      <c r="E1547" s="55"/>
      <c r="F1547" s="57"/>
      <c r="G1547" s="57"/>
      <c r="H1547" s="54">
        <f t="shared" si="108"/>
        <v>0</v>
      </c>
      <c r="I1547" s="58"/>
      <c r="J1547" s="54">
        <f t="shared" si="109"/>
        <v>0</v>
      </c>
      <c r="K1547" s="57"/>
      <c r="L1547" s="54">
        <f t="shared" si="110"/>
        <v>0</v>
      </c>
    </row>
    <row r="1548" spans="1:12" x14ac:dyDescent="0.3">
      <c r="A1548" s="54"/>
      <c r="B1548" s="54"/>
      <c r="C1548" s="54"/>
      <c r="D1548" s="54"/>
      <c r="E1548" s="55"/>
      <c r="F1548" s="57"/>
      <c r="G1548" s="57"/>
      <c r="H1548" s="54">
        <f t="shared" si="108"/>
        <v>0</v>
      </c>
      <c r="I1548" s="58"/>
      <c r="J1548" s="54">
        <f t="shared" si="109"/>
        <v>0</v>
      </c>
      <c r="K1548" s="57"/>
      <c r="L1548" s="54">
        <f t="shared" si="110"/>
        <v>0</v>
      </c>
    </row>
    <row r="1549" spans="1:12" x14ac:dyDescent="0.3">
      <c r="A1549" s="54"/>
      <c r="B1549" s="54"/>
      <c r="C1549" s="54"/>
      <c r="D1549" s="54"/>
      <c r="E1549" s="55"/>
      <c r="F1549" s="57"/>
      <c r="G1549" s="57"/>
      <c r="H1549" s="54">
        <f t="shared" si="108"/>
        <v>0</v>
      </c>
      <c r="I1549" s="58"/>
      <c r="J1549" s="54">
        <f t="shared" si="109"/>
        <v>0</v>
      </c>
      <c r="K1549" s="57"/>
      <c r="L1549" s="54">
        <f t="shared" si="110"/>
        <v>0</v>
      </c>
    </row>
    <row r="1550" spans="1:12" x14ac:dyDescent="0.3">
      <c r="A1550" s="54"/>
      <c r="B1550" s="54"/>
      <c r="C1550" s="54"/>
      <c r="D1550" s="54"/>
      <c r="E1550" s="55"/>
      <c r="F1550" s="57"/>
      <c r="G1550" s="57"/>
      <c r="H1550" s="54">
        <f t="shared" si="108"/>
        <v>0</v>
      </c>
      <c r="I1550" s="58"/>
      <c r="J1550" s="54">
        <f t="shared" si="109"/>
        <v>0</v>
      </c>
      <c r="K1550" s="57"/>
      <c r="L1550" s="54">
        <f t="shared" si="110"/>
        <v>0</v>
      </c>
    </row>
    <row r="1551" spans="1:12" x14ac:dyDescent="0.3">
      <c r="A1551" s="54"/>
      <c r="B1551" s="54"/>
      <c r="C1551" s="54"/>
      <c r="D1551" s="54"/>
      <c r="E1551" s="55"/>
      <c r="F1551" s="57"/>
      <c r="G1551" s="57"/>
      <c r="H1551" s="54">
        <f t="shared" si="108"/>
        <v>0</v>
      </c>
      <c r="I1551" s="58"/>
      <c r="J1551" s="54">
        <f t="shared" si="109"/>
        <v>0</v>
      </c>
      <c r="K1551" s="57"/>
      <c r="L1551" s="54">
        <f t="shared" si="110"/>
        <v>0</v>
      </c>
    </row>
    <row r="1552" spans="1:12" x14ac:dyDescent="0.3">
      <c r="A1552" s="54"/>
      <c r="B1552" s="54"/>
      <c r="C1552" s="54"/>
      <c r="D1552" s="54"/>
      <c r="E1552" s="55"/>
      <c r="F1552" s="57"/>
      <c r="G1552" s="57"/>
      <c r="H1552" s="54">
        <f t="shared" si="108"/>
        <v>0</v>
      </c>
      <c r="I1552" s="58"/>
      <c r="J1552" s="54">
        <f t="shared" si="109"/>
        <v>0</v>
      </c>
      <c r="K1552" s="57"/>
      <c r="L1552" s="54">
        <f t="shared" si="110"/>
        <v>0</v>
      </c>
    </row>
    <row r="1553" spans="1:12" x14ac:dyDescent="0.3">
      <c r="A1553" s="54"/>
      <c r="B1553" s="54"/>
      <c r="C1553" s="54"/>
      <c r="D1553" s="54"/>
      <c r="E1553" s="55"/>
      <c r="F1553" s="57"/>
      <c r="G1553" s="57"/>
      <c r="H1553" s="54">
        <f t="shared" si="108"/>
        <v>0</v>
      </c>
      <c r="I1553" s="58"/>
      <c r="J1553" s="54">
        <f t="shared" si="109"/>
        <v>0</v>
      </c>
      <c r="K1553" s="57"/>
      <c r="L1553" s="54">
        <f t="shared" si="110"/>
        <v>0</v>
      </c>
    </row>
    <row r="1554" spans="1:12" x14ac:dyDescent="0.3">
      <c r="A1554" s="54"/>
      <c r="B1554" s="54"/>
      <c r="C1554" s="54"/>
      <c r="D1554" s="54"/>
      <c r="E1554" s="55"/>
      <c r="F1554" s="57"/>
      <c r="G1554" s="57"/>
      <c r="H1554" s="54">
        <f t="shared" si="108"/>
        <v>0</v>
      </c>
      <c r="I1554" s="58"/>
      <c r="J1554" s="54">
        <f t="shared" si="109"/>
        <v>0</v>
      </c>
      <c r="K1554" s="57"/>
      <c r="L1554" s="54">
        <f t="shared" si="110"/>
        <v>0</v>
      </c>
    </row>
    <row r="1555" spans="1:12" x14ac:dyDescent="0.3">
      <c r="A1555" s="54"/>
      <c r="B1555" s="54"/>
      <c r="C1555" s="54"/>
      <c r="D1555" s="54"/>
      <c r="E1555" s="55"/>
      <c r="F1555" s="57"/>
      <c r="G1555" s="57"/>
      <c r="H1555" s="54">
        <f t="shared" si="108"/>
        <v>0</v>
      </c>
      <c r="I1555" s="58"/>
      <c r="J1555" s="54">
        <f t="shared" si="109"/>
        <v>0</v>
      </c>
      <c r="K1555" s="57"/>
      <c r="L1555" s="54">
        <f t="shared" si="110"/>
        <v>0</v>
      </c>
    </row>
    <row r="1556" spans="1:12" x14ac:dyDescent="0.3">
      <c r="A1556" s="54"/>
      <c r="B1556" s="54"/>
      <c r="C1556" s="54"/>
      <c r="D1556" s="54"/>
      <c r="E1556" s="55"/>
      <c r="F1556" s="57"/>
      <c r="G1556" s="57"/>
      <c r="H1556" s="54">
        <f t="shared" si="108"/>
        <v>0</v>
      </c>
      <c r="I1556" s="58"/>
      <c r="J1556" s="54">
        <f t="shared" si="109"/>
        <v>0</v>
      </c>
      <c r="K1556" s="57"/>
      <c r="L1556" s="54">
        <f t="shared" si="110"/>
        <v>0</v>
      </c>
    </row>
    <row r="1557" spans="1:12" x14ac:dyDescent="0.3">
      <c r="A1557" s="54"/>
      <c r="B1557" s="54"/>
      <c r="C1557" s="54"/>
      <c r="D1557" s="54"/>
      <c r="E1557" s="55"/>
      <c r="F1557" s="57"/>
      <c r="G1557" s="57"/>
      <c r="H1557" s="54">
        <f t="shared" si="108"/>
        <v>0</v>
      </c>
      <c r="I1557" s="58"/>
      <c r="J1557" s="54">
        <f t="shared" si="109"/>
        <v>0</v>
      </c>
      <c r="K1557" s="57"/>
      <c r="L1557" s="54">
        <f t="shared" si="110"/>
        <v>0</v>
      </c>
    </row>
    <row r="1558" spans="1:12" x14ac:dyDescent="0.3">
      <c r="A1558" s="54"/>
      <c r="B1558" s="54"/>
      <c r="C1558" s="54"/>
      <c r="D1558" s="54"/>
      <c r="E1558" s="55"/>
      <c r="F1558" s="57"/>
      <c r="G1558" s="57"/>
      <c r="H1558" s="54">
        <f t="shared" si="108"/>
        <v>0</v>
      </c>
      <c r="I1558" s="58"/>
      <c r="J1558" s="54">
        <f t="shared" si="109"/>
        <v>0</v>
      </c>
      <c r="K1558" s="57"/>
      <c r="L1558" s="54">
        <f t="shared" si="110"/>
        <v>0</v>
      </c>
    </row>
    <row r="1559" spans="1:12" x14ac:dyDescent="0.3">
      <c r="A1559" s="54"/>
      <c r="B1559" s="54"/>
      <c r="C1559" s="54"/>
      <c r="D1559" s="54"/>
      <c r="E1559" s="55"/>
      <c r="F1559" s="57"/>
      <c r="G1559" s="57"/>
      <c r="H1559" s="54">
        <f t="shared" si="108"/>
        <v>0</v>
      </c>
      <c r="I1559" s="58"/>
      <c r="J1559" s="54">
        <f t="shared" si="109"/>
        <v>0</v>
      </c>
      <c r="K1559" s="57"/>
      <c r="L1559" s="54">
        <f t="shared" si="110"/>
        <v>0</v>
      </c>
    </row>
    <row r="1560" spans="1:12" x14ac:dyDescent="0.3">
      <c r="A1560" s="54"/>
      <c r="B1560" s="54"/>
      <c r="C1560" s="54"/>
      <c r="D1560" s="54"/>
      <c r="E1560" s="55"/>
      <c r="F1560" s="57"/>
      <c r="G1560" s="57"/>
      <c r="H1560" s="54">
        <f t="shared" si="108"/>
        <v>0</v>
      </c>
      <c r="I1560" s="58"/>
      <c r="J1560" s="54">
        <f t="shared" si="109"/>
        <v>0</v>
      </c>
      <c r="K1560" s="57"/>
      <c r="L1560" s="54">
        <f t="shared" si="110"/>
        <v>0</v>
      </c>
    </row>
    <row r="1561" spans="1:12" x14ac:dyDescent="0.3">
      <c r="A1561" s="54"/>
      <c r="B1561" s="54"/>
      <c r="C1561" s="54"/>
      <c r="D1561" s="54"/>
      <c r="E1561" s="55"/>
      <c r="F1561" s="57"/>
      <c r="G1561" s="57"/>
      <c r="H1561" s="54">
        <f t="shared" si="108"/>
        <v>0</v>
      </c>
      <c r="I1561" s="58"/>
      <c r="J1561" s="54">
        <f t="shared" si="109"/>
        <v>0</v>
      </c>
      <c r="K1561" s="57"/>
      <c r="L1561" s="54">
        <f t="shared" si="110"/>
        <v>0</v>
      </c>
    </row>
    <row r="1562" spans="1:12" x14ac:dyDescent="0.3">
      <c r="A1562" s="54"/>
      <c r="B1562" s="54"/>
      <c r="C1562" s="54"/>
      <c r="D1562" s="54"/>
      <c r="E1562" s="55"/>
      <c r="F1562" s="57"/>
      <c r="G1562" s="57"/>
      <c r="H1562" s="54">
        <f t="shared" si="108"/>
        <v>0</v>
      </c>
      <c r="I1562" s="58"/>
      <c r="J1562" s="54">
        <f t="shared" si="109"/>
        <v>0</v>
      </c>
      <c r="K1562" s="57"/>
      <c r="L1562" s="54">
        <f t="shared" si="110"/>
        <v>0</v>
      </c>
    </row>
    <row r="1563" spans="1:12" x14ac:dyDescent="0.3">
      <c r="A1563" s="54"/>
      <c r="B1563" s="54"/>
      <c r="C1563" s="54"/>
      <c r="D1563" s="54"/>
      <c r="E1563" s="55"/>
      <c r="F1563" s="57"/>
      <c r="G1563" s="57"/>
      <c r="H1563" s="54">
        <f t="shared" ref="H1563:H1626" si="111">+F1563-G1563</f>
        <v>0</v>
      </c>
      <c r="I1563" s="58"/>
      <c r="J1563" s="54">
        <f t="shared" ref="J1563:J1626" si="112">+H1563-H1563*I1563/100</f>
        <v>0</v>
      </c>
      <c r="K1563" s="57"/>
      <c r="L1563" s="54">
        <f t="shared" ref="L1563:L1626" si="113">+J1563*K1563</f>
        <v>0</v>
      </c>
    </row>
    <row r="1564" spans="1:12" x14ac:dyDescent="0.3">
      <c r="A1564" s="54"/>
      <c r="B1564" s="54"/>
      <c r="C1564" s="54"/>
      <c r="D1564" s="54"/>
      <c r="E1564" s="55"/>
      <c r="F1564" s="57"/>
      <c r="G1564" s="57"/>
      <c r="H1564" s="54">
        <f t="shared" si="111"/>
        <v>0</v>
      </c>
      <c r="I1564" s="58"/>
      <c r="J1564" s="54">
        <f t="shared" si="112"/>
        <v>0</v>
      </c>
      <c r="K1564" s="57"/>
      <c r="L1564" s="54">
        <f t="shared" si="113"/>
        <v>0</v>
      </c>
    </row>
    <row r="1565" spans="1:12" x14ac:dyDescent="0.3">
      <c r="A1565" s="54"/>
      <c r="B1565" s="54"/>
      <c r="C1565" s="54"/>
      <c r="D1565" s="54"/>
      <c r="E1565" s="55"/>
      <c r="F1565" s="57"/>
      <c r="G1565" s="57"/>
      <c r="H1565" s="54">
        <f t="shared" si="111"/>
        <v>0</v>
      </c>
      <c r="I1565" s="58"/>
      <c r="J1565" s="54">
        <f t="shared" si="112"/>
        <v>0</v>
      </c>
      <c r="K1565" s="57"/>
      <c r="L1565" s="54">
        <f t="shared" si="113"/>
        <v>0</v>
      </c>
    </row>
    <row r="1566" spans="1:12" x14ac:dyDescent="0.3">
      <c r="A1566" s="54"/>
      <c r="B1566" s="54"/>
      <c r="C1566" s="54"/>
      <c r="D1566" s="54"/>
      <c r="E1566" s="55"/>
      <c r="F1566" s="57"/>
      <c r="G1566" s="57"/>
      <c r="H1566" s="54">
        <f t="shared" si="111"/>
        <v>0</v>
      </c>
      <c r="I1566" s="58"/>
      <c r="J1566" s="54">
        <f t="shared" si="112"/>
        <v>0</v>
      </c>
      <c r="K1566" s="57"/>
      <c r="L1566" s="54">
        <f t="shared" si="113"/>
        <v>0</v>
      </c>
    </row>
    <row r="1567" spans="1:12" x14ac:dyDescent="0.3">
      <c r="A1567" s="54"/>
      <c r="B1567" s="54"/>
      <c r="C1567" s="54"/>
      <c r="D1567" s="54"/>
      <c r="E1567" s="55"/>
      <c r="F1567" s="57"/>
      <c r="G1567" s="57"/>
      <c r="H1567" s="54">
        <f t="shared" si="111"/>
        <v>0</v>
      </c>
      <c r="I1567" s="58"/>
      <c r="J1567" s="54">
        <f t="shared" si="112"/>
        <v>0</v>
      </c>
      <c r="K1567" s="57"/>
      <c r="L1567" s="54">
        <f t="shared" si="113"/>
        <v>0</v>
      </c>
    </row>
    <row r="1568" spans="1:12" x14ac:dyDescent="0.3">
      <c r="A1568" s="54"/>
      <c r="B1568" s="54"/>
      <c r="C1568" s="54"/>
      <c r="D1568" s="54"/>
      <c r="E1568" s="55"/>
      <c r="F1568" s="57"/>
      <c r="G1568" s="57"/>
      <c r="H1568" s="54">
        <f t="shared" si="111"/>
        <v>0</v>
      </c>
      <c r="I1568" s="58"/>
      <c r="J1568" s="54">
        <f t="shared" si="112"/>
        <v>0</v>
      </c>
      <c r="K1568" s="57"/>
      <c r="L1568" s="54">
        <f t="shared" si="113"/>
        <v>0</v>
      </c>
    </row>
    <row r="1569" spans="1:12" x14ac:dyDescent="0.3">
      <c r="A1569" s="54"/>
      <c r="B1569" s="54"/>
      <c r="C1569" s="54"/>
      <c r="D1569" s="54"/>
      <c r="E1569" s="55"/>
      <c r="F1569" s="57"/>
      <c r="G1569" s="57"/>
      <c r="H1569" s="54">
        <f t="shared" si="111"/>
        <v>0</v>
      </c>
      <c r="I1569" s="58"/>
      <c r="J1569" s="54">
        <f t="shared" si="112"/>
        <v>0</v>
      </c>
      <c r="K1569" s="57"/>
      <c r="L1569" s="54">
        <f t="shared" si="113"/>
        <v>0</v>
      </c>
    </row>
    <row r="1570" spans="1:12" x14ac:dyDescent="0.3">
      <c r="A1570" s="54"/>
      <c r="B1570" s="54"/>
      <c r="C1570" s="54"/>
      <c r="D1570" s="54"/>
      <c r="E1570" s="55"/>
      <c r="F1570" s="57"/>
      <c r="G1570" s="57"/>
      <c r="H1570" s="54">
        <f t="shared" si="111"/>
        <v>0</v>
      </c>
      <c r="I1570" s="58"/>
      <c r="J1570" s="54">
        <f t="shared" si="112"/>
        <v>0</v>
      </c>
      <c r="K1570" s="57"/>
      <c r="L1570" s="54">
        <f t="shared" si="113"/>
        <v>0</v>
      </c>
    </row>
    <row r="1571" spans="1:12" x14ac:dyDescent="0.3">
      <c r="A1571" s="54"/>
      <c r="B1571" s="54"/>
      <c r="C1571" s="54"/>
      <c r="D1571" s="54"/>
      <c r="E1571" s="55"/>
      <c r="F1571" s="57"/>
      <c r="G1571" s="57"/>
      <c r="H1571" s="54">
        <f t="shared" si="111"/>
        <v>0</v>
      </c>
      <c r="I1571" s="58"/>
      <c r="J1571" s="54">
        <f t="shared" si="112"/>
        <v>0</v>
      </c>
      <c r="K1571" s="57"/>
      <c r="L1571" s="54">
        <f t="shared" si="113"/>
        <v>0</v>
      </c>
    </row>
    <row r="1572" spans="1:12" x14ac:dyDescent="0.3">
      <c r="A1572" s="54"/>
      <c r="B1572" s="54"/>
      <c r="C1572" s="54"/>
      <c r="D1572" s="54"/>
      <c r="E1572" s="55"/>
      <c r="F1572" s="57"/>
      <c r="G1572" s="57"/>
      <c r="H1572" s="54">
        <f t="shared" si="111"/>
        <v>0</v>
      </c>
      <c r="I1572" s="58"/>
      <c r="J1572" s="54">
        <f t="shared" si="112"/>
        <v>0</v>
      </c>
      <c r="K1572" s="57"/>
      <c r="L1572" s="54">
        <f t="shared" si="113"/>
        <v>0</v>
      </c>
    </row>
    <row r="1573" spans="1:12" x14ac:dyDescent="0.3">
      <c r="A1573" s="54"/>
      <c r="B1573" s="54"/>
      <c r="C1573" s="54"/>
      <c r="D1573" s="54"/>
      <c r="E1573" s="55"/>
      <c r="F1573" s="57"/>
      <c r="G1573" s="57"/>
      <c r="H1573" s="54">
        <f t="shared" si="111"/>
        <v>0</v>
      </c>
      <c r="I1573" s="58"/>
      <c r="J1573" s="54">
        <f t="shared" si="112"/>
        <v>0</v>
      </c>
      <c r="K1573" s="57"/>
      <c r="L1573" s="54">
        <f t="shared" si="113"/>
        <v>0</v>
      </c>
    </row>
    <row r="1574" spans="1:12" x14ac:dyDescent="0.3">
      <c r="A1574" s="54"/>
      <c r="B1574" s="54"/>
      <c r="C1574" s="54"/>
      <c r="D1574" s="54"/>
      <c r="E1574" s="55"/>
      <c r="F1574" s="57"/>
      <c r="G1574" s="57"/>
      <c r="H1574" s="54">
        <f t="shared" si="111"/>
        <v>0</v>
      </c>
      <c r="I1574" s="58"/>
      <c r="J1574" s="54">
        <f t="shared" si="112"/>
        <v>0</v>
      </c>
      <c r="K1574" s="57"/>
      <c r="L1574" s="54">
        <f t="shared" si="113"/>
        <v>0</v>
      </c>
    </row>
    <row r="1575" spans="1:12" x14ac:dyDescent="0.3">
      <c r="A1575" s="54"/>
      <c r="B1575" s="54"/>
      <c r="C1575" s="54"/>
      <c r="D1575" s="54"/>
      <c r="E1575" s="55"/>
      <c r="F1575" s="57"/>
      <c r="G1575" s="57"/>
      <c r="H1575" s="54">
        <f t="shared" si="111"/>
        <v>0</v>
      </c>
      <c r="I1575" s="58"/>
      <c r="J1575" s="54">
        <f t="shared" si="112"/>
        <v>0</v>
      </c>
      <c r="K1575" s="57"/>
      <c r="L1575" s="54">
        <f t="shared" si="113"/>
        <v>0</v>
      </c>
    </row>
    <row r="1576" spans="1:12" x14ac:dyDescent="0.3">
      <c r="A1576" s="54"/>
      <c r="B1576" s="54"/>
      <c r="C1576" s="54"/>
      <c r="D1576" s="54"/>
      <c r="E1576" s="55"/>
      <c r="F1576" s="57"/>
      <c r="G1576" s="57"/>
      <c r="H1576" s="54">
        <f t="shared" si="111"/>
        <v>0</v>
      </c>
      <c r="I1576" s="58"/>
      <c r="J1576" s="54">
        <f t="shared" si="112"/>
        <v>0</v>
      </c>
      <c r="K1576" s="57"/>
      <c r="L1576" s="54">
        <f t="shared" si="113"/>
        <v>0</v>
      </c>
    </row>
    <row r="1577" spans="1:12" x14ac:dyDescent="0.3">
      <c r="A1577" s="54"/>
      <c r="B1577" s="54"/>
      <c r="C1577" s="54"/>
      <c r="D1577" s="54"/>
      <c r="E1577" s="55"/>
      <c r="F1577" s="57"/>
      <c r="G1577" s="57"/>
      <c r="H1577" s="54">
        <f t="shared" si="111"/>
        <v>0</v>
      </c>
      <c r="I1577" s="58"/>
      <c r="J1577" s="54">
        <f t="shared" si="112"/>
        <v>0</v>
      </c>
      <c r="K1577" s="57"/>
      <c r="L1577" s="54">
        <f t="shared" si="113"/>
        <v>0</v>
      </c>
    </row>
    <row r="1578" spans="1:12" x14ac:dyDescent="0.3">
      <c r="A1578" s="54"/>
      <c r="B1578" s="54"/>
      <c r="C1578" s="54"/>
      <c r="D1578" s="54"/>
      <c r="E1578" s="55"/>
      <c r="F1578" s="57"/>
      <c r="G1578" s="57"/>
      <c r="H1578" s="54">
        <f t="shared" si="111"/>
        <v>0</v>
      </c>
      <c r="I1578" s="58"/>
      <c r="J1578" s="54">
        <f t="shared" si="112"/>
        <v>0</v>
      </c>
      <c r="K1578" s="57"/>
      <c r="L1578" s="54">
        <f t="shared" si="113"/>
        <v>0</v>
      </c>
    </row>
    <row r="1579" spans="1:12" x14ac:dyDescent="0.3">
      <c r="A1579" s="54"/>
      <c r="B1579" s="54"/>
      <c r="C1579" s="54"/>
      <c r="D1579" s="54"/>
      <c r="E1579" s="55"/>
      <c r="F1579" s="57"/>
      <c r="G1579" s="57"/>
      <c r="H1579" s="54">
        <f t="shared" si="111"/>
        <v>0</v>
      </c>
      <c r="I1579" s="58"/>
      <c r="J1579" s="54">
        <f t="shared" si="112"/>
        <v>0</v>
      </c>
      <c r="K1579" s="57"/>
      <c r="L1579" s="54">
        <f t="shared" si="113"/>
        <v>0</v>
      </c>
    </row>
    <row r="1580" spans="1:12" x14ac:dyDescent="0.3">
      <c r="A1580" s="54"/>
      <c r="B1580" s="54"/>
      <c r="C1580" s="54"/>
      <c r="D1580" s="54"/>
      <c r="E1580" s="55"/>
      <c r="F1580" s="57"/>
      <c r="G1580" s="57"/>
      <c r="H1580" s="54">
        <f t="shared" si="111"/>
        <v>0</v>
      </c>
      <c r="I1580" s="58"/>
      <c r="J1580" s="54">
        <f t="shared" si="112"/>
        <v>0</v>
      </c>
      <c r="K1580" s="57"/>
      <c r="L1580" s="54">
        <f t="shared" si="113"/>
        <v>0</v>
      </c>
    </row>
    <row r="1581" spans="1:12" x14ac:dyDescent="0.3">
      <c r="A1581" s="54"/>
      <c r="B1581" s="54"/>
      <c r="C1581" s="54"/>
      <c r="D1581" s="54"/>
      <c r="E1581" s="55"/>
      <c r="F1581" s="57"/>
      <c r="G1581" s="57"/>
      <c r="H1581" s="54">
        <f t="shared" si="111"/>
        <v>0</v>
      </c>
      <c r="I1581" s="58"/>
      <c r="J1581" s="54">
        <f t="shared" si="112"/>
        <v>0</v>
      </c>
      <c r="K1581" s="57"/>
      <c r="L1581" s="54">
        <f t="shared" si="113"/>
        <v>0</v>
      </c>
    </row>
    <row r="1582" spans="1:12" x14ac:dyDescent="0.3">
      <c r="A1582" s="54"/>
      <c r="B1582" s="54"/>
      <c r="C1582" s="54"/>
      <c r="D1582" s="54"/>
      <c r="E1582" s="55"/>
      <c r="F1582" s="57"/>
      <c r="G1582" s="57"/>
      <c r="H1582" s="54">
        <f t="shared" si="111"/>
        <v>0</v>
      </c>
      <c r="I1582" s="58"/>
      <c r="J1582" s="54">
        <f t="shared" si="112"/>
        <v>0</v>
      </c>
      <c r="K1582" s="57"/>
      <c r="L1582" s="54">
        <f t="shared" si="113"/>
        <v>0</v>
      </c>
    </row>
    <row r="1583" spans="1:12" x14ac:dyDescent="0.3">
      <c r="A1583" s="54"/>
      <c r="B1583" s="54"/>
      <c r="C1583" s="54"/>
      <c r="D1583" s="54"/>
      <c r="E1583" s="55"/>
      <c r="F1583" s="57"/>
      <c r="G1583" s="57"/>
      <c r="H1583" s="54">
        <f t="shared" si="111"/>
        <v>0</v>
      </c>
      <c r="I1583" s="58"/>
      <c r="J1583" s="54">
        <f t="shared" si="112"/>
        <v>0</v>
      </c>
      <c r="K1583" s="57"/>
      <c r="L1583" s="54">
        <f t="shared" si="113"/>
        <v>0</v>
      </c>
    </row>
    <row r="1584" spans="1:12" x14ac:dyDescent="0.3">
      <c r="A1584" s="54"/>
      <c r="B1584" s="54"/>
      <c r="C1584" s="54"/>
      <c r="D1584" s="54"/>
      <c r="E1584" s="55"/>
      <c r="F1584" s="57"/>
      <c r="G1584" s="57"/>
      <c r="H1584" s="54">
        <f t="shared" si="111"/>
        <v>0</v>
      </c>
      <c r="I1584" s="58"/>
      <c r="J1584" s="54">
        <f t="shared" si="112"/>
        <v>0</v>
      </c>
      <c r="K1584" s="57"/>
      <c r="L1584" s="54">
        <f t="shared" si="113"/>
        <v>0</v>
      </c>
    </row>
    <row r="1585" spans="1:12" x14ac:dyDescent="0.3">
      <c r="A1585" s="54"/>
      <c r="B1585" s="54"/>
      <c r="C1585" s="54"/>
      <c r="D1585" s="54"/>
      <c r="E1585" s="55"/>
      <c r="F1585" s="57"/>
      <c r="G1585" s="57"/>
      <c r="H1585" s="54">
        <f t="shared" si="111"/>
        <v>0</v>
      </c>
      <c r="I1585" s="58"/>
      <c r="J1585" s="54">
        <f t="shared" si="112"/>
        <v>0</v>
      </c>
      <c r="K1585" s="57"/>
      <c r="L1585" s="54">
        <f t="shared" si="113"/>
        <v>0</v>
      </c>
    </row>
    <row r="1586" spans="1:12" x14ac:dyDescent="0.3">
      <c r="A1586" s="54"/>
      <c r="B1586" s="54"/>
      <c r="C1586" s="54"/>
      <c r="D1586" s="54"/>
      <c r="E1586" s="55"/>
      <c r="F1586" s="57"/>
      <c r="G1586" s="57"/>
      <c r="H1586" s="54">
        <f t="shared" si="111"/>
        <v>0</v>
      </c>
      <c r="I1586" s="58"/>
      <c r="J1586" s="54">
        <f t="shared" si="112"/>
        <v>0</v>
      </c>
      <c r="K1586" s="57"/>
      <c r="L1586" s="54">
        <f t="shared" si="113"/>
        <v>0</v>
      </c>
    </row>
    <row r="1587" spans="1:12" x14ac:dyDescent="0.3">
      <c r="A1587" s="54"/>
      <c r="B1587" s="54"/>
      <c r="C1587" s="54"/>
      <c r="D1587" s="54"/>
      <c r="E1587" s="55"/>
      <c r="F1587" s="57"/>
      <c r="G1587" s="57"/>
      <c r="H1587" s="54">
        <f t="shared" si="111"/>
        <v>0</v>
      </c>
      <c r="I1587" s="58"/>
      <c r="J1587" s="54">
        <f t="shared" si="112"/>
        <v>0</v>
      </c>
      <c r="K1587" s="57"/>
      <c r="L1587" s="54">
        <f t="shared" si="113"/>
        <v>0</v>
      </c>
    </row>
    <row r="1588" spans="1:12" x14ac:dyDescent="0.3">
      <c r="A1588" s="54"/>
      <c r="B1588" s="54"/>
      <c r="C1588" s="54"/>
      <c r="D1588" s="54"/>
      <c r="E1588" s="55"/>
      <c r="F1588" s="57"/>
      <c r="G1588" s="57"/>
      <c r="H1588" s="54">
        <f t="shared" si="111"/>
        <v>0</v>
      </c>
      <c r="I1588" s="58"/>
      <c r="J1588" s="54">
        <f t="shared" si="112"/>
        <v>0</v>
      </c>
      <c r="K1588" s="57"/>
      <c r="L1588" s="54">
        <f t="shared" si="113"/>
        <v>0</v>
      </c>
    </row>
    <row r="1589" spans="1:12" x14ac:dyDescent="0.3">
      <c r="A1589" s="54"/>
      <c r="B1589" s="54"/>
      <c r="C1589" s="54"/>
      <c r="D1589" s="54"/>
      <c r="E1589" s="55"/>
      <c r="F1589" s="57"/>
      <c r="G1589" s="57"/>
      <c r="H1589" s="54">
        <f t="shared" si="111"/>
        <v>0</v>
      </c>
      <c r="I1589" s="58"/>
      <c r="J1589" s="54">
        <f t="shared" si="112"/>
        <v>0</v>
      </c>
      <c r="K1589" s="57"/>
      <c r="L1589" s="54">
        <f t="shared" si="113"/>
        <v>0</v>
      </c>
    </row>
    <row r="1590" spans="1:12" x14ac:dyDescent="0.3">
      <c r="A1590" s="54"/>
      <c r="B1590" s="54"/>
      <c r="C1590" s="54"/>
      <c r="D1590" s="54"/>
      <c r="E1590" s="55"/>
      <c r="F1590" s="57"/>
      <c r="G1590" s="57"/>
      <c r="H1590" s="54">
        <f t="shared" si="111"/>
        <v>0</v>
      </c>
      <c r="I1590" s="58"/>
      <c r="J1590" s="54">
        <f t="shared" si="112"/>
        <v>0</v>
      </c>
      <c r="K1590" s="57"/>
      <c r="L1590" s="54">
        <f t="shared" si="113"/>
        <v>0</v>
      </c>
    </row>
    <row r="1591" spans="1:12" x14ac:dyDescent="0.3">
      <c r="A1591" s="54"/>
      <c r="B1591" s="54"/>
      <c r="C1591" s="54"/>
      <c r="D1591" s="54"/>
      <c r="E1591" s="55"/>
      <c r="F1591" s="57"/>
      <c r="G1591" s="57"/>
      <c r="H1591" s="54">
        <f t="shared" si="111"/>
        <v>0</v>
      </c>
      <c r="I1591" s="58"/>
      <c r="J1591" s="54">
        <f t="shared" si="112"/>
        <v>0</v>
      </c>
      <c r="K1591" s="57"/>
      <c r="L1591" s="54">
        <f t="shared" si="113"/>
        <v>0</v>
      </c>
    </row>
    <row r="1592" spans="1:12" x14ac:dyDescent="0.3">
      <c r="A1592" s="54"/>
      <c r="B1592" s="54"/>
      <c r="C1592" s="54"/>
      <c r="D1592" s="54"/>
      <c r="E1592" s="55"/>
      <c r="F1592" s="57"/>
      <c r="G1592" s="57"/>
      <c r="H1592" s="54">
        <f t="shared" si="111"/>
        <v>0</v>
      </c>
      <c r="I1592" s="58"/>
      <c r="J1592" s="54">
        <f t="shared" si="112"/>
        <v>0</v>
      </c>
      <c r="K1592" s="57"/>
      <c r="L1592" s="54">
        <f t="shared" si="113"/>
        <v>0</v>
      </c>
    </row>
    <row r="1593" spans="1:12" x14ac:dyDescent="0.3">
      <c r="A1593" s="54"/>
      <c r="B1593" s="54"/>
      <c r="C1593" s="54"/>
      <c r="D1593" s="54"/>
      <c r="E1593" s="55"/>
      <c r="F1593" s="57"/>
      <c r="G1593" s="57"/>
      <c r="H1593" s="54">
        <f t="shared" si="111"/>
        <v>0</v>
      </c>
      <c r="I1593" s="58"/>
      <c r="J1593" s="54">
        <f t="shared" si="112"/>
        <v>0</v>
      </c>
      <c r="K1593" s="57"/>
      <c r="L1593" s="54">
        <f t="shared" si="113"/>
        <v>0</v>
      </c>
    </row>
    <row r="1594" spans="1:12" x14ac:dyDescent="0.3">
      <c r="A1594" s="54"/>
      <c r="B1594" s="54"/>
      <c r="C1594" s="54"/>
      <c r="D1594" s="54"/>
      <c r="E1594" s="55"/>
      <c r="F1594" s="57"/>
      <c r="G1594" s="57"/>
      <c r="H1594" s="54">
        <f t="shared" si="111"/>
        <v>0</v>
      </c>
      <c r="I1594" s="58"/>
      <c r="J1594" s="54">
        <f t="shared" si="112"/>
        <v>0</v>
      </c>
      <c r="K1594" s="57"/>
      <c r="L1594" s="54">
        <f t="shared" si="113"/>
        <v>0</v>
      </c>
    </row>
    <row r="1595" spans="1:12" x14ac:dyDescent="0.3">
      <c r="A1595" s="54"/>
      <c r="B1595" s="54"/>
      <c r="C1595" s="54"/>
      <c r="D1595" s="54"/>
      <c r="E1595" s="55"/>
      <c r="F1595" s="57"/>
      <c r="G1595" s="57"/>
      <c r="H1595" s="54">
        <f t="shared" si="111"/>
        <v>0</v>
      </c>
      <c r="I1595" s="58"/>
      <c r="J1595" s="54">
        <f t="shared" si="112"/>
        <v>0</v>
      </c>
      <c r="K1595" s="57"/>
      <c r="L1595" s="54">
        <f t="shared" si="113"/>
        <v>0</v>
      </c>
    </row>
    <row r="1596" spans="1:12" x14ac:dyDescent="0.3">
      <c r="A1596" s="54"/>
      <c r="B1596" s="54"/>
      <c r="C1596" s="54"/>
      <c r="D1596" s="54"/>
      <c r="E1596" s="55"/>
      <c r="F1596" s="57"/>
      <c r="G1596" s="57"/>
      <c r="H1596" s="54">
        <f t="shared" si="111"/>
        <v>0</v>
      </c>
      <c r="I1596" s="58"/>
      <c r="J1596" s="54">
        <f t="shared" si="112"/>
        <v>0</v>
      </c>
      <c r="K1596" s="57"/>
      <c r="L1596" s="54">
        <f t="shared" si="113"/>
        <v>0</v>
      </c>
    </row>
    <row r="1597" spans="1:12" x14ac:dyDescent="0.3">
      <c r="A1597" s="54"/>
      <c r="B1597" s="54"/>
      <c r="C1597" s="54"/>
      <c r="D1597" s="54"/>
      <c r="E1597" s="55"/>
      <c r="F1597" s="57"/>
      <c r="G1597" s="57"/>
      <c r="H1597" s="54">
        <f t="shared" si="111"/>
        <v>0</v>
      </c>
      <c r="I1597" s="58"/>
      <c r="J1597" s="54">
        <f t="shared" si="112"/>
        <v>0</v>
      </c>
      <c r="K1597" s="57"/>
      <c r="L1597" s="54">
        <f t="shared" si="113"/>
        <v>0</v>
      </c>
    </row>
    <row r="1598" spans="1:12" x14ac:dyDescent="0.3">
      <c r="A1598" s="54"/>
      <c r="B1598" s="54"/>
      <c r="C1598" s="54"/>
      <c r="D1598" s="54"/>
      <c r="E1598" s="55"/>
      <c r="F1598" s="57"/>
      <c r="G1598" s="57"/>
      <c r="H1598" s="54">
        <f t="shared" si="111"/>
        <v>0</v>
      </c>
      <c r="I1598" s="58"/>
      <c r="J1598" s="54">
        <f t="shared" si="112"/>
        <v>0</v>
      </c>
      <c r="K1598" s="57"/>
      <c r="L1598" s="54">
        <f t="shared" si="113"/>
        <v>0</v>
      </c>
    </row>
    <row r="1599" spans="1:12" x14ac:dyDescent="0.3">
      <c r="A1599" s="54"/>
      <c r="B1599" s="54"/>
      <c r="C1599" s="54"/>
      <c r="D1599" s="54"/>
      <c r="E1599" s="55"/>
      <c r="F1599" s="57"/>
      <c r="G1599" s="57"/>
      <c r="H1599" s="54">
        <f t="shared" si="111"/>
        <v>0</v>
      </c>
      <c r="I1599" s="58"/>
      <c r="J1599" s="54">
        <f t="shared" si="112"/>
        <v>0</v>
      </c>
      <c r="K1599" s="57"/>
      <c r="L1599" s="54">
        <f t="shared" si="113"/>
        <v>0</v>
      </c>
    </row>
    <row r="1600" spans="1:12" x14ac:dyDescent="0.3">
      <c r="A1600" s="54"/>
      <c r="B1600" s="54"/>
      <c r="C1600" s="54"/>
      <c r="D1600" s="54"/>
      <c r="E1600" s="55"/>
      <c r="F1600" s="57"/>
      <c r="G1600" s="57"/>
      <c r="H1600" s="54">
        <f t="shared" si="111"/>
        <v>0</v>
      </c>
      <c r="I1600" s="58"/>
      <c r="J1600" s="54">
        <f t="shared" si="112"/>
        <v>0</v>
      </c>
      <c r="K1600" s="57"/>
      <c r="L1600" s="54">
        <f t="shared" si="113"/>
        <v>0</v>
      </c>
    </row>
    <row r="1601" spans="1:12" x14ac:dyDescent="0.3">
      <c r="A1601" s="54"/>
      <c r="B1601" s="54"/>
      <c r="C1601" s="54"/>
      <c r="D1601" s="54"/>
      <c r="E1601" s="55"/>
      <c r="F1601" s="57"/>
      <c r="G1601" s="57"/>
      <c r="H1601" s="54">
        <f t="shared" si="111"/>
        <v>0</v>
      </c>
      <c r="I1601" s="58"/>
      <c r="J1601" s="54">
        <f t="shared" si="112"/>
        <v>0</v>
      </c>
      <c r="K1601" s="57"/>
      <c r="L1601" s="54">
        <f t="shared" si="113"/>
        <v>0</v>
      </c>
    </row>
    <row r="1602" spans="1:12" x14ac:dyDescent="0.3">
      <c r="A1602" s="54"/>
      <c r="B1602" s="54"/>
      <c r="C1602" s="54"/>
      <c r="D1602" s="54"/>
      <c r="E1602" s="55"/>
      <c r="F1602" s="57"/>
      <c r="G1602" s="57"/>
      <c r="H1602" s="54">
        <f t="shared" si="111"/>
        <v>0</v>
      </c>
      <c r="I1602" s="58"/>
      <c r="J1602" s="54">
        <f t="shared" si="112"/>
        <v>0</v>
      </c>
      <c r="K1602" s="57"/>
      <c r="L1602" s="54">
        <f t="shared" si="113"/>
        <v>0</v>
      </c>
    </row>
    <row r="1603" spans="1:12" x14ac:dyDescent="0.3">
      <c r="A1603" s="54"/>
      <c r="B1603" s="54"/>
      <c r="C1603" s="54"/>
      <c r="D1603" s="54"/>
      <c r="E1603" s="55"/>
      <c r="F1603" s="57"/>
      <c r="G1603" s="57"/>
      <c r="H1603" s="54">
        <f t="shared" si="111"/>
        <v>0</v>
      </c>
      <c r="I1603" s="58"/>
      <c r="J1603" s="54">
        <f t="shared" si="112"/>
        <v>0</v>
      </c>
      <c r="K1603" s="57"/>
      <c r="L1603" s="54">
        <f t="shared" si="113"/>
        <v>0</v>
      </c>
    </row>
    <row r="1604" spans="1:12" x14ac:dyDescent="0.3">
      <c r="A1604" s="54"/>
      <c r="B1604" s="54"/>
      <c r="C1604" s="54"/>
      <c r="D1604" s="54"/>
      <c r="E1604" s="55"/>
      <c r="F1604" s="57"/>
      <c r="G1604" s="57"/>
      <c r="H1604" s="54">
        <f t="shared" si="111"/>
        <v>0</v>
      </c>
      <c r="I1604" s="58"/>
      <c r="J1604" s="54">
        <f t="shared" si="112"/>
        <v>0</v>
      </c>
      <c r="K1604" s="57"/>
      <c r="L1604" s="54">
        <f t="shared" si="113"/>
        <v>0</v>
      </c>
    </row>
    <row r="1605" spans="1:12" x14ac:dyDescent="0.3">
      <c r="A1605" s="54"/>
      <c r="B1605" s="54"/>
      <c r="C1605" s="54"/>
      <c r="D1605" s="54"/>
      <c r="E1605" s="55"/>
      <c r="F1605" s="57"/>
      <c r="G1605" s="57"/>
      <c r="H1605" s="54">
        <f t="shared" si="111"/>
        <v>0</v>
      </c>
      <c r="I1605" s="58"/>
      <c r="J1605" s="54">
        <f t="shared" si="112"/>
        <v>0</v>
      </c>
      <c r="K1605" s="57"/>
      <c r="L1605" s="54">
        <f t="shared" si="113"/>
        <v>0</v>
      </c>
    </row>
    <row r="1606" spans="1:12" x14ac:dyDescent="0.3">
      <c r="A1606" s="54"/>
      <c r="B1606" s="54"/>
      <c r="C1606" s="54"/>
      <c r="D1606" s="54"/>
      <c r="E1606" s="55"/>
      <c r="F1606" s="57"/>
      <c r="G1606" s="57"/>
      <c r="H1606" s="54">
        <f t="shared" si="111"/>
        <v>0</v>
      </c>
      <c r="I1606" s="58"/>
      <c r="J1606" s="54">
        <f t="shared" si="112"/>
        <v>0</v>
      </c>
      <c r="K1606" s="57"/>
      <c r="L1606" s="54">
        <f t="shared" si="113"/>
        <v>0</v>
      </c>
    </row>
    <row r="1607" spans="1:12" x14ac:dyDescent="0.3">
      <c r="A1607" s="54"/>
      <c r="B1607" s="54"/>
      <c r="C1607" s="54"/>
      <c r="D1607" s="54"/>
      <c r="E1607" s="55"/>
      <c r="F1607" s="57"/>
      <c r="G1607" s="57"/>
      <c r="H1607" s="54">
        <f t="shared" si="111"/>
        <v>0</v>
      </c>
      <c r="I1607" s="58"/>
      <c r="J1607" s="54">
        <f t="shared" si="112"/>
        <v>0</v>
      </c>
      <c r="K1607" s="57"/>
      <c r="L1607" s="54">
        <f t="shared" si="113"/>
        <v>0</v>
      </c>
    </row>
    <row r="1608" spans="1:12" x14ac:dyDescent="0.3">
      <c r="A1608" s="54"/>
      <c r="B1608" s="54"/>
      <c r="C1608" s="54"/>
      <c r="D1608" s="54"/>
      <c r="E1608" s="55"/>
      <c r="F1608" s="57"/>
      <c r="G1608" s="57"/>
      <c r="H1608" s="54">
        <f t="shared" si="111"/>
        <v>0</v>
      </c>
      <c r="I1608" s="58"/>
      <c r="J1608" s="54">
        <f t="shared" si="112"/>
        <v>0</v>
      </c>
      <c r="K1608" s="57"/>
      <c r="L1608" s="54">
        <f t="shared" si="113"/>
        <v>0</v>
      </c>
    </row>
    <row r="1609" spans="1:12" x14ac:dyDescent="0.3">
      <c r="A1609" s="54"/>
      <c r="B1609" s="54"/>
      <c r="C1609" s="54"/>
      <c r="D1609" s="54"/>
      <c r="E1609" s="55"/>
      <c r="F1609" s="57"/>
      <c r="G1609" s="57"/>
      <c r="H1609" s="54">
        <f t="shared" si="111"/>
        <v>0</v>
      </c>
      <c r="I1609" s="58"/>
      <c r="J1609" s="54">
        <f t="shared" si="112"/>
        <v>0</v>
      </c>
      <c r="K1609" s="57"/>
      <c r="L1609" s="54">
        <f t="shared" si="113"/>
        <v>0</v>
      </c>
    </row>
    <row r="1610" spans="1:12" x14ac:dyDescent="0.3">
      <c r="A1610" s="54"/>
      <c r="B1610" s="54"/>
      <c r="C1610" s="54"/>
      <c r="D1610" s="54"/>
      <c r="E1610" s="55"/>
      <c r="F1610" s="57"/>
      <c r="G1610" s="57"/>
      <c r="H1610" s="54">
        <f t="shared" si="111"/>
        <v>0</v>
      </c>
      <c r="I1610" s="58"/>
      <c r="J1610" s="54">
        <f t="shared" si="112"/>
        <v>0</v>
      </c>
      <c r="K1610" s="57"/>
      <c r="L1610" s="54">
        <f t="shared" si="113"/>
        <v>0</v>
      </c>
    </row>
    <row r="1611" spans="1:12" x14ac:dyDescent="0.3">
      <c r="A1611" s="54"/>
      <c r="B1611" s="54"/>
      <c r="C1611" s="54"/>
      <c r="D1611" s="54"/>
      <c r="E1611" s="55"/>
      <c r="F1611" s="57"/>
      <c r="G1611" s="57"/>
      <c r="H1611" s="54">
        <f t="shared" si="111"/>
        <v>0</v>
      </c>
      <c r="I1611" s="58"/>
      <c r="J1611" s="54">
        <f t="shared" si="112"/>
        <v>0</v>
      </c>
      <c r="K1611" s="57"/>
      <c r="L1611" s="54">
        <f t="shared" si="113"/>
        <v>0</v>
      </c>
    </row>
    <row r="1612" spans="1:12" x14ac:dyDescent="0.3">
      <c r="A1612" s="54"/>
      <c r="B1612" s="54"/>
      <c r="C1612" s="54"/>
      <c r="D1612" s="54"/>
      <c r="E1612" s="55"/>
      <c r="F1612" s="57"/>
      <c r="G1612" s="57"/>
      <c r="H1612" s="54">
        <f t="shared" si="111"/>
        <v>0</v>
      </c>
      <c r="I1612" s="58"/>
      <c r="J1612" s="54">
        <f t="shared" si="112"/>
        <v>0</v>
      </c>
      <c r="K1612" s="57"/>
      <c r="L1612" s="54">
        <f t="shared" si="113"/>
        <v>0</v>
      </c>
    </row>
    <row r="1613" spans="1:12" x14ac:dyDescent="0.3">
      <c r="A1613" s="54"/>
      <c r="B1613" s="54"/>
      <c r="C1613" s="54"/>
      <c r="D1613" s="54"/>
      <c r="E1613" s="55"/>
      <c r="F1613" s="57"/>
      <c r="G1613" s="57"/>
      <c r="H1613" s="54">
        <f t="shared" si="111"/>
        <v>0</v>
      </c>
      <c r="I1613" s="58"/>
      <c r="J1613" s="54">
        <f t="shared" si="112"/>
        <v>0</v>
      </c>
      <c r="K1613" s="57"/>
      <c r="L1613" s="54">
        <f t="shared" si="113"/>
        <v>0</v>
      </c>
    </row>
    <row r="1614" spans="1:12" x14ac:dyDescent="0.3">
      <c r="A1614" s="54"/>
      <c r="B1614" s="54"/>
      <c r="C1614" s="54"/>
      <c r="D1614" s="54"/>
      <c r="E1614" s="55"/>
      <c r="F1614" s="57"/>
      <c r="G1614" s="57"/>
      <c r="H1614" s="54">
        <f t="shared" si="111"/>
        <v>0</v>
      </c>
      <c r="I1614" s="58"/>
      <c r="J1614" s="54">
        <f t="shared" si="112"/>
        <v>0</v>
      </c>
      <c r="K1614" s="57"/>
      <c r="L1614" s="54">
        <f t="shared" si="113"/>
        <v>0</v>
      </c>
    </row>
    <row r="1615" spans="1:12" x14ac:dyDescent="0.3">
      <c r="A1615" s="54"/>
      <c r="B1615" s="54"/>
      <c r="C1615" s="54"/>
      <c r="D1615" s="54"/>
      <c r="E1615" s="55"/>
      <c r="F1615" s="57"/>
      <c r="G1615" s="57"/>
      <c r="H1615" s="54">
        <f t="shared" si="111"/>
        <v>0</v>
      </c>
      <c r="I1615" s="58"/>
      <c r="J1615" s="54">
        <f t="shared" si="112"/>
        <v>0</v>
      </c>
      <c r="K1615" s="57"/>
      <c r="L1615" s="54">
        <f t="shared" si="113"/>
        <v>0</v>
      </c>
    </row>
    <row r="1616" spans="1:12" x14ac:dyDescent="0.3">
      <c r="A1616" s="54"/>
      <c r="B1616" s="54"/>
      <c r="C1616" s="54"/>
      <c r="D1616" s="54"/>
      <c r="E1616" s="55"/>
      <c r="F1616" s="57"/>
      <c r="G1616" s="57"/>
      <c r="H1616" s="54">
        <f t="shared" si="111"/>
        <v>0</v>
      </c>
      <c r="I1616" s="58"/>
      <c r="J1616" s="54">
        <f t="shared" si="112"/>
        <v>0</v>
      </c>
      <c r="K1616" s="57"/>
      <c r="L1616" s="54">
        <f t="shared" si="113"/>
        <v>0</v>
      </c>
    </row>
    <row r="1617" spans="1:12" x14ac:dyDescent="0.3">
      <c r="A1617" s="54"/>
      <c r="B1617" s="54"/>
      <c r="C1617" s="54"/>
      <c r="D1617" s="54"/>
      <c r="E1617" s="55"/>
      <c r="F1617" s="57"/>
      <c r="G1617" s="57"/>
      <c r="H1617" s="54">
        <f t="shared" si="111"/>
        <v>0</v>
      </c>
      <c r="I1617" s="58"/>
      <c r="J1617" s="54">
        <f t="shared" si="112"/>
        <v>0</v>
      </c>
      <c r="K1617" s="57"/>
      <c r="L1617" s="54">
        <f t="shared" si="113"/>
        <v>0</v>
      </c>
    </row>
    <row r="1618" spans="1:12" x14ac:dyDescent="0.3">
      <c r="A1618" s="54"/>
      <c r="B1618" s="54"/>
      <c r="C1618" s="54"/>
      <c r="D1618" s="54"/>
      <c r="E1618" s="55"/>
      <c r="F1618" s="57"/>
      <c r="G1618" s="57"/>
      <c r="H1618" s="54">
        <f t="shared" si="111"/>
        <v>0</v>
      </c>
      <c r="I1618" s="58"/>
      <c r="J1618" s="54">
        <f t="shared" si="112"/>
        <v>0</v>
      </c>
      <c r="K1618" s="57"/>
      <c r="L1618" s="54">
        <f t="shared" si="113"/>
        <v>0</v>
      </c>
    </row>
    <row r="1619" spans="1:12" x14ac:dyDescent="0.3">
      <c r="A1619" s="54"/>
      <c r="B1619" s="54"/>
      <c r="C1619" s="54"/>
      <c r="D1619" s="54"/>
      <c r="E1619" s="55"/>
      <c r="F1619" s="57"/>
      <c r="G1619" s="57"/>
      <c r="H1619" s="54">
        <f t="shared" si="111"/>
        <v>0</v>
      </c>
      <c r="I1619" s="58"/>
      <c r="J1619" s="54">
        <f t="shared" si="112"/>
        <v>0</v>
      </c>
      <c r="K1619" s="57"/>
      <c r="L1619" s="54">
        <f t="shared" si="113"/>
        <v>0</v>
      </c>
    </row>
    <row r="1620" spans="1:12" x14ac:dyDescent="0.3">
      <c r="A1620" s="54"/>
      <c r="B1620" s="54"/>
      <c r="C1620" s="54"/>
      <c r="D1620" s="54"/>
      <c r="E1620" s="55"/>
      <c r="F1620" s="57"/>
      <c r="G1620" s="57"/>
      <c r="H1620" s="54">
        <f t="shared" si="111"/>
        <v>0</v>
      </c>
      <c r="I1620" s="58"/>
      <c r="J1620" s="54">
        <f t="shared" si="112"/>
        <v>0</v>
      </c>
      <c r="K1620" s="57"/>
      <c r="L1620" s="54">
        <f t="shared" si="113"/>
        <v>0</v>
      </c>
    </row>
    <row r="1621" spans="1:12" x14ac:dyDescent="0.3">
      <c r="A1621" s="54"/>
      <c r="B1621" s="54"/>
      <c r="C1621" s="54"/>
      <c r="D1621" s="54"/>
      <c r="E1621" s="55"/>
      <c r="F1621" s="57"/>
      <c r="G1621" s="57"/>
      <c r="H1621" s="54">
        <f t="shared" si="111"/>
        <v>0</v>
      </c>
      <c r="I1621" s="58"/>
      <c r="J1621" s="54">
        <f t="shared" si="112"/>
        <v>0</v>
      </c>
      <c r="K1621" s="57"/>
      <c r="L1621" s="54">
        <f t="shared" si="113"/>
        <v>0</v>
      </c>
    </row>
    <row r="1622" spans="1:12" x14ac:dyDescent="0.3">
      <c r="A1622" s="54"/>
      <c r="B1622" s="54"/>
      <c r="C1622" s="54"/>
      <c r="D1622" s="54"/>
      <c r="E1622" s="55"/>
      <c r="F1622" s="57"/>
      <c r="G1622" s="57"/>
      <c r="H1622" s="54">
        <f t="shared" si="111"/>
        <v>0</v>
      </c>
      <c r="I1622" s="58"/>
      <c r="J1622" s="54">
        <f t="shared" si="112"/>
        <v>0</v>
      </c>
      <c r="K1622" s="57"/>
      <c r="L1622" s="54">
        <f t="shared" si="113"/>
        <v>0</v>
      </c>
    </row>
    <row r="1623" spans="1:12" x14ac:dyDescent="0.3">
      <c r="A1623" s="54"/>
      <c r="B1623" s="54"/>
      <c r="C1623" s="54"/>
      <c r="D1623" s="54"/>
      <c r="E1623" s="55"/>
      <c r="F1623" s="57"/>
      <c r="G1623" s="57"/>
      <c r="H1623" s="54">
        <f t="shared" si="111"/>
        <v>0</v>
      </c>
      <c r="I1623" s="58"/>
      <c r="J1623" s="54">
        <f t="shared" si="112"/>
        <v>0</v>
      </c>
      <c r="K1623" s="57"/>
      <c r="L1623" s="54">
        <f t="shared" si="113"/>
        <v>0</v>
      </c>
    </row>
    <row r="1624" spans="1:12" x14ac:dyDescent="0.3">
      <c r="A1624" s="54"/>
      <c r="B1624" s="54"/>
      <c r="C1624" s="54"/>
      <c r="D1624" s="54"/>
      <c r="E1624" s="55"/>
      <c r="F1624" s="57"/>
      <c r="G1624" s="57"/>
      <c r="H1624" s="54">
        <f t="shared" si="111"/>
        <v>0</v>
      </c>
      <c r="I1624" s="58"/>
      <c r="J1624" s="54">
        <f t="shared" si="112"/>
        <v>0</v>
      </c>
      <c r="K1624" s="57"/>
      <c r="L1624" s="54">
        <f t="shared" si="113"/>
        <v>0</v>
      </c>
    </row>
    <row r="1625" spans="1:12" x14ac:dyDescent="0.3">
      <c r="A1625" s="54"/>
      <c r="B1625" s="54"/>
      <c r="C1625" s="54"/>
      <c r="D1625" s="54"/>
      <c r="E1625" s="55"/>
      <c r="F1625" s="57"/>
      <c r="G1625" s="57"/>
      <c r="H1625" s="54">
        <f t="shared" si="111"/>
        <v>0</v>
      </c>
      <c r="I1625" s="58"/>
      <c r="J1625" s="54">
        <f t="shared" si="112"/>
        <v>0</v>
      </c>
      <c r="K1625" s="57"/>
      <c r="L1625" s="54">
        <f t="shared" si="113"/>
        <v>0</v>
      </c>
    </row>
    <row r="1626" spans="1:12" x14ac:dyDescent="0.3">
      <c r="A1626" s="54"/>
      <c r="B1626" s="54"/>
      <c r="C1626" s="54"/>
      <c r="D1626" s="54"/>
      <c r="E1626" s="55"/>
      <c r="F1626" s="57"/>
      <c r="G1626" s="57"/>
      <c r="H1626" s="54">
        <f t="shared" si="111"/>
        <v>0</v>
      </c>
      <c r="I1626" s="58"/>
      <c r="J1626" s="54">
        <f t="shared" si="112"/>
        <v>0</v>
      </c>
      <c r="K1626" s="57"/>
      <c r="L1626" s="54">
        <f t="shared" si="113"/>
        <v>0</v>
      </c>
    </row>
    <row r="1627" spans="1:12" x14ac:dyDescent="0.3">
      <c r="A1627" s="54"/>
      <c r="B1627" s="54"/>
      <c r="C1627" s="54"/>
      <c r="D1627" s="54"/>
      <c r="E1627" s="55"/>
      <c r="F1627" s="57"/>
      <c r="G1627" s="57"/>
      <c r="H1627" s="54">
        <f t="shared" ref="H1627:H1690" si="114">+F1627-G1627</f>
        <v>0</v>
      </c>
      <c r="I1627" s="58"/>
      <c r="J1627" s="54">
        <f t="shared" ref="J1627:J1690" si="115">+H1627-H1627*I1627/100</f>
        <v>0</v>
      </c>
      <c r="K1627" s="57"/>
      <c r="L1627" s="54">
        <f t="shared" ref="L1627:L1690" si="116">+J1627*K1627</f>
        <v>0</v>
      </c>
    </row>
    <row r="1628" spans="1:12" x14ac:dyDescent="0.3">
      <c r="A1628" s="54"/>
      <c r="B1628" s="54"/>
      <c r="C1628" s="54"/>
      <c r="D1628" s="54"/>
      <c r="E1628" s="55"/>
      <c r="F1628" s="57"/>
      <c r="G1628" s="57"/>
      <c r="H1628" s="54">
        <f t="shared" si="114"/>
        <v>0</v>
      </c>
      <c r="I1628" s="58"/>
      <c r="J1628" s="54">
        <f t="shared" si="115"/>
        <v>0</v>
      </c>
      <c r="K1628" s="57"/>
      <c r="L1628" s="54">
        <f t="shared" si="116"/>
        <v>0</v>
      </c>
    </row>
    <row r="1629" spans="1:12" x14ac:dyDescent="0.3">
      <c r="A1629" s="54"/>
      <c r="B1629" s="54"/>
      <c r="C1629" s="54"/>
      <c r="D1629" s="54"/>
      <c r="E1629" s="55"/>
      <c r="F1629" s="57"/>
      <c r="G1629" s="57"/>
      <c r="H1629" s="54">
        <f t="shared" si="114"/>
        <v>0</v>
      </c>
      <c r="I1629" s="58"/>
      <c r="J1629" s="54">
        <f t="shared" si="115"/>
        <v>0</v>
      </c>
      <c r="K1629" s="57"/>
      <c r="L1629" s="54">
        <f t="shared" si="116"/>
        <v>0</v>
      </c>
    </row>
    <row r="1630" spans="1:12" x14ac:dyDescent="0.3">
      <c r="A1630" s="54"/>
      <c r="B1630" s="54"/>
      <c r="C1630" s="54"/>
      <c r="D1630" s="54"/>
      <c r="E1630" s="55"/>
      <c r="F1630" s="57"/>
      <c r="G1630" s="57"/>
      <c r="H1630" s="54">
        <f t="shared" si="114"/>
        <v>0</v>
      </c>
      <c r="I1630" s="58"/>
      <c r="J1630" s="54">
        <f t="shared" si="115"/>
        <v>0</v>
      </c>
      <c r="K1630" s="57"/>
      <c r="L1630" s="54">
        <f t="shared" si="116"/>
        <v>0</v>
      </c>
    </row>
    <row r="1631" spans="1:12" x14ac:dyDescent="0.3">
      <c r="A1631" s="54"/>
      <c r="B1631" s="54"/>
      <c r="C1631" s="54"/>
      <c r="D1631" s="54"/>
      <c r="E1631" s="55"/>
      <c r="F1631" s="57"/>
      <c r="G1631" s="57"/>
      <c r="H1631" s="54">
        <f t="shared" si="114"/>
        <v>0</v>
      </c>
      <c r="I1631" s="58"/>
      <c r="J1631" s="54">
        <f t="shared" si="115"/>
        <v>0</v>
      </c>
      <c r="K1631" s="57"/>
      <c r="L1631" s="54">
        <f t="shared" si="116"/>
        <v>0</v>
      </c>
    </row>
    <row r="1632" spans="1:12" x14ac:dyDescent="0.3">
      <c r="A1632" s="54"/>
      <c r="B1632" s="54"/>
      <c r="C1632" s="54"/>
      <c r="D1632" s="54"/>
      <c r="E1632" s="55"/>
      <c r="F1632" s="57"/>
      <c r="G1632" s="57"/>
      <c r="H1632" s="54">
        <f t="shared" si="114"/>
        <v>0</v>
      </c>
      <c r="I1632" s="58"/>
      <c r="J1632" s="54">
        <f t="shared" si="115"/>
        <v>0</v>
      </c>
      <c r="K1632" s="57"/>
      <c r="L1632" s="54">
        <f t="shared" si="116"/>
        <v>0</v>
      </c>
    </row>
    <row r="1633" spans="1:12" x14ac:dyDescent="0.3">
      <c r="A1633" s="54"/>
      <c r="B1633" s="54"/>
      <c r="C1633" s="54"/>
      <c r="D1633" s="54"/>
      <c r="E1633" s="55"/>
      <c r="F1633" s="57"/>
      <c r="G1633" s="57"/>
      <c r="H1633" s="54">
        <f t="shared" si="114"/>
        <v>0</v>
      </c>
      <c r="I1633" s="58"/>
      <c r="J1633" s="54">
        <f t="shared" si="115"/>
        <v>0</v>
      </c>
      <c r="K1633" s="57"/>
      <c r="L1633" s="54">
        <f t="shared" si="116"/>
        <v>0</v>
      </c>
    </row>
    <row r="1634" spans="1:12" x14ac:dyDescent="0.3">
      <c r="A1634" s="54"/>
      <c r="B1634" s="54"/>
      <c r="C1634" s="54"/>
      <c r="D1634" s="54"/>
      <c r="E1634" s="55"/>
      <c r="F1634" s="57"/>
      <c r="G1634" s="57"/>
      <c r="H1634" s="54">
        <f t="shared" si="114"/>
        <v>0</v>
      </c>
      <c r="I1634" s="58"/>
      <c r="J1634" s="54">
        <f t="shared" si="115"/>
        <v>0</v>
      </c>
      <c r="K1634" s="57"/>
      <c r="L1634" s="54">
        <f t="shared" si="116"/>
        <v>0</v>
      </c>
    </row>
    <row r="1635" spans="1:12" x14ac:dyDescent="0.3">
      <c r="A1635" s="54"/>
      <c r="B1635" s="54"/>
      <c r="C1635" s="54"/>
      <c r="D1635" s="54"/>
      <c r="E1635" s="55"/>
      <c r="F1635" s="57"/>
      <c r="G1635" s="57"/>
      <c r="H1635" s="54">
        <f t="shared" si="114"/>
        <v>0</v>
      </c>
      <c r="I1635" s="58"/>
      <c r="J1635" s="54">
        <f t="shared" si="115"/>
        <v>0</v>
      </c>
      <c r="K1635" s="57"/>
      <c r="L1635" s="54">
        <f t="shared" si="116"/>
        <v>0</v>
      </c>
    </row>
    <row r="1636" spans="1:12" x14ac:dyDescent="0.3">
      <c r="A1636" s="54"/>
      <c r="B1636" s="54"/>
      <c r="C1636" s="54"/>
      <c r="D1636" s="54"/>
      <c r="E1636" s="55"/>
      <c r="F1636" s="57"/>
      <c r="G1636" s="57"/>
      <c r="H1636" s="54">
        <f t="shared" si="114"/>
        <v>0</v>
      </c>
      <c r="I1636" s="58"/>
      <c r="J1636" s="54">
        <f t="shared" si="115"/>
        <v>0</v>
      </c>
      <c r="K1636" s="57"/>
      <c r="L1636" s="54">
        <f t="shared" si="116"/>
        <v>0</v>
      </c>
    </row>
    <row r="1637" spans="1:12" x14ac:dyDescent="0.3">
      <c r="A1637" s="54"/>
      <c r="B1637" s="54"/>
      <c r="C1637" s="54"/>
      <c r="D1637" s="54"/>
      <c r="E1637" s="55"/>
      <c r="F1637" s="57"/>
      <c r="G1637" s="57"/>
      <c r="H1637" s="54">
        <f t="shared" si="114"/>
        <v>0</v>
      </c>
      <c r="I1637" s="58"/>
      <c r="J1637" s="54">
        <f t="shared" si="115"/>
        <v>0</v>
      </c>
      <c r="K1637" s="57"/>
      <c r="L1637" s="54">
        <f t="shared" si="116"/>
        <v>0</v>
      </c>
    </row>
    <row r="1638" spans="1:12" x14ac:dyDescent="0.3">
      <c r="A1638" s="54"/>
      <c r="B1638" s="54"/>
      <c r="C1638" s="54"/>
      <c r="D1638" s="54"/>
      <c r="E1638" s="55"/>
      <c r="F1638" s="57"/>
      <c r="G1638" s="57"/>
      <c r="H1638" s="54">
        <f t="shared" si="114"/>
        <v>0</v>
      </c>
      <c r="I1638" s="58"/>
      <c r="J1638" s="54">
        <f t="shared" si="115"/>
        <v>0</v>
      </c>
      <c r="K1638" s="57"/>
      <c r="L1638" s="54">
        <f t="shared" si="116"/>
        <v>0</v>
      </c>
    </row>
    <row r="1639" spans="1:12" x14ac:dyDescent="0.3">
      <c r="A1639" s="54"/>
      <c r="B1639" s="54"/>
      <c r="C1639" s="54"/>
      <c r="D1639" s="54"/>
      <c r="E1639" s="55"/>
      <c r="F1639" s="57"/>
      <c r="G1639" s="57"/>
      <c r="H1639" s="54">
        <f t="shared" si="114"/>
        <v>0</v>
      </c>
      <c r="I1639" s="58"/>
      <c r="J1639" s="54">
        <f t="shared" si="115"/>
        <v>0</v>
      </c>
      <c r="K1639" s="57"/>
      <c r="L1639" s="54">
        <f t="shared" si="116"/>
        <v>0</v>
      </c>
    </row>
    <row r="1640" spans="1:12" x14ac:dyDescent="0.3">
      <c r="A1640" s="54"/>
      <c r="B1640" s="54"/>
      <c r="C1640" s="54"/>
      <c r="D1640" s="54"/>
      <c r="E1640" s="55"/>
      <c r="F1640" s="57"/>
      <c r="G1640" s="57"/>
      <c r="H1640" s="54">
        <f t="shared" si="114"/>
        <v>0</v>
      </c>
      <c r="I1640" s="58"/>
      <c r="J1640" s="54">
        <f t="shared" si="115"/>
        <v>0</v>
      </c>
      <c r="K1640" s="57"/>
      <c r="L1640" s="54">
        <f t="shared" si="116"/>
        <v>0</v>
      </c>
    </row>
    <row r="1641" spans="1:12" x14ac:dyDescent="0.3">
      <c r="A1641" s="54"/>
      <c r="B1641" s="54"/>
      <c r="C1641" s="54"/>
      <c r="D1641" s="54"/>
      <c r="E1641" s="55"/>
      <c r="F1641" s="57"/>
      <c r="G1641" s="57"/>
      <c r="H1641" s="54">
        <f t="shared" si="114"/>
        <v>0</v>
      </c>
      <c r="I1641" s="58"/>
      <c r="J1641" s="54">
        <f t="shared" si="115"/>
        <v>0</v>
      </c>
      <c r="K1641" s="57"/>
      <c r="L1641" s="54">
        <f t="shared" si="116"/>
        <v>0</v>
      </c>
    </row>
    <row r="1642" spans="1:12" x14ac:dyDescent="0.3">
      <c r="A1642" s="54"/>
      <c r="B1642" s="54"/>
      <c r="C1642" s="54"/>
      <c r="D1642" s="54"/>
      <c r="E1642" s="55"/>
      <c r="F1642" s="57"/>
      <c r="G1642" s="57"/>
      <c r="H1642" s="54">
        <f t="shared" si="114"/>
        <v>0</v>
      </c>
      <c r="I1642" s="58"/>
      <c r="J1642" s="54">
        <f t="shared" si="115"/>
        <v>0</v>
      </c>
      <c r="K1642" s="57"/>
      <c r="L1642" s="54">
        <f t="shared" si="116"/>
        <v>0</v>
      </c>
    </row>
    <row r="1643" spans="1:12" x14ac:dyDescent="0.3">
      <c r="A1643" s="54"/>
      <c r="B1643" s="54"/>
      <c r="C1643" s="54"/>
      <c r="D1643" s="54"/>
      <c r="E1643" s="55"/>
      <c r="F1643" s="57"/>
      <c r="G1643" s="57"/>
      <c r="H1643" s="54">
        <f t="shared" si="114"/>
        <v>0</v>
      </c>
      <c r="I1643" s="58"/>
      <c r="J1643" s="54">
        <f t="shared" si="115"/>
        <v>0</v>
      </c>
      <c r="K1643" s="57"/>
      <c r="L1643" s="54">
        <f t="shared" si="116"/>
        <v>0</v>
      </c>
    </row>
    <row r="1644" spans="1:12" x14ac:dyDescent="0.3">
      <c r="A1644" s="54"/>
      <c r="B1644" s="54"/>
      <c r="C1644" s="54"/>
      <c r="D1644" s="54"/>
      <c r="E1644" s="55"/>
      <c r="F1644" s="57"/>
      <c r="G1644" s="57"/>
      <c r="H1644" s="54">
        <f t="shared" si="114"/>
        <v>0</v>
      </c>
      <c r="I1644" s="58"/>
      <c r="J1644" s="54">
        <f t="shared" si="115"/>
        <v>0</v>
      </c>
      <c r="K1644" s="57"/>
      <c r="L1644" s="54">
        <f t="shared" si="116"/>
        <v>0</v>
      </c>
    </row>
    <row r="1645" spans="1:12" x14ac:dyDescent="0.3">
      <c r="A1645" s="54"/>
      <c r="B1645" s="54"/>
      <c r="C1645" s="54"/>
      <c r="D1645" s="54"/>
      <c r="E1645" s="55"/>
      <c r="F1645" s="57"/>
      <c r="G1645" s="57"/>
      <c r="H1645" s="54">
        <f t="shared" si="114"/>
        <v>0</v>
      </c>
      <c r="I1645" s="58"/>
      <c r="J1645" s="54">
        <f t="shared" si="115"/>
        <v>0</v>
      </c>
      <c r="K1645" s="57"/>
      <c r="L1645" s="54">
        <f t="shared" si="116"/>
        <v>0</v>
      </c>
    </row>
    <row r="1646" spans="1:12" x14ac:dyDescent="0.3">
      <c r="A1646" s="54"/>
      <c r="B1646" s="54"/>
      <c r="C1646" s="54"/>
      <c r="D1646" s="54"/>
      <c r="E1646" s="55"/>
      <c r="F1646" s="57"/>
      <c r="G1646" s="57"/>
      <c r="H1646" s="54">
        <f t="shared" si="114"/>
        <v>0</v>
      </c>
      <c r="I1646" s="58"/>
      <c r="J1646" s="54">
        <f t="shared" si="115"/>
        <v>0</v>
      </c>
      <c r="K1646" s="57"/>
      <c r="L1646" s="54">
        <f t="shared" si="116"/>
        <v>0</v>
      </c>
    </row>
    <row r="1647" spans="1:12" x14ac:dyDescent="0.3">
      <c r="A1647" s="54"/>
      <c r="B1647" s="54"/>
      <c r="C1647" s="54"/>
      <c r="D1647" s="54"/>
      <c r="E1647" s="55"/>
      <c r="F1647" s="57"/>
      <c r="G1647" s="57"/>
      <c r="H1647" s="54">
        <f t="shared" si="114"/>
        <v>0</v>
      </c>
      <c r="I1647" s="58"/>
      <c r="J1647" s="54">
        <f t="shared" si="115"/>
        <v>0</v>
      </c>
      <c r="K1647" s="57"/>
      <c r="L1647" s="54">
        <f t="shared" si="116"/>
        <v>0</v>
      </c>
    </row>
    <row r="1648" spans="1:12" x14ac:dyDescent="0.3">
      <c r="A1648" s="54"/>
      <c r="B1648" s="54"/>
      <c r="C1648" s="54"/>
      <c r="D1648" s="54"/>
      <c r="E1648" s="55"/>
      <c r="F1648" s="57"/>
      <c r="G1648" s="57"/>
      <c r="H1648" s="54">
        <f t="shared" si="114"/>
        <v>0</v>
      </c>
      <c r="I1648" s="58"/>
      <c r="J1648" s="54">
        <f t="shared" si="115"/>
        <v>0</v>
      </c>
      <c r="K1648" s="57"/>
      <c r="L1648" s="54">
        <f t="shared" si="116"/>
        <v>0</v>
      </c>
    </row>
    <row r="1649" spans="1:12" x14ac:dyDescent="0.3">
      <c r="A1649" s="54"/>
      <c r="B1649" s="54"/>
      <c r="C1649" s="54"/>
      <c r="D1649" s="54"/>
      <c r="E1649" s="55"/>
      <c r="F1649" s="57"/>
      <c r="G1649" s="57"/>
      <c r="H1649" s="54">
        <f t="shared" si="114"/>
        <v>0</v>
      </c>
      <c r="I1649" s="58"/>
      <c r="J1649" s="54">
        <f t="shared" si="115"/>
        <v>0</v>
      </c>
      <c r="K1649" s="57"/>
      <c r="L1649" s="54">
        <f t="shared" si="116"/>
        <v>0</v>
      </c>
    </row>
    <row r="1650" spans="1:12" x14ac:dyDescent="0.3">
      <c r="A1650" s="54"/>
      <c r="B1650" s="54"/>
      <c r="C1650" s="54"/>
      <c r="D1650" s="54"/>
      <c r="E1650" s="55"/>
      <c r="F1650" s="57"/>
      <c r="G1650" s="57"/>
      <c r="H1650" s="54">
        <f t="shared" si="114"/>
        <v>0</v>
      </c>
      <c r="I1650" s="58"/>
      <c r="J1650" s="54">
        <f t="shared" si="115"/>
        <v>0</v>
      </c>
      <c r="K1650" s="57"/>
      <c r="L1650" s="54">
        <f t="shared" si="116"/>
        <v>0</v>
      </c>
    </row>
    <row r="1651" spans="1:12" x14ac:dyDescent="0.3">
      <c r="A1651" s="54"/>
      <c r="B1651" s="54"/>
      <c r="C1651" s="54"/>
      <c r="D1651" s="54"/>
      <c r="E1651" s="55"/>
      <c r="F1651" s="57"/>
      <c r="G1651" s="57"/>
      <c r="H1651" s="54">
        <f t="shared" si="114"/>
        <v>0</v>
      </c>
      <c r="I1651" s="58"/>
      <c r="J1651" s="54">
        <f t="shared" si="115"/>
        <v>0</v>
      </c>
      <c r="K1651" s="57"/>
      <c r="L1651" s="54">
        <f t="shared" si="116"/>
        <v>0</v>
      </c>
    </row>
    <row r="1652" spans="1:12" x14ac:dyDescent="0.3">
      <c r="A1652" s="54"/>
      <c r="B1652" s="54"/>
      <c r="C1652" s="54"/>
      <c r="D1652" s="54"/>
      <c r="E1652" s="55"/>
      <c r="F1652" s="57"/>
      <c r="G1652" s="57"/>
      <c r="H1652" s="54">
        <f t="shared" si="114"/>
        <v>0</v>
      </c>
      <c r="I1652" s="58"/>
      <c r="J1652" s="54">
        <f t="shared" si="115"/>
        <v>0</v>
      </c>
      <c r="K1652" s="57"/>
      <c r="L1652" s="54">
        <f t="shared" si="116"/>
        <v>0</v>
      </c>
    </row>
    <row r="1653" spans="1:12" x14ac:dyDescent="0.3">
      <c r="A1653" s="54"/>
      <c r="B1653" s="54"/>
      <c r="C1653" s="54"/>
      <c r="D1653" s="54"/>
      <c r="E1653" s="55"/>
      <c r="F1653" s="57"/>
      <c r="G1653" s="57"/>
      <c r="H1653" s="54">
        <f t="shared" si="114"/>
        <v>0</v>
      </c>
      <c r="I1653" s="58"/>
      <c r="J1653" s="54">
        <f t="shared" si="115"/>
        <v>0</v>
      </c>
      <c r="K1653" s="57"/>
      <c r="L1653" s="54">
        <f t="shared" si="116"/>
        <v>0</v>
      </c>
    </row>
    <row r="1654" spans="1:12" x14ac:dyDescent="0.3">
      <c r="A1654" s="54"/>
      <c r="B1654" s="54"/>
      <c r="C1654" s="54"/>
      <c r="D1654" s="54"/>
      <c r="E1654" s="55"/>
      <c r="F1654" s="57"/>
      <c r="G1654" s="57"/>
      <c r="H1654" s="54">
        <f t="shared" si="114"/>
        <v>0</v>
      </c>
      <c r="I1654" s="58"/>
      <c r="J1654" s="54">
        <f t="shared" si="115"/>
        <v>0</v>
      </c>
      <c r="K1654" s="57"/>
      <c r="L1654" s="54">
        <f t="shared" si="116"/>
        <v>0</v>
      </c>
    </row>
    <row r="1655" spans="1:12" x14ac:dyDescent="0.3">
      <c r="A1655" s="54"/>
      <c r="B1655" s="54"/>
      <c r="C1655" s="54"/>
      <c r="D1655" s="54"/>
      <c r="E1655" s="55"/>
      <c r="F1655" s="57"/>
      <c r="G1655" s="57"/>
      <c r="H1655" s="54">
        <f t="shared" si="114"/>
        <v>0</v>
      </c>
      <c r="I1655" s="58"/>
      <c r="J1655" s="54">
        <f t="shared" si="115"/>
        <v>0</v>
      </c>
      <c r="K1655" s="57"/>
      <c r="L1655" s="54">
        <f t="shared" si="116"/>
        <v>0</v>
      </c>
    </row>
    <row r="1656" spans="1:12" x14ac:dyDescent="0.3">
      <c r="A1656" s="54"/>
      <c r="B1656" s="54"/>
      <c r="C1656" s="54"/>
      <c r="D1656" s="54"/>
      <c r="E1656" s="55"/>
      <c r="F1656" s="57"/>
      <c r="G1656" s="57"/>
      <c r="H1656" s="54">
        <f t="shared" si="114"/>
        <v>0</v>
      </c>
      <c r="I1656" s="58"/>
      <c r="J1656" s="54">
        <f t="shared" si="115"/>
        <v>0</v>
      </c>
      <c r="K1656" s="57"/>
      <c r="L1656" s="54">
        <f t="shared" si="116"/>
        <v>0</v>
      </c>
    </row>
    <row r="1657" spans="1:12" x14ac:dyDescent="0.3">
      <c r="A1657" s="54"/>
      <c r="B1657" s="54"/>
      <c r="C1657" s="54"/>
      <c r="D1657" s="54"/>
      <c r="E1657" s="55"/>
      <c r="F1657" s="57"/>
      <c r="G1657" s="57"/>
      <c r="H1657" s="54">
        <f t="shared" si="114"/>
        <v>0</v>
      </c>
      <c r="I1657" s="58"/>
      <c r="J1657" s="54">
        <f t="shared" si="115"/>
        <v>0</v>
      </c>
      <c r="K1657" s="57"/>
      <c r="L1657" s="54">
        <f t="shared" si="116"/>
        <v>0</v>
      </c>
    </row>
    <row r="1658" spans="1:12" x14ac:dyDescent="0.3">
      <c r="A1658" s="54"/>
      <c r="B1658" s="54"/>
      <c r="C1658" s="54"/>
      <c r="D1658" s="54"/>
      <c r="E1658" s="55"/>
      <c r="F1658" s="57"/>
      <c r="G1658" s="57"/>
      <c r="H1658" s="54">
        <f t="shared" si="114"/>
        <v>0</v>
      </c>
      <c r="I1658" s="58"/>
      <c r="J1658" s="54">
        <f t="shared" si="115"/>
        <v>0</v>
      </c>
      <c r="K1658" s="57"/>
      <c r="L1658" s="54">
        <f t="shared" si="116"/>
        <v>0</v>
      </c>
    </row>
    <row r="1659" spans="1:12" x14ac:dyDescent="0.3">
      <c r="A1659" s="54"/>
      <c r="B1659" s="54"/>
      <c r="C1659" s="54"/>
      <c r="D1659" s="54"/>
      <c r="E1659" s="55"/>
      <c r="F1659" s="57"/>
      <c r="G1659" s="57"/>
      <c r="H1659" s="54">
        <f t="shared" si="114"/>
        <v>0</v>
      </c>
      <c r="I1659" s="58"/>
      <c r="J1659" s="54">
        <f t="shared" si="115"/>
        <v>0</v>
      </c>
      <c r="K1659" s="57"/>
      <c r="L1659" s="54">
        <f t="shared" si="116"/>
        <v>0</v>
      </c>
    </row>
    <row r="1660" spans="1:12" x14ac:dyDescent="0.3">
      <c r="A1660" s="54"/>
      <c r="B1660" s="54"/>
      <c r="C1660" s="54"/>
      <c r="D1660" s="54"/>
      <c r="E1660" s="55"/>
      <c r="F1660" s="57"/>
      <c r="G1660" s="57"/>
      <c r="H1660" s="54">
        <f t="shared" si="114"/>
        <v>0</v>
      </c>
      <c r="I1660" s="58"/>
      <c r="J1660" s="54">
        <f t="shared" si="115"/>
        <v>0</v>
      </c>
      <c r="K1660" s="57"/>
      <c r="L1660" s="54">
        <f t="shared" si="116"/>
        <v>0</v>
      </c>
    </row>
    <row r="1661" spans="1:12" x14ac:dyDescent="0.3">
      <c r="A1661" s="54"/>
      <c r="B1661" s="54"/>
      <c r="C1661" s="54"/>
      <c r="D1661" s="54"/>
      <c r="E1661" s="55"/>
      <c r="F1661" s="57"/>
      <c r="G1661" s="57"/>
      <c r="H1661" s="54">
        <f t="shared" si="114"/>
        <v>0</v>
      </c>
      <c r="I1661" s="58"/>
      <c r="J1661" s="54">
        <f t="shared" si="115"/>
        <v>0</v>
      </c>
      <c r="K1661" s="57"/>
      <c r="L1661" s="54">
        <f t="shared" si="116"/>
        <v>0</v>
      </c>
    </row>
    <row r="1662" spans="1:12" x14ac:dyDescent="0.3">
      <c r="A1662" s="54"/>
      <c r="B1662" s="54"/>
      <c r="C1662" s="54"/>
      <c r="D1662" s="54"/>
      <c r="E1662" s="55"/>
      <c r="F1662" s="57"/>
      <c r="G1662" s="57"/>
      <c r="H1662" s="54">
        <f t="shared" si="114"/>
        <v>0</v>
      </c>
      <c r="I1662" s="58"/>
      <c r="J1662" s="54">
        <f t="shared" si="115"/>
        <v>0</v>
      </c>
      <c r="K1662" s="57"/>
      <c r="L1662" s="54">
        <f t="shared" si="116"/>
        <v>0</v>
      </c>
    </row>
    <row r="1663" spans="1:12" x14ac:dyDescent="0.3">
      <c r="A1663" s="54"/>
      <c r="B1663" s="54"/>
      <c r="C1663" s="54"/>
      <c r="D1663" s="54"/>
      <c r="E1663" s="55"/>
      <c r="F1663" s="57"/>
      <c r="G1663" s="57"/>
      <c r="H1663" s="54">
        <f t="shared" si="114"/>
        <v>0</v>
      </c>
      <c r="I1663" s="58"/>
      <c r="J1663" s="54">
        <f t="shared" si="115"/>
        <v>0</v>
      </c>
      <c r="K1663" s="57"/>
      <c r="L1663" s="54">
        <f t="shared" si="116"/>
        <v>0</v>
      </c>
    </row>
    <row r="1664" spans="1:12" x14ac:dyDescent="0.3">
      <c r="A1664" s="54"/>
      <c r="B1664" s="54"/>
      <c r="C1664" s="54"/>
      <c r="D1664" s="54"/>
      <c r="E1664" s="55"/>
      <c r="F1664" s="57"/>
      <c r="G1664" s="57"/>
      <c r="H1664" s="54">
        <f t="shared" si="114"/>
        <v>0</v>
      </c>
      <c r="I1664" s="58"/>
      <c r="J1664" s="54">
        <f t="shared" si="115"/>
        <v>0</v>
      </c>
      <c r="K1664" s="57"/>
      <c r="L1664" s="54">
        <f t="shared" si="116"/>
        <v>0</v>
      </c>
    </row>
    <row r="1665" spans="1:12" x14ac:dyDescent="0.3">
      <c r="A1665" s="54"/>
      <c r="B1665" s="54"/>
      <c r="C1665" s="54"/>
      <c r="D1665" s="54"/>
      <c r="E1665" s="55"/>
      <c r="F1665" s="57"/>
      <c r="G1665" s="57"/>
      <c r="H1665" s="54">
        <f t="shared" si="114"/>
        <v>0</v>
      </c>
      <c r="I1665" s="58"/>
      <c r="J1665" s="54">
        <f t="shared" si="115"/>
        <v>0</v>
      </c>
      <c r="K1665" s="57"/>
      <c r="L1665" s="54">
        <f t="shared" si="116"/>
        <v>0</v>
      </c>
    </row>
    <row r="1666" spans="1:12" x14ac:dyDescent="0.3">
      <c r="A1666" s="54"/>
      <c r="B1666" s="54"/>
      <c r="C1666" s="54"/>
      <c r="D1666" s="54"/>
      <c r="E1666" s="55"/>
      <c r="F1666" s="57"/>
      <c r="G1666" s="57"/>
      <c r="H1666" s="54">
        <f t="shared" si="114"/>
        <v>0</v>
      </c>
      <c r="I1666" s="58"/>
      <c r="J1666" s="54">
        <f t="shared" si="115"/>
        <v>0</v>
      </c>
      <c r="K1666" s="57"/>
      <c r="L1666" s="54">
        <f t="shared" si="116"/>
        <v>0</v>
      </c>
    </row>
    <row r="1667" spans="1:12" x14ac:dyDescent="0.3">
      <c r="A1667" s="54"/>
      <c r="B1667" s="54"/>
      <c r="C1667" s="54"/>
      <c r="D1667" s="54"/>
      <c r="E1667" s="55"/>
      <c r="F1667" s="57"/>
      <c r="G1667" s="57"/>
      <c r="H1667" s="54">
        <f t="shared" si="114"/>
        <v>0</v>
      </c>
      <c r="I1667" s="58"/>
      <c r="J1667" s="54">
        <f t="shared" si="115"/>
        <v>0</v>
      </c>
      <c r="K1667" s="57"/>
      <c r="L1667" s="54">
        <f t="shared" si="116"/>
        <v>0</v>
      </c>
    </row>
    <row r="1668" spans="1:12" x14ac:dyDescent="0.3">
      <c r="A1668" s="54"/>
      <c r="B1668" s="54"/>
      <c r="C1668" s="54"/>
      <c r="D1668" s="54"/>
      <c r="E1668" s="55"/>
      <c r="F1668" s="57"/>
      <c r="G1668" s="57"/>
      <c r="H1668" s="54">
        <f t="shared" si="114"/>
        <v>0</v>
      </c>
      <c r="I1668" s="58"/>
      <c r="J1668" s="54">
        <f t="shared" si="115"/>
        <v>0</v>
      </c>
      <c r="K1668" s="57"/>
      <c r="L1668" s="54">
        <f t="shared" si="116"/>
        <v>0</v>
      </c>
    </row>
    <row r="1669" spans="1:12" x14ac:dyDescent="0.3">
      <c r="A1669" s="54"/>
      <c r="B1669" s="54"/>
      <c r="C1669" s="54"/>
      <c r="D1669" s="54"/>
      <c r="E1669" s="55"/>
      <c r="F1669" s="57"/>
      <c r="G1669" s="57"/>
      <c r="H1669" s="54">
        <f t="shared" si="114"/>
        <v>0</v>
      </c>
      <c r="I1669" s="58"/>
      <c r="J1669" s="54">
        <f t="shared" si="115"/>
        <v>0</v>
      </c>
      <c r="K1669" s="57"/>
      <c r="L1669" s="54">
        <f t="shared" si="116"/>
        <v>0</v>
      </c>
    </row>
    <row r="1670" spans="1:12" x14ac:dyDescent="0.3">
      <c r="A1670" s="54"/>
      <c r="B1670" s="54"/>
      <c r="C1670" s="54"/>
      <c r="D1670" s="54"/>
      <c r="E1670" s="55"/>
      <c r="F1670" s="57"/>
      <c r="G1670" s="57"/>
      <c r="H1670" s="54">
        <f t="shared" si="114"/>
        <v>0</v>
      </c>
      <c r="I1670" s="58"/>
      <c r="J1670" s="54">
        <f t="shared" si="115"/>
        <v>0</v>
      </c>
      <c r="K1670" s="57"/>
      <c r="L1670" s="54">
        <f t="shared" si="116"/>
        <v>0</v>
      </c>
    </row>
    <row r="1671" spans="1:12" x14ac:dyDescent="0.3">
      <c r="A1671" s="54"/>
      <c r="B1671" s="54"/>
      <c r="C1671" s="54"/>
      <c r="D1671" s="54"/>
      <c r="E1671" s="55"/>
      <c r="F1671" s="57"/>
      <c r="G1671" s="57"/>
      <c r="H1671" s="54">
        <f t="shared" si="114"/>
        <v>0</v>
      </c>
      <c r="I1671" s="58"/>
      <c r="J1671" s="54">
        <f t="shared" si="115"/>
        <v>0</v>
      </c>
      <c r="K1671" s="57"/>
      <c r="L1671" s="54">
        <f t="shared" si="116"/>
        <v>0</v>
      </c>
    </row>
    <row r="1672" spans="1:12" x14ac:dyDescent="0.3">
      <c r="A1672" s="54"/>
      <c r="B1672" s="54"/>
      <c r="C1672" s="54"/>
      <c r="D1672" s="54"/>
      <c r="E1672" s="55"/>
      <c r="F1672" s="57"/>
      <c r="G1672" s="57"/>
      <c r="H1672" s="54">
        <f t="shared" si="114"/>
        <v>0</v>
      </c>
      <c r="I1672" s="58"/>
      <c r="J1672" s="54">
        <f t="shared" si="115"/>
        <v>0</v>
      </c>
      <c r="K1672" s="57"/>
      <c r="L1672" s="54">
        <f t="shared" si="116"/>
        <v>0</v>
      </c>
    </row>
    <row r="1673" spans="1:12" x14ac:dyDescent="0.3">
      <c r="A1673" s="54"/>
      <c r="B1673" s="54"/>
      <c r="C1673" s="54"/>
      <c r="D1673" s="54"/>
      <c r="E1673" s="55"/>
      <c r="F1673" s="57"/>
      <c r="G1673" s="57"/>
      <c r="H1673" s="54">
        <f t="shared" si="114"/>
        <v>0</v>
      </c>
      <c r="I1673" s="58"/>
      <c r="J1673" s="54">
        <f t="shared" si="115"/>
        <v>0</v>
      </c>
      <c r="K1673" s="57"/>
      <c r="L1673" s="54">
        <f t="shared" si="116"/>
        <v>0</v>
      </c>
    </row>
    <row r="1674" spans="1:12" x14ac:dyDescent="0.3">
      <c r="A1674" s="54"/>
      <c r="B1674" s="54"/>
      <c r="C1674" s="54"/>
      <c r="D1674" s="54"/>
      <c r="E1674" s="55"/>
      <c r="F1674" s="57"/>
      <c r="G1674" s="57"/>
      <c r="H1674" s="54">
        <f t="shared" si="114"/>
        <v>0</v>
      </c>
      <c r="I1674" s="58"/>
      <c r="J1674" s="54">
        <f t="shared" si="115"/>
        <v>0</v>
      </c>
      <c r="K1674" s="57"/>
      <c r="L1674" s="54">
        <f t="shared" si="116"/>
        <v>0</v>
      </c>
    </row>
    <row r="1675" spans="1:12" x14ac:dyDescent="0.3">
      <c r="A1675" s="54"/>
      <c r="B1675" s="54"/>
      <c r="C1675" s="54"/>
      <c r="D1675" s="54"/>
      <c r="E1675" s="55"/>
      <c r="F1675" s="57"/>
      <c r="G1675" s="57"/>
      <c r="H1675" s="54">
        <f t="shared" si="114"/>
        <v>0</v>
      </c>
      <c r="I1675" s="58"/>
      <c r="J1675" s="54">
        <f t="shared" si="115"/>
        <v>0</v>
      </c>
      <c r="K1675" s="57"/>
      <c r="L1675" s="54">
        <f t="shared" si="116"/>
        <v>0</v>
      </c>
    </row>
    <row r="1676" spans="1:12" x14ac:dyDescent="0.3">
      <c r="A1676" s="54"/>
      <c r="B1676" s="54"/>
      <c r="C1676" s="54"/>
      <c r="D1676" s="54"/>
      <c r="E1676" s="55"/>
      <c r="F1676" s="57"/>
      <c r="G1676" s="57"/>
      <c r="H1676" s="54">
        <f t="shared" si="114"/>
        <v>0</v>
      </c>
      <c r="I1676" s="58"/>
      <c r="J1676" s="54">
        <f t="shared" si="115"/>
        <v>0</v>
      </c>
      <c r="K1676" s="57"/>
      <c r="L1676" s="54">
        <f t="shared" si="116"/>
        <v>0</v>
      </c>
    </row>
    <row r="1677" spans="1:12" x14ac:dyDescent="0.3">
      <c r="A1677" s="54"/>
      <c r="B1677" s="54"/>
      <c r="C1677" s="54"/>
      <c r="D1677" s="54"/>
      <c r="E1677" s="55"/>
      <c r="F1677" s="57"/>
      <c r="G1677" s="57"/>
      <c r="H1677" s="54">
        <f t="shared" si="114"/>
        <v>0</v>
      </c>
      <c r="I1677" s="58"/>
      <c r="J1677" s="54">
        <f t="shared" si="115"/>
        <v>0</v>
      </c>
      <c r="K1677" s="57"/>
      <c r="L1677" s="54">
        <f t="shared" si="116"/>
        <v>0</v>
      </c>
    </row>
    <row r="1678" spans="1:12" x14ac:dyDescent="0.3">
      <c r="A1678" s="54"/>
      <c r="B1678" s="54"/>
      <c r="C1678" s="54"/>
      <c r="D1678" s="54"/>
      <c r="E1678" s="55"/>
      <c r="F1678" s="57"/>
      <c r="G1678" s="57"/>
      <c r="H1678" s="54">
        <f t="shared" si="114"/>
        <v>0</v>
      </c>
      <c r="I1678" s="58"/>
      <c r="J1678" s="54">
        <f t="shared" si="115"/>
        <v>0</v>
      </c>
      <c r="K1678" s="57"/>
      <c r="L1678" s="54">
        <f t="shared" si="116"/>
        <v>0</v>
      </c>
    </row>
    <row r="1679" spans="1:12" x14ac:dyDescent="0.3">
      <c r="A1679" s="54"/>
      <c r="B1679" s="54"/>
      <c r="C1679" s="54"/>
      <c r="D1679" s="54"/>
      <c r="E1679" s="55"/>
      <c r="F1679" s="57"/>
      <c r="G1679" s="57"/>
      <c r="H1679" s="54">
        <f t="shared" si="114"/>
        <v>0</v>
      </c>
      <c r="I1679" s="58"/>
      <c r="J1679" s="54">
        <f t="shared" si="115"/>
        <v>0</v>
      </c>
      <c r="K1679" s="57"/>
      <c r="L1679" s="54">
        <f t="shared" si="116"/>
        <v>0</v>
      </c>
    </row>
    <row r="1680" spans="1:12" x14ac:dyDescent="0.3">
      <c r="A1680" s="54"/>
      <c r="B1680" s="54"/>
      <c r="C1680" s="54"/>
      <c r="D1680" s="54"/>
      <c r="E1680" s="55"/>
      <c r="F1680" s="57"/>
      <c r="G1680" s="57"/>
      <c r="H1680" s="54">
        <f t="shared" si="114"/>
        <v>0</v>
      </c>
      <c r="I1680" s="58"/>
      <c r="J1680" s="54">
        <f t="shared" si="115"/>
        <v>0</v>
      </c>
      <c r="K1680" s="57"/>
      <c r="L1680" s="54">
        <f t="shared" si="116"/>
        <v>0</v>
      </c>
    </row>
    <row r="1681" spans="1:12" x14ac:dyDescent="0.3">
      <c r="A1681" s="54"/>
      <c r="B1681" s="54"/>
      <c r="C1681" s="54"/>
      <c r="D1681" s="54"/>
      <c r="E1681" s="55"/>
      <c r="F1681" s="57"/>
      <c r="G1681" s="57"/>
      <c r="H1681" s="54">
        <f t="shared" si="114"/>
        <v>0</v>
      </c>
      <c r="I1681" s="58"/>
      <c r="J1681" s="54">
        <f t="shared" si="115"/>
        <v>0</v>
      </c>
      <c r="K1681" s="57"/>
      <c r="L1681" s="54">
        <f t="shared" si="116"/>
        <v>0</v>
      </c>
    </row>
    <row r="1682" spans="1:12" x14ac:dyDescent="0.3">
      <c r="A1682" s="54"/>
      <c r="B1682" s="54"/>
      <c r="C1682" s="54"/>
      <c r="D1682" s="54"/>
      <c r="E1682" s="55"/>
      <c r="F1682" s="57"/>
      <c r="G1682" s="57"/>
      <c r="H1682" s="54">
        <f t="shared" si="114"/>
        <v>0</v>
      </c>
      <c r="I1682" s="58"/>
      <c r="J1682" s="54">
        <f t="shared" si="115"/>
        <v>0</v>
      </c>
      <c r="K1682" s="57"/>
      <c r="L1682" s="54">
        <f t="shared" si="116"/>
        <v>0</v>
      </c>
    </row>
    <row r="1683" spans="1:12" x14ac:dyDescent="0.3">
      <c r="A1683" s="54"/>
      <c r="B1683" s="54"/>
      <c r="C1683" s="54"/>
      <c r="D1683" s="54"/>
      <c r="E1683" s="55"/>
      <c r="F1683" s="57"/>
      <c r="G1683" s="57"/>
      <c r="H1683" s="54">
        <f t="shared" si="114"/>
        <v>0</v>
      </c>
      <c r="I1683" s="58"/>
      <c r="J1683" s="54">
        <f t="shared" si="115"/>
        <v>0</v>
      </c>
      <c r="K1683" s="57"/>
      <c r="L1683" s="54">
        <f t="shared" si="116"/>
        <v>0</v>
      </c>
    </row>
    <row r="1684" spans="1:12" x14ac:dyDescent="0.3">
      <c r="A1684" s="54"/>
      <c r="B1684" s="54"/>
      <c r="C1684" s="54"/>
      <c r="D1684" s="54"/>
      <c r="E1684" s="55"/>
      <c r="F1684" s="57"/>
      <c r="G1684" s="57"/>
      <c r="H1684" s="54">
        <f t="shared" si="114"/>
        <v>0</v>
      </c>
      <c r="I1684" s="58"/>
      <c r="J1684" s="54">
        <f t="shared" si="115"/>
        <v>0</v>
      </c>
      <c r="K1684" s="57"/>
      <c r="L1684" s="54">
        <f t="shared" si="116"/>
        <v>0</v>
      </c>
    </row>
    <row r="1685" spans="1:12" x14ac:dyDescent="0.3">
      <c r="A1685" s="54"/>
      <c r="B1685" s="54"/>
      <c r="C1685" s="54"/>
      <c r="D1685" s="54"/>
      <c r="E1685" s="55"/>
      <c r="F1685" s="57"/>
      <c r="G1685" s="57"/>
      <c r="H1685" s="54">
        <f t="shared" si="114"/>
        <v>0</v>
      </c>
      <c r="I1685" s="58"/>
      <c r="J1685" s="54">
        <f t="shared" si="115"/>
        <v>0</v>
      </c>
      <c r="K1685" s="57"/>
      <c r="L1685" s="54">
        <f t="shared" si="116"/>
        <v>0</v>
      </c>
    </row>
    <row r="1686" spans="1:12" x14ac:dyDescent="0.3">
      <c r="A1686" s="54"/>
      <c r="B1686" s="54"/>
      <c r="C1686" s="54"/>
      <c r="D1686" s="54"/>
      <c r="E1686" s="55"/>
      <c r="F1686" s="57"/>
      <c r="G1686" s="57"/>
      <c r="H1686" s="54">
        <f t="shared" si="114"/>
        <v>0</v>
      </c>
      <c r="I1686" s="58"/>
      <c r="J1686" s="54">
        <f t="shared" si="115"/>
        <v>0</v>
      </c>
      <c r="K1686" s="57"/>
      <c r="L1686" s="54">
        <f t="shared" si="116"/>
        <v>0</v>
      </c>
    </row>
    <row r="1687" spans="1:12" x14ac:dyDescent="0.3">
      <c r="A1687" s="54"/>
      <c r="B1687" s="54"/>
      <c r="C1687" s="54"/>
      <c r="D1687" s="54"/>
      <c r="E1687" s="55"/>
      <c r="F1687" s="57"/>
      <c r="G1687" s="57"/>
      <c r="H1687" s="54">
        <f t="shared" si="114"/>
        <v>0</v>
      </c>
      <c r="I1687" s="58"/>
      <c r="J1687" s="54">
        <f t="shared" si="115"/>
        <v>0</v>
      </c>
      <c r="K1687" s="57"/>
      <c r="L1687" s="54">
        <f t="shared" si="116"/>
        <v>0</v>
      </c>
    </row>
    <row r="1688" spans="1:12" x14ac:dyDescent="0.3">
      <c r="A1688" s="54"/>
      <c r="B1688" s="54"/>
      <c r="C1688" s="54"/>
      <c r="D1688" s="54"/>
      <c r="E1688" s="55"/>
      <c r="F1688" s="57"/>
      <c r="G1688" s="57"/>
      <c r="H1688" s="54">
        <f t="shared" si="114"/>
        <v>0</v>
      </c>
      <c r="I1688" s="58"/>
      <c r="J1688" s="54">
        <f t="shared" si="115"/>
        <v>0</v>
      </c>
      <c r="K1688" s="57"/>
      <c r="L1688" s="54">
        <f t="shared" si="116"/>
        <v>0</v>
      </c>
    </row>
    <row r="1689" spans="1:12" x14ac:dyDescent="0.3">
      <c r="A1689" s="54"/>
      <c r="B1689" s="54"/>
      <c r="C1689" s="54"/>
      <c r="D1689" s="54"/>
      <c r="E1689" s="55"/>
      <c r="F1689" s="57"/>
      <c r="G1689" s="57"/>
      <c r="H1689" s="54">
        <f t="shared" si="114"/>
        <v>0</v>
      </c>
      <c r="I1689" s="58"/>
      <c r="J1689" s="54">
        <f t="shared" si="115"/>
        <v>0</v>
      </c>
      <c r="K1689" s="57"/>
      <c r="L1689" s="54">
        <f t="shared" si="116"/>
        <v>0</v>
      </c>
    </row>
    <row r="1690" spans="1:12" x14ac:dyDescent="0.3">
      <c r="A1690" s="54"/>
      <c r="B1690" s="54"/>
      <c r="C1690" s="54"/>
      <c r="D1690" s="54"/>
      <c r="E1690" s="55"/>
      <c r="F1690" s="57"/>
      <c r="G1690" s="57"/>
      <c r="H1690" s="54">
        <f t="shared" si="114"/>
        <v>0</v>
      </c>
      <c r="I1690" s="58"/>
      <c r="J1690" s="54">
        <f t="shared" si="115"/>
        <v>0</v>
      </c>
      <c r="K1690" s="57"/>
      <c r="L1690" s="54">
        <f t="shared" si="116"/>
        <v>0</v>
      </c>
    </row>
    <row r="1691" spans="1:12" x14ac:dyDescent="0.3">
      <c r="A1691" s="54"/>
      <c r="B1691" s="54"/>
      <c r="C1691" s="54"/>
      <c r="D1691" s="54"/>
      <c r="E1691" s="55"/>
      <c r="F1691" s="57"/>
      <c r="G1691" s="57"/>
      <c r="H1691" s="54">
        <f t="shared" ref="H1691:H1754" si="117">+F1691-G1691</f>
        <v>0</v>
      </c>
      <c r="I1691" s="58"/>
      <c r="J1691" s="54">
        <f t="shared" ref="J1691:J1754" si="118">+H1691-H1691*I1691/100</f>
        <v>0</v>
      </c>
      <c r="K1691" s="57"/>
      <c r="L1691" s="54">
        <f t="shared" ref="L1691:L1754" si="119">+J1691*K1691</f>
        <v>0</v>
      </c>
    </row>
    <row r="1692" spans="1:12" x14ac:dyDescent="0.3">
      <c r="A1692" s="54"/>
      <c r="B1692" s="54"/>
      <c r="C1692" s="54"/>
      <c r="D1692" s="54"/>
      <c r="E1692" s="55"/>
      <c r="F1692" s="57"/>
      <c r="G1692" s="57"/>
      <c r="H1692" s="54">
        <f t="shared" si="117"/>
        <v>0</v>
      </c>
      <c r="I1692" s="58"/>
      <c r="J1692" s="54">
        <f t="shared" si="118"/>
        <v>0</v>
      </c>
      <c r="K1692" s="57"/>
      <c r="L1692" s="54">
        <f t="shared" si="119"/>
        <v>0</v>
      </c>
    </row>
    <row r="1693" spans="1:12" x14ac:dyDescent="0.3">
      <c r="A1693" s="54"/>
      <c r="B1693" s="54"/>
      <c r="C1693" s="54"/>
      <c r="D1693" s="54"/>
      <c r="E1693" s="55"/>
      <c r="F1693" s="57"/>
      <c r="G1693" s="57"/>
      <c r="H1693" s="54">
        <f t="shared" si="117"/>
        <v>0</v>
      </c>
      <c r="I1693" s="58"/>
      <c r="J1693" s="54">
        <f t="shared" si="118"/>
        <v>0</v>
      </c>
      <c r="K1693" s="57"/>
      <c r="L1693" s="54">
        <f t="shared" si="119"/>
        <v>0</v>
      </c>
    </row>
    <row r="1694" spans="1:12" x14ac:dyDescent="0.3">
      <c r="A1694" s="54"/>
      <c r="B1694" s="54"/>
      <c r="C1694" s="54"/>
      <c r="D1694" s="54"/>
      <c r="E1694" s="55"/>
      <c r="F1694" s="57"/>
      <c r="G1694" s="57"/>
      <c r="H1694" s="54">
        <f t="shared" si="117"/>
        <v>0</v>
      </c>
      <c r="I1694" s="58"/>
      <c r="J1694" s="54">
        <f t="shared" si="118"/>
        <v>0</v>
      </c>
      <c r="K1694" s="57"/>
      <c r="L1694" s="54">
        <f t="shared" si="119"/>
        <v>0</v>
      </c>
    </row>
    <row r="1695" spans="1:12" x14ac:dyDescent="0.3">
      <c r="A1695" s="54"/>
      <c r="B1695" s="54"/>
      <c r="C1695" s="54"/>
      <c r="D1695" s="54"/>
      <c r="E1695" s="55"/>
      <c r="F1695" s="57"/>
      <c r="G1695" s="57"/>
      <c r="H1695" s="54">
        <f t="shared" si="117"/>
        <v>0</v>
      </c>
      <c r="I1695" s="58"/>
      <c r="J1695" s="54">
        <f t="shared" si="118"/>
        <v>0</v>
      </c>
      <c r="K1695" s="57"/>
      <c r="L1695" s="54">
        <f t="shared" si="119"/>
        <v>0</v>
      </c>
    </row>
    <row r="1696" spans="1:12" x14ac:dyDescent="0.3">
      <c r="A1696" s="54"/>
      <c r="B1696" s="54"/>
      <c r="C1696" s="54"/>
      <c r="D1696" s="54"/>
      <c r="E1696" s="55"/>
      <c r="F1696" s="57"/>
      <c r="G1696" s="57"/>
      <c r="H1696" s="54">
        <f t="shared" si="117"/>
        <v>0</v>
      </c>
      <c r="I1696" s="58"/>
      <c r="J1696" s="54">
        <f t="shared" si="118"/>
        <v>0</v>
      </c>
      <c r="K1696" s="57"/>
      <c r="L1696" s="54">
        <f t="shared" si="119"/>
        <v>0</v>
      </c>
    </row>
    <row r="1697" spans="1:12" x14ac:dyDescent="0.3">
      <c r="A1697" s="54"/>
      <c r="B1697" s="54"/>
      <c r="C1697" s="54"/>
      <c r="D1697" s="54"/>
      <c r="E1697" s="55"/>
      <c r="F1697" s="57"/>
      <c r="G1697" s="57"/>
      <c r="H1697" s="54">
        <f t="shared" si="117"/>
        <v>0</v>
      </c>
      <c r="I1697" s="58"/>
      <c r="J1697" s="54">
        <f t="shared" si="118"/>
        <v>0</v>
      </c>
      <c r="K1697" s="57"/>
      <c r="L1697" s="54">
        <f t="shared" si="119"/>
        <v>0</v>
      </c>
    </row>
    <row r="1698" spans="1:12" x14ac:dyDescent="0.3">
      <c r="A1698" s="54"/>
      <c r="B1698" s="54"/>
      <c r="C1698" s="54"/>
      <c r="D1698" s="54"/>
      <c r="E1698" s="55"/>
      <c r="F1698" s="57"/>
      <c r="G1698" s="57"/>
      <c r="H1698" s="54">
        <f t="shared" si="117"/>
        <v>0</v>
      </c>
      <c r="I1698" s="58"/>
      <c r="J1698" s="54">
        <f t="shared" si="118"/>
        <v>0</v>
      </c>
      <c r="K1698" s="57"/>
      <c r="L1698" s="54">
        <f t="shared" si="119"/>
        <v>0</v>
      </c>
    </row>
    <row r="1699" spans="1:12" x14ac:dyDescent="0.3">
      <c r="A1699" s="54"/>
      <c r="B1699" s="54"/>
      <c r="C1699" s="54"/>
      <c r="D1699" s="54"/>
      <c r="E1699" s="55"/>
      <c r="F1699" s="57"/>
      <c r="G1699" s="57"/>
      <c r="H1699" s="54">
        <f t="shared" si="117"/>
        <v>0</v>
      </c>
      <c r="I1699" s="58"/>
      <c r="J1699" s="54">
        <f t="shared" si="118"/>
        <v>0</v>
      </c>
      <c r="K1699" s="57"/>
      <c r="L1699" s="54">
        <f t="shared" si="119"/>
        <v>0</v>
      </c>
    </row>
    <row r="1700" spans="1:12" x14ac:dyDescent="0.3">
      <c r="A1700" s="54"/>
      <c r="B1700" s="54"/>
      <c r="C1700" s="54"/>
      <c r="D1700" s="54"/>
      <c r="E1700" s="55"/>
      <c r="F1700" s="57"/>
      <c r="G1700" s="57"/>
      <c r="H1700" s="54">
        <f t="shared" si="117"/>
        <v>0</v>
      </c>
      <c r="I1700" s="58"/>
      <c r="J1700" s="54">
        <f t="shared" si="118"/>
        <v>0</v>
      </c>
      <c r="K1700" s="57"/>
      <c r="L1700" s="54">
        <f t="shared" si="119"/>
        <v>0</v>
      </c>
    </row>
    <row r="1701" spans="1:12" x14ac:dyDescent="0.3">
      <c r="A1701" s="54"/>
      <c r="B1701" s="54"/>
      <c r="C1701" s="54"/>
      <c r="D1701" s="54"/>
      <c r="E1701" s="55"/>
      <c r="F1701" s="57"/>
      <c r="G1701" s="57"/>
      <c r="H1701" s="54">
        <f t="shared" si="117"/>
        <v>0</v>
      </c>
      <c r="I1701" s="58"/>
      <c r="J1701" s="54">
        <f t="shared" si="118"/>
        <v>0</v>
      </c>
      <c r="K1701" s="57"/>
      <c r="L1701" s="54">
        <f t="shared" si="119"/>
        <v>0</v>
      </c>
    </row>
    <row r="1702" spans="1:12" x14ac:dyDescent="0.3">
      <c r="A1702" s="54"/>
      <c r="B1702" s="54"/>
      <c r="C1702" s="54"/>
      <c r="D1702" s="54"/>
      <c r="E1702" s="55"/>
      <c r="F1702" s="57"/>
      <c r="G1702" s="57"/>
      <c r="H1702" s="54">
        <f t="shared" si="117"/>
        <v>0</v>
      </c>
      <c r="I1702" s="58"/>
      <c r="J1702" s="54">
        <f t="shared" si="118"/>
        <v>0</v>
      </c>
      <c r="K1702" s="57"/>
      <c r="L1702" s="54">
        <f t="shared" si="119"/>
        <v>0</v>
      </c>
    </row>
    <row r="1703" spans="1:12" x14ac:dyDescent="0.3">
      <c r="A1703" s="54"/>
      <c r="B1703" s="54"/>
      <c r="C1703" s="54"/>
      <c r="D1703" s="54"/>
      <c r="E1703" s="55"/>
      <c r="F1703" s="57"/>
      <c r="G1703" s="57"/>
      <c r="H1703" s="54">
        <f t="shared" si="117"/>
        <v>0</v>
      </c>
      <c r="I1703" s="58"/>
      <c r="J1703" s="54">
        <f t="shared" si="118"/>
        <v>0</v>
      </c>
      <c r="K1703" s="57"/>
      <c r="L1703" s="54">
        <f t="shared" si="119"/>
        <v>0</v>
      </c>
    </row>
    <row r="1704" spans="1:12" x14ac:dyDescent="0.3">
      <c r="A1704" s="54"/>
      <c r="B1704" s="54"/>
      <c r="C1704" s="54"/>
      <c r="D1704" s="54"/>
      <c r="E1704" s="55"/>
      <c r="F1704" s="57"/>
      <c r="G1704" s="57"/>
      <c r="H1704" s="54">
        <f t="shared" si="117"/>
        <v>0</v>
      </c>
      <c r="I1704" s="58"/>
      <c r="J1704" s="54">
        <f t="shared" si="118"/>
        <v>0</v>
      </c>
      <c r="K1704" s="57"/>
      <c r="L1704" s="54">
        <f t="shared" si="119"/>
        <v>0</v>
      </c>
    </row>
    <row r="1705" spans="1:12" x14ac:dyDescent="0.3">
      <c r="A1705" s="54"/>
      <c r="B1705" s="54"/>
      <c r="C1705" s="54"/>
      <c r="D1705" s="54"/>
      <c r="E1705" s="55"/>
      <c r="F1705" s="57"/>
      <c r="G1705" s="57"/>
      <c r="H1705" s="54">
        <f t="shared" si="117"/>
        <v>0</v>
      </c>
      <c r="I1705" s="58"/>
      <c r="J1705" s="54">
        <f t="shared" si="118"/>
        <v>0</v>
      </c>
      <c r="K1705" s="57"/>
      <c r="L1705" s="54">
        <f t="shared" si="119"/>
        <v>0</v>
      </c>
    </row>
    <row r="1706" spans="1:12" x14ac:dyDescent="0.3">
      <c r="A1706" s="54"/>
      <c r="B1706" s="54"/>
      <c r="C1706" s="54"/>
      <c r="D1706" s="54"/>
      <c r="E1706" s="55"/>
      <c r="F1706" s="57"/>
      <c r="G1706" s="57"/>
      <c r="H1706" s="54">
        <f t="shared" si="117"/>
        <v>0</v>
      </c>
      <c r="I1706" s="58"/>
      <c r="J1706" s="54">
        <f t="shared" si="118"/>
        <v>0</v>
      </c>
      <c r="K1706" s="57"/>
      <c r="L1706" s="54">
        <f t="shared" si="119"/>
        <v>0</v>
      </c>
    </row>
    <row r="1707" spans="1:12" x14ac:dyDescent="0.3">
      <c r="A1707" s="54"/>
      <c r="B1707" s="54"/>
      <c r="C1707" s="54"/>
      <c r="D1707" s="54"/>
      <c r="E1707" s="55"/>
      <c r="F1707" s="57"/>
      <c r="G1707" s="57"/>
      <c r="H1707" s="54">
        <f t="shared" si="117"/>
        <v>0</v>
      </c>
      <c r="I1707" s="58"/>
      <c r="J1707" s="54">
        <f t="shared" si="118"/>
        <v>0</v>
      </c>
      <c r="K1707" s="57"/>
      <c r="L1707" s="54">
        <f t="shared" si="119"/>
        <v>0</v>
      </c>
    </row>
    <row r="1708" spans="1:12" x14ac:dyDescent="0.3">
      <c r="A1708" s="54"/>
      <c r="B1708" s="54"/>
      <c r="C1708" s="54"/>
      <c r="D1708" s="54"/>
      <c r="E1708" s="55"/>
      <c r="F1708" s="57"/>
      <c r="G1708" s="57"/>
      <c r="H1708" s="54">
        <f t="shared" si="117"/>
        <v>0</v>
      </c>
      <c r="I1708" s="58"/>
      <c r="J1708" s="54">
        <f t="shared" si="118"/>
        <v>0</v>
      </c>
      <c r="K1708" s="57"/>
      <c r="L1708" s="54">
        <f t="shared" si="119"/>
        <v>0</v>
      </c>
    </row>
    <row r="1709" spans="1:12" x14ac:dyDescent="0.3">
      <c r="A1709" s="54"/>
      <c r="B1709" s="54"/>
      <c r="C1709" s="54"/>
      <c r="D1709" s="54"/>
      <c r="E1709" s="55"/>
      <c r="F1709" s="57"/>
      <c r="G1709" s="57"/>
      <c r="H1709" s="54">
        <f t="shared" si="117"/>
        <v>0</v>
      </c>
      <c r="I1709" s="58"/>
      <c r="J1709" s="54">
        <f t="shared" si="118"/>
        <v>0</v>
      </c>
      <c r="K1709" s="57"/>
      <c r="L1709" s="54">
        <f t="shared" si="119"/>
        <v>0</v>
      </c>
    </row>
    <row r="1710" spans="1:12" x14ac:dyDescent="0.3">
      <c r="A1710" s="54"/>
      <c r="B1710" s="54"/>
      <c r="C1710" s="54"/>
      <c r="D1710" s="54"/>
      <c r="E1710" s="55"/>
      <c r="F1710" s="57"/>
      <c r="G1710" s="57"/>
      <c r="H1710" s="54">
        <f t="shared" si="117"/>
        <v>0</v>
      </c>
      <c r="I1710" s="58"/>
      <c r="J1710" s="54">
        <f t="shared" si="118"/>
        <v>0</v>
      </c>
      <c r="K1710" s="57"/>
      <c r="L1710" s="54">
        <f t="shared" si="119"/>
        <v>0</v>
      </c>
    </row>
    <row r="1711" spans="1:12" x14ac:dyDescent="0.3">
      <c r="A1711" s="54"/>
      <c r="B1711" s="54"/>
      <c r="C1711" s="54"/>
      <c r="D1711" s="54"/>
      <c r="E1711" s="55"/>
      <c r="F1711" s="57"/>
      <c r="G1711" s="57"/>
      <c r="H1711" s="54">
        <f t="shared" si="117"/>
        <v>0</v>
      </c>
      <c r="I1711" s="58"/>
      <c r="J1711" s="54">
        <f t="shared" si="118"/>
        <v>0</v>
      </c>
      <c r="K1711" s="57"/>
      <c r="L1711" s="54">
        <f t="shared" si="119"/>
        <v>0</v>
      </c>
    </row>
    <row r="1712" spans="1:12" x14ac:dyDescent="0.3">
      <c r="A1712" s="54"/>
      <c r="B1712" s="54"/>
      <c r="C1712" s="54"/>
      <c r="D1712" s="54"/>
      <c r="E1712" s="55"/>
      <c r="F1712" s="57"/>
      <c r="G1712" s="57"/>
      <c r="H1712" s="54">
        <f t="shared" si="117"/>
        <v>0</v>
      </c>
      <c r="I1712" s="58"/>
      <c r="J1712" s="54">
        <f t="shared" si="118"/>
        <v>0</v>
      </c>
      <c r="K1712" s="57"/>
      <c r="L1712" s="54">
        <f t="shared" si="119"/>
        <v>0</v>
      </c>
    </row>
    <row r="1713" spans="1:12" x14ac:dyDescent="0.3">
      <c r="A1713" s="54"/>
      <c r="B1713" s="54"/>
      <c r="C1713" s="54"/>
      <c r="D1713" s="54"/>
      <c r="E1713" s="55"/>
      <c r="F1713" s="57"/>
      <c r="G1713" s="57"/>
      <c r="H1713" s="54">
        <f t="shared" si="117"/>
        <v>0</v>
      </c>
      <c r="I1713" s="58"/>
      <c r="J1713" s="54">
        <f t="shared" si="118"/>
        <v>0</v>
      </c>
      <c r="K1713" s="57"/>
      <c r="L1713" s="54">
        <f t="shared" si="119"/>
        <v>0</v>
      </c>
    </row>
    <row r="1714" spans="1:12" x14ac:dyDescent="0.3">
      <c r="A1714" s="54"/>
      <c r="B1714" s="54"/>
      <c r="C1714" s="54"/>
      <c r="D1714" s="54"/>
      <c r="E1714" s="55"/>
      <c r="F1714" s="57"/>
      <c r="G1714" s="57"/>
      <c r="H1714" s="54">
        <f t="shared" si="117"/>
        <v>0</v>
      </c>
      <c r="I1714" s="58"/>
      <c r="J1714" s="54">
        <f t="shared" si="118"/>
        <v>0</v>
      </c>
      <c r="K1714" s="57"/>
      <c r="L1714" s="54">
        <f t="shared" si="119"/>
        <v>0</v>
      </c>
    </row>
    <row r="1715" spans="1:12" x14ac:dyDescent="0.3">
      <c r="A1715" s="54"/>
      <c r="B1715" s="54"/>
      <c r="C1715" s="54"/>
      <c r="D1715" s="54"/>
      <c r="E1715" s="55"/>
      <c r="F1715" s="57"/>
      <c r="G1715" s="57"/>
      <c r="H1715" s="54">
        <f t="shared" si="117"/>
        <v>0</v>
      </c>
      <c r="I1715" s="58"/>
      <c r="J1715" s="54">
        <f t="shared" si="118"/>
        <v>0</v>
      </c>
      <c r="K1715" s="57"/>
      <c r="L1715" s="54">
        <f t="shared" si="119"/>
        <v>0</v>
      </c>
    </row>
    <row r="1716" spans="1:12" x14ac:dyDescent="0.3">
      <c r="A1716" s="54"/>
      <c r="B1716" s="54"/>
      <c r="C1716" s="54"/>
      <c r="D1716" s="54"/>
      <c r="E1716" s="55"/>
      <c r="F1716" s="57"/>
      <c r="G1716" s="57"/>
      <c r="H1716" s="54">
        <f t="shared" si="117"/>
        <v>0</v>
      </c>
      <c r="I1716" s="58"/>
      <c r="J1716" s="54">
        <f t="shared" si="118"/>
        <v>0</v>
      </c>
      <c r="K1716" s="57"/>
      <c r="L1716" s="54">
        <f t="shared" si="119"/>
        <v>0</v>
      </c>
    </row>
    <row r="1717" spans="1:12" x14ac:dyDescent="0.3">
      <c r="A1717" s="54"/>
      <c r="B1717" s="54"/>
      <c r="C1717" s="54"/>
      <c r="D1717" s="54"/>
      <c r="E1717" s="55"/>
      <c r="F1717" s="57"/>
      <c r="G1717" s="57"/>
      <c r="H1717" s="54">
        <f t="shared" si="117"/>
        <v>0</v>
      </c>
      <c r="I1717" s="58"/>
      <c r="J1717" s="54">
        <f t="shared" si="118"/>
        <v>0</v>
      </c>
      <c r="K1717" s="57"/>
      <c r="L1717" s="54">
        <f t="shared" si="119"/>
        <v>0</v>
      </c>
    </row>
    <row r="1718" spans="1:12" x14ac:dyDescent="0.3">
      <c r="A1718" s="54"/>
      <c r="B1718" s="54"/>
      <c r="C1718" s="54"/>
      <c r="D1718" s="54"/>
      <c r="E1718" s="55"/>
      <c r="F1718" s="57"/>
      <c r="G1718" s="57"/>
      <c r="H1718" s="54">
        <f t="shared" si="117"/>
        <v>0</v>
      </c>
      <c r="I1718" s="58"/>
      <c r="J1718" s="54">
        <f t="shared" si="118"/>
        <v>0</v>
      </c>
      <c r="K1718" s="57"/>
      <c r="L1718" s="54">
        <f t="shared" si="119"/>
        <v>0</v>
      </c>
    </row>
    <row r="1719" spans="1:12" x14ac:dyDescent="0.3">
      <c r="A1719" s="54"/>
      <c r="B1719" s="54"/>
      <c r="C1719" s="54"/>
      <c r="D1719" s="54"/>
      <c r="E1719" s="55"/>
      <c r="F1719" s="57"/>
      <c r="G1719" s="57"/>
      <c r="H1719" s="54">
        <f t="shared" si="117"/>
        <v>0</v>
      </c>
      <c r="I1719" s="58"/>
      <c r="J1719" s="54">
        <f t="shared" si="118"/>
        <v>0</v>
      </c>
      <c r="K1719" s="57"/>
      <c r="L1719" s="54">
        <f t="shared" si="119"/>
        <v>0</v>
      </c>
    </row>
    <row r="1720" spans="1:12" x14ac:dyDescent="0.3">
      <c r="A1720" s="54"/>
      <c r="B1720" s="54"/>
      <c r="C1720" s="54"/>
      <c r="D1720" s="54"/>
      <c r="E1720" s="55"/>
      <c r="F1720" s="57"/>
      <c r="G1720" s="57"/>
      <c r="H1720" s="54">
        <f t="shared" si="117"/>
        <v>0</v>
      </c>
      <c r="I1720" s="58"/>
      <c r="J1720" s="54">
        <f t="shared" si="118"/>
        <v>0</v>
      </c>
      <c r="K1720" s="57"/>
      <c r="L1720" s="54">
        <f t="shared" si="119"/>
        <v>0</v>
      </c>
    </row>
    <row r="1721" spans="1:12" x14ac:dyDescent="0.3">
      <c r="A1721" s="54"/>
      <c r="B1721" s="54"/>
      <c r="C1721" s="54"/>
      <c r="D1721" s="54"/>
      <c r="E1721" s="55"/>
      <c r="F1721" s="57"/>
      <c r="G1721" s="57"/>
      <c r="H1721" s="54">
        <f t="shared" si="117"/>
        <v>0</v>
      </c>
      <c r="I1721" s="58"/>
      <c r="J1721" s="54">
        <f t="shared" si="118"/>
        <v>0</v>
      </c>
      <c r="K1721" s="57"/>
      <c r="L1721" s="54">
        <f t="shared" si="119"/>
        <v>0</v>
      </c>
    </row>
    <row r="1722" spans="1:12" x14ac:dyDescent="0.3">
      <c r="A1722" s="54"/>
      <c r="B1722" s="54"/>
      <c r="C1722" s="54"/>
      <c r="D1722" s="54"/>
      <c r="E1722" s="55"/>
      <c r="F1722" s="57"/>
      <c r="G1722" s="57"/>
      <c r="H1722" s="54">
        <f t="shared" si="117"/>
        <v>0</v>
      </c>
      <c r="I1722" s="58"/>
      <c r="J1722" s="54">
        <f t="shared" si="118"/>
        <v>0</v>
      </c>
      <c r="K1722" s="57"/>
      <c r="L1722" s="54">
        <f t="shared" si="119"/>
        <v>0</v>
      </c>
    </row>
    <row r="1723" spans="1:12" x14ac:dyDescent="0.3">
      <c r="A1723" s="54"/>
      <c r="B1723" s="54"/>
      <c r="C1723" s="54"/>
      <c r="D1723" s="54"/>
      <c r="E1723" s="55"/>
      <c r="F1723" s="57"/>
      <c r="G1723" s="57"/>
      <c r="H1723" s="54">
        <f t="shared" si="117"/>
        <v>0</v>
      </c>
      <c r="I1723" s="58"/>
      <c r="J1723" s="54">
        <f t="shared" si="118"/>
        <v>0</v>
      </c>
      <c r="K1723" s="57"/>
      <c r="L1723" s="54">
        <f t="shared" si="119"/>
        <v>0</v>
      </c>
    </row>
    <row r="1724" spans="1:12" x14ac:dyDescent="0.3">
      <c r="A1724" s="54"/>
      <c r="B1724" s="54"/>
      <c r="C1724" s="54"/>
      <c r="D1724" s="54"/>
      <c r="E1724" s="55"/>
      <c r="F1724" s="57"/>
      <c r="G1724" s="57"/>
      <c r="H1724" s="54">
        <f t="shared" si="117"/>
        <v>0</v>
      </c>
      <c r="I1724" s="58"/>
      <c r="J1724" s="54">
        <f t="shared" si="118"/>
        <v>0</v>
      </c>
      <c r="K1724" s="57"/>
      <c r="L1724" s="54">
        <f t="shared" si="119"/>
        <v>0</v>
      </c>
    </row>
    <row r="1725" spans="1:12" x14ac:dyDescent="0.3">
      <c r="A1725" s="54"/>
      <c r="B1725" s="54"/>
      <c r="C1725" s="54"/>
      <c r="D1725" s="54"/>
      <c r="E1725" s="55"/>
      <c r="F1725" s="57"/>
      <c r="G1725" s="57"/>
      <c r="H1725" s="54">
        <f t="shared" si="117"/>
        <v>0</v>
      </c>
      <c r="I1725" s="58"/>
      <c r="J1725" s="54">
        <f t="shared" si="118"/>
        <v>0</v>
      </c>
      <c r="K1725" s="57"/>
      <c r="L1725" s="54">
        <f t="shared" si="119"/>
        <v>0</v>
      </c>
    </row>
    <row r="1726" spans="1:12" x14ac:dyDescent="0.3">
      <c r="A1726" s="54"/>
      <c r="B1726" s="54"/>
      <c r="C1726" s="54"/>
      <c r="D1726" s="54"/>
      <c r="E1726" s="55"/>
      <c r="F1726" s="57"/>
      <c r="G1726" s="57"/>
      <c r="H1726" s="54">
        <f t="shared" si="117"/>
        <v>0</v>
      </c>
      <c r="I1726" s="58"/>
      <c r="J1726" s="54">
        <f t="shared" si="118"/>
        <v>0</v>
      </c>
      <c r="K1726" s="57"/>
      <c r="L1726" s="54">
        <f t="shared" si="119"/>
        <v>0</v>
      </c>
    </row>
    <row r="1727" spans="1:12" x14ac:dyDescent="0.3">
      <c r="A1727" s="54"/>
      <c r="B1727" s="54"/>
      <c r="C1727" s="54"/>
      <c r="D1727" s="54"/>
      <c r="E1727" s="55"/>
      <c r="F1727" s="57"/>
      <c r="G1727" s="57"/>
      <c r="H1727" s="54">
        <f t="shared" si="117"/>
        <v>0</v>
      </c>
      <c r="I1727" s="58"/>
      <c r="J1727" s="54">
        <f t="shared" si="118"/>
        <v>0</v>
      </c>
      <c r="K1727" s="57"/>
      <c r="L1727" s="54">
        <f t="shared" si="119"/>
        <v>0</v>
      </c>
    </row>
    <row r="1728" spans="1:12" x14ac:dyDescent="0.3">
      <c r="A1728" s="54"/>
      <c r="B1728" s="54"/>
      <c r="C1728" s="54"/>
      <c r="D1728" s="54"/>
      <c r="E1728" s="55"/>
      <c r="F1728" s="57"/>
      <c r="G1728" s="57"/>
      <c r="H1728" s="54">
        <f t="shared" si="117"/>
        <v>0</v>
      </c>
      <c r="I1728" s="58"/>
      <c r="J1728" s="54">
        <f t="shared" si="118"/>
        <v>0</v>
      </c>
      <c r="K1728" s="57"/>
      <c r="L1728" s="54">
        <f t="shared" si="119"/>
        <v>0</v>
      </c>
    </row>
    <row r="1729" spans="1:12" x14ac:dyDescent="0.3">
      <c r="A1729" s="54"/>
      <c r="B1729" s="54"/>
      <c r="C1729" s="54"/>
      <c r="D1729" s="54"/>
      <c r="E1729" s="55"/>
      <c r="F1729" s="57"/>
      <c r="G1729" s="57"/>
      <c r="H1729" s="54">
        <f t="shared" si="117"/>
        <v>0</v>
      </c>
      <c r="I1729" s="58"/>
      <c r="J1729" s="54">
        <f t="shared" si="118"/>
        <v>0</v>
      </c>
      <c r="K1729" s="57"/>
      <c r="L1729" s="54">
        <f t="shared" si="119"/>
        <v>0</v>
      </c>
    </row>
    <row r="1730" spans="1:12" x14ac:dyDescent="0.3">
      <c r="A1730" s="54"/>
      <c r="B1730" s="54"/>
      <c r="C1730" s="54"/>
      <c r="D1730" s="54"/>
      <c r="E1730" s="55"/>
      <c r="F1730" s="57"/>
      <c r="G1730" s="57"/>
      <c r="H1730" s="54">
        <f t="shared" si="117"/>
        <v>0</v>
      </c>
      <c r="I1730" s="58"/>
      <c r="J1730" s="54">
        <f t="shared" si="118"/>
        <v>0</v>
      </c>
      <c r="K1730" s="57"/>
      <c r="L1730" s="54">
        <f t="shared" si="119"/>
        <v>0</v>
      </c>
    </row>
    <row r="1731" spans="1:12" x14ac:dyDescent="0.3">
      <c r="A1731" s="54"/>
      <c r="B1731" s="54"/>
      <c r="C1731" s="54"/>
      <c r="D1731" s="54"/>
      <c r="E1731" s="55"/>
      <c r="F1731" s="57"/>
      <c r="G1731" s="57"/>
      <c r="H1731" s="54">
        <f t="shared" si="117"/>
        <v>0</v>
      </c>
      <c r="I1731" s="58"/>
      <c r="J1731" s="54">
        <f t="shared" si="118"/>
        <v>0</v>
      </c>
      <c r="K1731" s="57"/>
      <c r="L1731" s="54">
        <f t="shared" si="119"/>
        <v>0</v>
      </c>
    </row>
    <row r="1732" spans="1:12" x14ac:dyDescent="0.3">
      <c r="A1732" s="54"/>
      <c r="B1732" s="54"/>
      <c r="C1732" s="54"/>
      <c r="D1732" s="54"/>
      <c r="E1732" s="55"/>
      <c r="F1732" s="57"/>
      <c r="G1732" s="57"/>
      <c r="H1732" s="54">
        <f t="shared" si="117"/>
        <v>0</v>
      </c>
      <c r="I1732" s="58"/>
      <c r="J1732" s="54">
        <f t="shared" si="118"/>
        <v>0</v>
      </c>
      <c r="K1732" s="57"/>
      <c r="L1732" s="54">
        <f t="shared" si="119"/>
        <v>0</v>
      </c>
    </row>
    <row r="1733" spans="1:12" x14ac:dyDescent="0.3">
      <c r="A1733" s="54"/>
      <c r="B1733" s="54"/>
      <c r="C1733" s="54"/>
      <c r="D1733" s="54"/>
      <c r="E1733" s="55"/>
      <c r="F1733" s="57"/>
      <c r="G1733" s="57"/>
      <c r="H1733" s="54">
        <f t="shared" si="117"/>
        <v>0</v>
      </c>
      <c r="I1733" s="58"/>
      <c r="J1733" s="54">
        <f t="shared" si="118"/>
        <v>0</v>
      </c>
      <c r="K1733" s="57"/>
      <c r="L1733" s="54">
        <f t="shared" si="119"/>
        <v>0</v>
      </c>
    </row>
    <row r="1734" spans="1:12" x14ac:dyDescent="0.3">
      <c r="A1734" s="54"/>
      <c r="B1734" s="54"/>
      <c r="C1734" s="54"/>
      <c r="D1734" s="54"/>
      <c r="E1734" s="55"/>
      <c r="F1734" s="57"/>
      <c r="G1734" s="57"/>
      <c r="H1734" s="54">
        <f t="shared" si="117"/>
        <v>0</v>
      </c>
      <c r="I1734" s="58"/>
      <c r="J1734" s="54">
        <f t="shared" si="118"/>
        <v>0</v>
      </c>
      <c r="K1734" s="57"/>
      <c r="L1734" s="54">
        <f t="shared" si="119"/>
        <v>0</v>
      </c>
    </row>
    <row r="1735" spans="1:12" x14ac:dyDescent="0.3">
      <c r="A1735" s="54"/>
      <c r="B1735" s="54"/>
      <c r="C1735" s="54"/>
      <c r="D1735" s="54"/>
      <c r="E1735" s="55"/>
      <c r="F1735" s="57"/>
      <c r="G1735" s="57"/>
      <c r="H1735" s="54">
        <f t="shared" si="117"/>
        <v>0</v>
      </c>
      <c r="I1735" s="58"/>
      <c r="J1735" s="54">
        <f t="shared" si="118"/>
        <v>0</v>
      </c>
      <c r="K1735" s="57"/>
      <c r="L1735" s="54">
        <f t="shared" si="119"/>
        <v>0</v>
      </c>
    </row>
    <row r="1736" spans="1:12" x14ac:dyDescent="0.3">
      <c r="A1736" s="54"/>
      <c r="B1736" s="54"/>
      <c r="C1736" s="54"/>
      <c r="D1736" s="54"/>
      <c r="E1736" s="55"/>
      <c r="F1736" s="57"/>
      <c r="G1736" s="57"/>
      <c r="H1736" s="54">
        <f t="shared" si="117"/>
        <v>0</v>
      </c>
      <c r="I1736" s="58"/>
      <c r="J1736" s="54">
        <f t="shared" si="118"/>
        <v>0</v>
      </c>
      <c r="K1736" s="57"/>
      <c r="L1736" s="54">
        <f t="shared" si="119"/>
        <v>0</v>
      </c>
    </row>
    <row r="1737" spans="1:12" x14ac:dyDescent="0.3">
      <c r="A1737" s="54"/>
      <c r="B1737" s="54"/>
      <c r="C1737" s="54"/>
      <c r="D1737" s="54"/>
      <c r="E1737" s="55"/>
      <c r="F1737" s="57"/>
      <c r="G1737" s="57"/>
      <c r="H1737" s="54">
        <f t="shared" si="117"/>
        <v>0</v>
      </c>
      <c r="I1737" s="58"/>
      <c r="J1737" s="54">
        <f t="shared" si="118"/>
        <v>0</v>
      </c>
      <c r="K1737" s="57"/>
      <c r="L1737" s="54">
        <f t="shared" si="119"/>
        <v>0</v>
      </c>
    </row>
    <row r="1738" spans="1:12" x14ac:dyDescent="0.3">
      <c r="A1738" s="54"/>
      <c r="B1738" s="54"/>
      <c r="C1738" s="54"/>
      <c r="D1738" s="54"/>
      <c r="E1738" s="55"/>
      <c r="F1738" s="57"/>
      <c r="G1738" s="57"/>
      <c r="H1738" s="54">
        <f t="shared" si="117"/>
        <v>0</v>
      </c>
      <c r="I1738" s="58"/>
      <c r="J1738" s="54">
        <f t="shared" si="118"/>
        <v>0</v>
      </c>
      <c r="K1738" s="57"/>
      <c r="L1738" s="54">
        <f t="shared" si="119"/>
        <v>0</v>
      </c>
    </row>
    <row r="1739" spans="1:12" x14ac:dyDescent="0.3">
      <c r="A1739" s="54"/>
      <c r="B1739" s="54"/>
      <c r="C1739" s="54"/>
      <c r="D1739" s="54"/>
      <c r="E1739" s="55"/>
      <c r="F1739" s="57"/>
      <c r="G1739" s="57"/>
      <c r="H1739" s="54">
        <f t="shared" si="117"/>
        <v>0</v>
      </c>
      <c r="I1739" s="58"/>
      <c r="J1739" s="54">
        <f t="shared" si="118"/>
        <v>0</v>
      </c>
      <c r="K1739" s="57"/>
      <c r="L1739" s="54">
        <f t="shared" si="119"/>
        <v>0</v>
      </c>
    </row>
    <row r="1740" spans="1:12" x14ac:dyDescent="0.3">
      <c r="A1740" s="54"/>
      <c r="B1740" s="54"/>
      <c r="C1740" s="54"/>
      <c r="D1740" s="54"/>
      <c r="E1740" s="55"/>
      <c r="F1740" s="57"/>
      <c r="G1740" s="57"/>
      <c r="H1740" s="54">
        <f t="shared" si="117"/>
        <v>0</v>
      </c>
      <c r="I1740" s="58"/>
      <c r="J1740" s="54">
        <f t="shared" si="118"/>
        <v>0</v>
      </c>
      <c r="K1740" s="57"/>
      <c r="L1740" s="54">
        <f t="shared" si="119"/>
        <v>0</v>
      </c>
    </row>
    <row r="1741" spans="1:12" x14ac:dyDescent="0.3">
      <c r="A1741" s="54"/>
      <c r="B1741" s="54"/>
      <c r="C1741" s="54"/>
      <c r="D1741" s="54"/>
      <c r="E1741" s="55"/>
      <c r="F1741" s="57"/>
      <c r="G1741" s="57"/>
      <c r="H1741" s="54">
        <f t="shared" si="117"/>
        <v>0</v>
      </c>
      <c r="I1741" s="58"/>
      <c r="J1741" s="54">
        <f t="shared" si="118"/>
        <v>0</v>
      </c>
      <c r="K1741" s="57"/>
      <c r="L1741" s="54">
        <f t="shared" si="119"/>
        <v>0</v>
      </c>
    </row>
    <row r="1742" spans="1:12" x14ac:dyDescent="0.3">
      <c r="A1742" s="54"/>
      <c r="B1742" s="54"/>
      <c r="C1742" s="54"/>
      <c r="D1742" s="54"/>
      <c r="E1742" s="55"/>
      <c r="F1742" s="57"/>
      <c r="G1742" s="57"/>
      <c r="H1742" s="54">
        <f t="shared" si="117"/>
        <v>0</v>
      </c>
      <c r="I1742" s="58"/>
      <c r="J1742" s="54">
        <f t="shared" si="118"/>
        <v>0</v>
      </c>
      <c r="K1742" s="57"/>
      <c r="L1742" s="54">
        <f t="shared" si="119"/>
        <v>0</v>
      </c>
    </row>
    <row r="1743" spans="1:12" x14ac:dyDescent="0.3">
      <c r="A1743" s="54"/>
      <c r="B1743" s="54"/>
      <c r="C1743" s="54"/>
      <c r="D1743" s="54"/>
      <c r="E1743" s="55"/>
      <c r="F1743" s="57"/>
      <c r="G1743" s="57"/>
      <c r="H1743" s="54">
        <f t="shared" si="117"/>
        <v>0</v>
      </c>
      <c r="I1743" s="58"/>
      <c r="J1743" s="54">
        <f t="shared" si="118"/>
        <v>0</v>
      </c>
      <c r="K1743" s="57"/>
      <c r="L1743" s="54">
        <f t="shared" si="119"/>
        <v>0</v>
      </c>
    </row>
    <row r="1744" spans="1:12" x14ac:dyDescent="0.3">
      <c r="A1744" s="54"/>
      <c r="B1744" s="54"/>
      <c r="C1744" s="54"/>
      <c r="D1744" s="54"/>
      <c r="E1744" s="55"/>
      <c r="F1744" s="57"/>
      <c r="G1744" s="57"/>
      <c r="H1744" s="54">
        <f t="shared" si="117"/>
        <v>0</v>
      </c>
      <c r="I1744" s="58"/>
      <c r="J1744" s="54">
        <f t="shared" si="118"/>
        <v>0</v>
      </c>
      <c r="K1744" s="57"/>
      <c r="L1744" s="54">
        <f t="shared" si="119"/>
        <v>0</v>
      </c>
    </row>
    <row r="1745" spans="1:12" x14ac:dyDescent="0.3">
      <c r="A1745" s="54"/>
      <c r="B1745" s="54"/>
      <c r="C1745" s="54"/>
      <c r="D1745" s="54"/>
      <c r="E1745" s="55"/>
      <c r="F1745" s="57"/>
      <c r="G1745" s="57"/>
      <c r="H1745" s="54">
        <f t="shared" si="117"/>
        <v>0</v>
      </c>
      <c r="I1745" s="58"/>
      <c r="J1745" s="54">
        <f t="shared" si="118"/>
        <v>0</v>
      </c>
      <c r="K1745" s="57"/>
      <c r="L1745" s="54">
        <f t="shared" si="119"/>
        <v>0</v>
      </c>
    </row>
    <row r="1746" spans="1:12" x14ac:dyDescent="0.3">
      <c r="A1746" s="54"/>
      <c r="B1746" s="54"/>
      <c r="C1746" s="54"/>
      <c r="D1746" s="54"/>
      <c r="E1746" s="55"/>
      <c r="F1746" s="57"/>
      <c r="G1746" s="57"/>
      <c r="H1746" s="54">
        <f t="shared" si="117"/>
        <v>0</v>
      </c>
      <c r="I1746" s="58"/>
      <c r="J1746" s="54">
        <f t="shared" si="118"/>
        <v>0</v>
      </c>
      <c r="K1746" s="57"/>
      <c r="L1746" s="54">
        <f t="shared" si="119"/>
        <v>0</v>
      </c>
    </row>
    <row r="1747" spans="1:12" x14ac:dyDescent="0.3">
      <c r="A1747" s="54"/>
      <c r="B1747" s="54"/>
      <c r="C1747" s="54"/>
      <c r="D1747" s="54"/>
      <c r="E1747" s="55"/>
      <c r="F1747" s="57"/>
      <c r="G1747" s="57"/>
      <c r="H1747" s="54">
        <f t="shared" si="117"/>
        <v>0</v>
      </c>
      <c r="I1747" s="58"/>
      <c r="J1747" s="54">
        <f t="shared" si="118"/>
        <v>0</v>
      </c>
      <c r="K1747" s="57"/>
      <c r="L1747" s="54">
        <f t="shared" si="119"/>
        <v>0</v>
      </c>
    </row>
    <row r="1748" spans="1:12" x14ac:dyDescent="0.3">
      <c r="A1748" s="54"/>
      <c r="B1748" s="54"/>
      <c r="C1748" s="54"/>
      <c r="D1748" s="54"/>
      <c r="E1748" s="55"/>
      <c r="F1748" s="57"/>
      <c r="G1748" s="57"/>
      <c r="H1748" s="54">
        <f t="shared" si="117"/>
        <v>0</v>
      </c>
      <c r="I1748" s="58"/>
      <c r="J1748" s="54">
        <f t="shared" si="118"/>
        <v>0</v>
      </c>
      <c r="K1748" s="57"/>
      <c r="L1748" s="54">
        <f t="shared" si="119"/>
        <v>0</v>
      </c>
    </row>
    <row r="1749" spans="1:12" x14ac:dyDescent="0.3">
      <c r="A1749" s="54"/>
      <c r="B1749" s="54"/>
      <c r="C1749" s="54"/>
      <c r="D1749" s="54"/>
      <c r="E1749" s="55"/>
      <c r="F1749" s="57"/>
      <c r="G1749" s="57"/>
      <c r="H1749" s="54">
        <f t="shared" si="117"/>
        <v>0</v>
      </c>
      <c r="I1749" s="58"/>
      <c r="J1749" s="54">
        <f t="shared" si="118"/>
        <v>0</v>
      </c>
      <c r="K1749" s="57"/>
      <c r="L1749" s="54">
        <f t="shared" si="119"/>
        <v>0</v>
      </c>
    </row>
    <row r="1750" spans="1:12" x14ac:dyDescent="0.3">
      <c r="A1750" s="54"/>
      <c r="B1750" s="54"/>
      <c r="C1750" s="54"/>
      <c r="D1750" s="54"/>
      <c r="E1750" s="55"/>
      <c r="F1750" s="57"/>
      <c r="G1750" s="57"/>
      <c r="H1750" s="54">
        <f t="shared" si="117"/>
        <v>0</v>
      </c>
      <c r="I1750" s="58"/>
      <c r="J1750" s="54">
        <f t="shared" si="118"/>
        <v>0</v>
      </c>
      <c r="K1750" s="57"/>
      <c r="L1750" s="54">
        <f t="shared" si="119"/>
        <v>0</v>
      </c>
    </row>
    <row r="1751" spans="1:12" x14ac:dyDescent="0.3">
      <c r="A1751" s="54"/>
      <c r="B1751" s="54"/>
      <c r="C1751" s="54"/>
      <c r="D1751" s="54"/>
      <c r="E1751" s="55"/>
      <c r="F1751" s="57"/>
      <c r="G1751" s="57"/>
      <c r="H1751" s="54">
        <f t="shared" si="117"/>
        <v>0</v>
      </c>
      <c r="I1751" s="58"/>
      <c r="J1751" s="54">
        <f t="shared" si="118"/>
        <v>0</v>
      </c>
      <c r="K1751" s="57"/>
      <c r="L1751" s="54">
        <f t="shared" si="119"/>
        <v>0</v>
      </c>
    </row>
    <row r="1752" spans="1:12" x14ac:dyDescent="0.3">
      <c r="A1752" s="54"/>
      <c r="B1752" s="54"/>
      <c r="C1752" s="54"/>
      <c r="D1752" s="54"/>
      <c r="E1752" s="55"/>
      <c r="F1752" s="57"/>
      <c r="G1752" s="57"/>
      <c r="H1752" s="54">
        <f t="shared" si="117"/>
        <v>0</v>
      </c>
      <c r="I1752" s="58"/>
      <c r="J1752" s="54">
        <f t="shared" si="118"/>
        <v>0</v>
      </c>
      <c r="K1752" s="57"/>
      <c r="L1752" s="54">
        <f t="shared" si="119"/>
        <v>0</v>
      </c>
    </row>
    <row r="1753" spans="1:12" x14ac:dyDescent="0.3">
      <c r="A1753" s="54"/>
      <c r="B1753" s="54"/>
      <c r="C1753" s="54"/>
      <c r="D1753" s="54"/>
      <c r="E1753" s="55"/>
      <c r="F1753" s="57"/>
      <c r="G1753" s="57"/>
      <c r="H1753" s="54">
        <f t="shared" si="117"/>
        <v>0</v>
      </c>
      <c r="I1753" s="58"/>
      <c r="J1753" s="54">
        <f t="shared" si="118"/>
        <v>0</v>
      </c>
      <c r="K1753" s="57"/>
      <c r="L1753" s="54">
        <f t="shared" si="119"/>
        <v>0</v>
      </c>
    </row>
    <row r="1754" spans="1:12" x14ac:dyDescent="0.3">
      <c r="A1754" s="54"/>
      <c r="B1754" s="54"/>
      <c r="C1754" s="54"/>
      <c r="D1754" s="54"/>
      <c r="E1754" s="55"/>
      <c r="F1754" s="57"/>
      <c r="G1754" s="57"/>
      <c r="H1754" s="54">
        <f t="shared" si="117"/>
        <v>0</v>
      </c>
      <c r="I1754" s="58"/>
      <c r="J1754" s="54">
        <f t="shared" si="118"/>
        <v>0</v>
      </c>
      <c r="K1754" s="57"/>
      <c r="L1754" s="54">
        <f t="shared" si="119"/>
        <v>0</v>
      </c>
    </row>
    <row r="1755" spans="1:12" x14ac:dyDescent="0.3">
      <c r="A1755" s="54"/>
      <c r="B1755" s="54"/>
      <c r="C1755" s="54"/>
      <c r="D1755" s="54"/>
      <c r="E1755" s="55"/>
      <c r="F1755" s="57"/>
      <c r="G1755" s="57"/>
      <c r="H1755" s="54">
        <f t="shared" ref="H1755:H1818" si="120">+F1755-G1755</f>
        <v>0</v>
      </c>
      <c r="I1755" s="58"/>
      <c r="J1755" s="54">
        <f t="shared" ref="J1755:J1818" si="121">+H1755-H1755*I1755/100</f>
        <v>0</v>
      </c>
      <c r="K1755" s="57"/>
      <c r="L1755" s="54">
        <f t="shared" ref="L1755:L1818" si="122">+J1755*K1755</f>
        <v>0</v>
      </c>
    </row>
    <row r="1756" spans="1:12" x14ac:dyDescent="0.3">
      <c r="A1756" s="54"/>
      <c r="B1756" s="54"/>
      <c r="C1756" s="54"/>
      <c r="D1756" s="54"/>
      <c r="E1756" s="55"/>
      <c r="F1756" s="57"/>
      <c r="G1756" s="57"/>
      <c r="H1756" s="54">
        <f t="shared" si="120"/>
        <v>0</v>
      </c>
      <c r="I1756" s="58"/>
      <c r="J1756" s="54">
        <f t="shared" si="121"/>
        <v>0</v>
      </c>
      <c r="K1756" s="57"/>
      <c r="L1756" s="54">
        <f t="shared" si="122"/>
        <v>0</v>
      </c>
    </row>
    <row r="1757" spans="1:12" x14ac:dyDescent="0.3">
      <c r="A1757" s="54"/>
      <c r="B1757" s="54"/>
      <c r="C1757" s="54"/>
      <c r="D1757" s="54"/>
      <c r="E1757" s="55"/>
      <c r="F1757" s="57"/>
      <c r="G1757" s="57"/>
      <c r="H1757" s="54">
        <f t="shared" si="120"/>
        <v>0</v>
      </c>
      <c r="I1757" s="58"/>
      <c r="J1757" s="54">
        <f t="shared" si="121"/>
        <v>0</v>
      </c>
      <c r="K1757" s="57"/>
      <c r="L1757" s="54">
        <f t="shared" si="122"/>
        <v>0</v>
      </c>
    </row>
    <row r="1758" spans="1:12" x14ac:dyDescent="0.3">
      <c r="A1758" s="54"/>
      <c r="B1758" s="54"/>
      <c r="C1758" s="54"/>
      <c r="D1758" s="54"/>
      <c r="E1758" s="55"/>
      <c r="F1758" s="57"/>
      <c r="G1758" s="57"/>
      <c r="H1758" s="54">
        <f t="shared" si="120"/>
        <v>0</v>
      </c>
      <c r="I1758" s="58"/>
      <c r="J1758" s="54">
        <f t="shared" si="121"/>
        <v>0</v>
      </c>
      <c r="K1758" s="57"/>
      <c r="L1758" s="54">
        <f t="shared" si="122"/>
        <v>0</v>
      </c>
    </row>
    <row r="1759" spans="1:12" x14ac:dyDescent="0.3">
      <c r="A1759" s="54"/>
      <c r="B1759" s="54"/>
      <c r="C1759" s="54"/>
      <c r="D1759" s="54"/>
      <c r="E1759" s="55"/>
      <c r="F1759" s="57"/>
      <c r="G1759" s="57"/>
      <c r="H1759" s="54">
        <f t="shared" si="120"/>
        <v>0</v>
      </c>
      <c r="I1759" s="58"/>
      <c r="J1759" s="54">
        <f t="shared" si="121"/>
        <v>0</v>
      </c>
      <c r="K1759" s="57"/>
      <c r="L1759" s="54">
        <f t="shared" si="122"/>
        <v>0</v>
      </c>
    </row>
    <row r="1760" spans="1:12" x14ac:dyDescent="0.3">
      <c r="A1760" s="54"/>
      <c r="B1760" s="54"/>
      <c r="C1760" s="54"/>
      <c r="D1760" s="54"/>
      <c r="E1760" s="55"/>
      <c r="F1760" s="57"/>
      <c r="G1760" s="57"/>
      <c r="H1760" s="54">
        <f t="shared" si="120"/>
        <v>0</v>
      </c>
      <c r="I1760" s="58"/>
      <c r="J1760" s="54">
        <f t="shared" si="121"/>
        <v>0</v>
      </c>
      <c r="K1760" s="57"/>
      <c r="L1760" s="54">
        <f t="shared" si="122"/>
        <v>0</v>
      </c>
    </row>
    <row r="1761" spans="1:12" x14ac:dyDescent="0.3">
      <c r="A1761" s="54"/>
      <c r="B1761" s="54"/>
      <c r="C1761" s="54"/>
      <c r="D1761" s="54"/>
      <c r="E1761" s="55"/>
      <c r="F1761" s="57"/>
      <c r="G1761" s="57"/>
      <c r="H1761" s="54">
        <f t="shared" si="120"/>
        <v>0</v>
      </c>
      <c r="I1761" s="58"/>
      <c r="J1761" s="54">
        <f t="shared" si="121"/>
        <v>0</v>
      </c>
      <c r="K1761" s="57"/>
      <c r="L1761" s="54">
        <f t="shared" si="122"/>
        <v>0</v>
      </c>
    </row>
    <row r="1762" spans="1:12" x14ac:dyDescent="0.3">
      <c r="A1762" s="54"/>
      <c r="B1762" s="54"/>
      <c r="C1762" s="54"/>
      <c r="D1762" s="54"/>
      <c r="E1762" s="55"/>
      <c r="F1762" s="57"/>
      <c r="G1762" s="57"/>
      <c r="H1762" s="54">
        <f t="shared" si="120"/>
        <v>0</v>
      </c>
      <c r="I1762" s="58"/>
      <c r="J1762" s="54">
        <f t="shared" si="121"/>
        <v>0</v>
      </c>
      <c r="K1762" s="57"/>
      <c r="L1762" s="54">
        <f t="shared" si="122"/>
        <v>0</v>
      </c>
    </row>
    <row r="1763" spans="1:12" x14ac:dyDescent="0.3">
      <c r="A1763" s="54"/>
      <c r="B1763" s="54"/>
      <c r="C1763" s="54"/>
      <c r="D1763" s="54"/>
      <c r="E1763" s="55"/>
      <c r="F1763" s="57"/>
      <c r="G1763" s="57"/>
      <c r="H1763" s="54">
        <f t="shared" si="120"/>
        <v>0</v>
      </c>
      <c r="I1763" s="58"/>
      <c r="J1763" s="54">
        <f t="shared" si="121"/>
        <v>0</v>
      </c>
      <c r="K1763" s="57"/>
      <c r="L1763" s="54">
        <f t="shared" si="122"/>
        <v>0</v>
      </c>
    </row>
    <row r="1764" spans="1:12" x14ac:dyDescent="0.3">
      <c r="A1764" s="54"/>
      <c r="B1764" s="54"/>
      <c r="C1764" s="54"/>
      <c r="D1764" s="54"/>
      <c r="E1764" s="55"/>
      <c r="F1764" s="57"/>
      <c r="G1764" s="57"/>
      <c r="H1764" s="54">
        <f t="shared" si="120"/>
        <v>0</v>
      </c>
      <c r="I1764" s="58"/>
      <c r="J1764" s="54">
        <f t="shared" si="121"/>
        <v>0</v>
      </c>
      <c r="K1764" s="57"/>
      <c r="L1764" s="54">
        <f t="shared" si="122"/>
        <v>0</v>
      </c>
    </row>
    <row r="1765" spans="1:12" x14ac:dyDescent="0.3">
      <c r="A1765" s="54"/>
      <c r="B1765" s="54"/>
      <c r="C1765" s="54"/>
      <c r="D1765" s="54"/>
      <c r="E1765" s="55"/>
      <c r="F1765" s="57"/>
      <c r="G1765" s="57"/>
      <c r="H1765" s="54">
        <f t="shared" si="120"/>
        <v>0</v>
      </c>
      <c r="I1765" s="58"/>
      <c r="J1765" s="54">
        <f t="shared" si="121"/>
        <v>0</v>
      </c>
      <c r="K1765" s="57"/>
      <c r="L1765" s="54">
        <f t="shared" si="122"/>
        <v>0</v>
      </c>
    </row>
    <row r="1766" spans="1:12" x14ac:dyDescent="0.3">
      <c r="A1766" s="54"/>
      <c r="B1766" s="54"/>
      <c r="C1766" s="54"/>
      <c r="D1766" s="54"/>
      <c r="E1766" s="55"/>
      <c r="F1766" s="57"/>
      <c r="G1766" s="57"/>
      <c r="H1766" s="54">
        <f t="shared" si="120"/>
        <v>0</v>
      </c>
      <c r="I1766" s="58"/>
      <c r="J1766" s="54">
        <f t="shared" si="121"/>
        <v>0</v>
      </c>
      <c r="K1766" s="57"/>
      <c r="L1766" s="54">
        <f t="shared" si="122"/>
        <v>0</v>
      </c>
    </row>
    <row r="1767" spans="1:12" x14ac:dyDescent="0.3">
      <c r="A1767" s="54"/>
      <c r="B1767" s="54"/>
      <c r="C1767" s="54"/>
      <c r="D1767" s="54"/>
      <c r="E1767" s="55"/>
      <c r="F1767" s="57"/>
      <c r="G1767" s="57"/>
      <c r="H1767" s="54">
        <f t="shared" si="120"/>
        <v>0</v>
      </c>
      <c r="I1767" s="58"/>
      <c r="J1767" s="54">
        <f t="shared" si="121"/>
        <v>0</v>
      </c>
      <c r="K1767" s="57"/>
      <c r="L1767" s="54">
        <f t="shared" si="122"/>
        <v>0</v>
      </c>
    </row>
    <row r="1768" spans="1:12" x14ac:dyDescent="0.3">
      <c r="A1768" s="54"/>
      <c r="B1768" s="54"/>
      <c r="C1768" s="54"/>
      <c r="D1768" s="54"/>
      <c r="E1768" s="55"/>
      <c r="F1768" s="57"/>
      <c r="G1768" s="57"/>
      <c r="H1768" s="54">
        <f t="shared" si="120"/>
        <v>0</v>
      </c>
      <c r="I1768" s="58"/>
      <c r="J1768" s="54">
        <f t="shared" si="121"/>
        <v>0</v>
      </c>
      <c r="K1768" s="57"/>
      <c r="L1768" s="54">
        <f t="shared" si="122"/>
        <v>0</v>
      </c>
    </row>
    <row r="1769" spans="1:12" x14ac:dyDescent="0.3">
      <c r="A1769" s="54"/>
      <c r="B1769" s="54"/>
      <c r="C1769" s="54"/>
      <c r="D1769" s="54"/>
      <c r="E1769" s="55"/>
      <c r="F1769" s="57"/>
      <c r="G1769" s="57"/>
      <c r="H1769" s="54">
        <f t="shared" si="120"/>
        <v>0</v>
      </c>
      <c r="I1769" s="58"/>
      <c r="J1769" s="54">
        <f t="shared" si="121"/>
        <v>0</v>
      </c>
      <c r="K1769" s="57"/>
      <c r="L1769" s="54">
        <f t="shared" si="122"/>
        <v>0</v>
      </c>
    </row>
    <row r="1770" spans="1:12" x14ac:dyDescent="0.3">
      <c r="A1770" s="54"/>
      <c r="B1770" s="54"/>
      <c r="C1770" s="54"/>
      <c r="D1770" s="54"/>
      <c r="E1770" s="55"/>
      <c r="F1770" s="57"/>
      <c r="G1770" s="57"/>
      <c r="H1770" s="54">
        <f t="shared" si="120"/>
        <v>0</v>
      </c>
      <c r="I1770" s="58"/>
      <c r="J1770" s="54">
        <f t="shared" si="121"/>
        <v>0</v>
      </c>
      <c r="K1770" s="57"/>
      <c r="L1770" s="54">
        <f t="shared" si="122"/>
        <v>0</v>
      </c>
    </row>
    <row r="1771" spans="1:12" x14ac:dyDescent="0.3">
      <c r="A1771" s="54"/>
      <c r="B1771" s="54"/>
      <c r="C1771" s="54"/>
      <c r="D1771" s="54"/>
      <c r="E1771" s="55"/>
      <c r="F1771" s="57"/>
      <c r="G1771" s="57"/>
      <c r="H1771" s="54">
        <f t="shared" si="120"/>
        <v>0</v>
      </c>
      <c r="I1771" s="58"/>
      <c r="J1771" s="54">
        <f t="shared" si="121"/>
        <v>0</v>
      </c>
      <c r="K1771" s="57"/>
      <c r="L1771" s="54">
        <f t="shared" si="122"/>
        <v>0</v>
      </c>
    </row>
    <row r="1772" spans="1:12" x14ac:dyDescent="0.3">
      <c r="A1772" s="54"/>
      <c r="B1772" s="54"/>
      <c r="C1772" s="54"/>
      <c r="D1772" s="54"/>
      <c r="E1772" s="55"/>
      <c r="F1772" s="57"/>
      <c r="G1772" s="57"/>
      <c r="H1772" s="54">
        <f t="shared" si="120"/>
        <v>0</v>
      </c>
      <c r="I1772" s="58"/>
      <c r="J1772" s="54">
        <f t="shared" si="121"/>
        <v>0</v>
      </c>
      <c r="K1772" s="57"/>
      <c r="L1772" s="54">
        <f t="shared" si="122"/>
        <v>0</v>
      </c>
    </row>
    <row r="1773" spans="1:12" x14ac:dyDescent="0.3">
      <c r="A1773" s="54"/>
      <c r="B1773" s="54"/>
      <c r="C1773" s="54"/>
      <c r="D1773" s="54"/>
      <c r="E1773" s="55"/>
      <c r="F1773" s="57"/>
      <c r="G1773" s="57"/>
      <c r="H1773" s="54">
        <f t="shared" si="120"/>
        <v>0</v>
      </c>
      <c r="I1773" s="58"/>
      <c r="J1773" s="54">
        <f t="shared" si="121"/>
        <v>0</v>
      </c>
      <c r="K1773" s="57"/>
      <c r="L1773" s="54">
        <f t="shared" si="122"/>
        <v>0</v>
      </c>
    </row>
    <row r="1774" spans="1:12" x14ac:dyDescent="0.3">
      <c r="A1774" s="54"/>
      <c r="B1774" s="54"/>
      <c r="C1774" s="54"/>
      <c r="D1774" s="54"/>
      <c r="E1774" s="55"/>
      <c r="F1774" s="57"/>
      <c r="G1774" s="57"/>
      <c r="H1774" s="54">
        <f t="shared" si="120"/>
        <v>0</v>
      </c>
      <c r="I1774" s="58"/>
      <c r="J1774" s="54">
        <f t="shared" si="121"/>
        <v>0</v>
      </c>
      <c r="K1774" s="57"/>
      <c r="L1774" s="54">
        <f t="shared" si="122"/>
        <v>0</v>
      </c>
    </row>
    <row r="1775" spans="1:12" x14ac:dyDescent="0.3">
      <c r="A1775" s="54"/>
      <c r="B1775" s="54"/>
      <c r="C1775" s="54"/>
      <c r="D1775" s="54"/>
      <c r="E1775" s="55"/>
      <c r="F1775" s="57"/>
      <c r="G1775" s="57"/>
      <c r="H1775" s="54">
        <f t="shared" si="120"/>
        <v>0</v>
      </c>
      <c r="I1775" s="58"/>
      <c r="J1775" s="54">
        <f t="shared" si="121"/>
        <v>0</v>
      </c>
      <c r="K1775" s="57"/>
      <c r="L1775" s="54">
        <f t="shared" si="122"/>
        <v>0</v>
      </c>
    </row>
    <row r="1776" spans="1:12" x14ac:dyDescent="0.3">
      <c r="A1776" s="54"/>
      <c r="B1776" s="54"/>
      <c r="C1776" s="54"/>
      <c r="D1776" s="54"/>
      <c r="E1776" s="55"/>
      <c r="F1776" s="57"/>
      <c r="G1776" s="57"/>
      <c r="H1776" s="54">
        <f t="shared" si="120"/>
        <v>0</v>
      </c>
      <c r="I1776" s="58"/>
      <c r="J1776" s="54">
        <f t="shared" si="121"/>
        <v>0</v>
      </c>
      <c r="K1776" s="57"/>
      <c r="L1776" s="54">
        <f t="shared" si="122"/>
        <v>0</v>
      </c>
    </row>
    <row r="1777" spans="1:12" x14ac:dyDescent="0.3">
      <c r="A1777" s="54"/>
      <c r="B1777" s="54"/>
      <c r="C1777" s="54"/>
      <c r="D1777" s="54"/>
      <c r="E1777" s="55"/>
      <c r="F1777" s="57"/>
      <c r="G1777" s="57"/>
      <c r="H1777" s="54">
        <f t="shared" si="120"/>
        <v>0</v>
      </c>
      <c r="I1777" s="58"/>
      <c r="J1777" s="54">
        <f t="shared" si="121"/>
        <v>0</v>
      </c>
      <c r="K1777" s="57"/>
      <c r="L1777" s="54">
        <f t="shared" si="122"/>
        <v>0</v>
      </c>
    </row>
    <row r="1778" spans="1:12" x14ac:dyDescent="0.3">
      <c r="A1778" s="54"/>
      <c r="B1778" s="54"/>
      <c r="C1778" s="54"/>
      <c r="D1778" s="54"/>
      <c r="E1778" s="55"/>
      <c r="F1778" s="57"/>
      <c r="G1778" s="57"/>
      <c r="H1778" s="54">
        <f t="shared" si="120"/>
        <v>0</v>
      </c>
      <c r="I1778" s="58"/>
      <c r="J1778" s="54">
        <f t="shared" si="121"/>
        <v>0</v>
      </c>
      <c r="K1778" s="57"/>
      <c r="L1778" s="54">
        <f t="shared" si="122"/>
        <v>0</v>
      </c>
    </row>
    <row r="1779" spans="1:12" x14ac:dyDescent="0.3">
      <c r="A1779" s="54"/>
      <c r="B1779" s="54"/>
      <c r="C1779" s="54"/>
      <c r="D1779" s="54"/>
      <c r="E1779" s="55"/>
      <c r="F1779" s="57"/>
      <c r="G1779" s="57"/>
      <c r="H1779" s="54">
        <f t="shared" si="120"/>
        <v>0</v>
      </c>
      <c r="I1779" s="58"/>
      <c r="J1779" s="54">
        <f t="shared" si="121"/>
        <v>0</v>
      </c>
      <c r="K1779" s="57"/>
      <c r="L1779" s="54">
        <f t="shared" si="122"/>
        <v>0</v>
      </c>
    </row>
    <row r="1780" spans="1:12" x14ac:dyDescent="0.3">
      <c r="A1780" s="54"/>
      <c r="B1780" s="54"/>
      <c r="C1780" s="54"/>
      <c r="D1780" s="54"/>
      <c r="E1780" s="55"/>
      <c r="F1780" s="57"/>
      <c r="G1780" s="57"/>
      <c r="H1780" s="54">
        <f t="shared" si="120"/>
        <v>0</v>
      </c>
      <c r="I1780" s="58"/>
      <c r="J1780" s="54">
        <f t="shared" si="121"/>
        <v>0</v>
      </c>
      <c r="K1780" s="57"/>
      <c r="L1780" s="54">
        <f t="shared" si="122"/>
        <v>0</v>
      </c>
    </row>
    <row r="1781" spans="1:12" x14ac:dyDescent="0.3">
      <c r="A1781" s="54"/>
      <c r="B1781" s="54"/>
      <c r="C1781" s="54"/>
      <c r="D1781" s="54"/>
      <c r="E1781" s="55"/>
      <c r="F1781" s="57"/>
      <c r="G1781" s="57"/>
      <c r="H1781" s="54">
        <f t="shared" si="120"/>
        <v>0</v>
      </c>
      <c r="I1781" s="58"/>
      <c r="J1781" s="54">
        <f t="shared" si="121"/>
        <v>0</v>
      </c>
      <c r="K1781" s="57"/>
      <c r="L1781" s="54">
        <f t="shared" si="122"/>
        <v>0</v>
      </c>
    </row>
    <row r="1782" spans="1:12" x14ac:dyDescent="0.3">
      <c r="A1782" s="54"/>
      <c r="B1782" s="54"/>
      <c r="C1782" s="54"/>
      <c r="D1782" s="54"/>
      <c r="E1782" s="55"/>
      <c r="F1782" s="57"/>
      <c r="G1782" s="57"/>
      <c r="H1782" s="54">
        <f t="shared" si="120"/>
        <v>0</v>
      </c>
      <c r="I1782" s="58"/>
      <c r="J1782" s="54">
        <f t="shared" si="121"/>
        <v>0</v>
      </c>
      <c r="K1782" s="57"/>
      <c r="L1782" s="54">
        <f t="shared" si="122"/>
        <v>0</v>
      </c>
    </row>
    <row r="1783" spans="1:12" x14ac:dyDescent="0.3">
      <c r="A1783" s="54"/>
      <c r="B1783" s="54"/>
      <c r="C1783" s="54"/>
      <c r="D1783" s="54"/>
      <c r="E1783" s="55"/>
      <c r="F1783" s="57"/>
      <c r="G1783" s="57"/>
      <c r="H1783" s="54">
        <f t="shared" si="120"/>
        <v>0</v>
      </c>
      <c r="I1783" s="58"/>
      <c r="J1783" s="54">
        <f t="shared" si="121"/>
        <v>0</v>
      </c>
      <c r="K1783" s="57"/>
      <c r="L1783" s="54">
        <f t="shared" si="122"/>
        <v>0</v>
      </c>
    </row>
    <row r="1784" spans="1:12" x14ac:dyDescent="0.3">
      <c r="A1784" s="54"/>
      <c r="B1784" s="54"/>
      <c r="C1784" s="54"/>
      <c r="D1784" s="54"/>
      <c r="E1784" s="55"/>
      <c r="F1784" s="57"/>
      <c r="G1784" s="57"/>
      <c r="H1784" s="54">
        <f t="shared" si="120"/>
        <v>0</v>
      </c>
      <c r="I1784" s="58"/>
      <c r="J1784" s="54">
        <f t="shared" si="121"/>
        <v>0</v>
      </c>
      <c r="K1784" s="57"/>
      <c r="L1784" s="54">
        <f t="shared" si="122"/>
        <v>0</v>
      </c>
    </row>
    <row r="1785" spans="1:12" x14ac:dyDescent="0.3">
      <c r="A1785" s="54"/>
      <c r="B1785" s="54"/>
      <c r="C1785" s="54"/>
      <c r="D1785" s="54"/>
      <c r="E1785" s="55"/>
      <c r="F1785" s="57"/>
      <c r="G1785" s="57"/>
      <c r="H1785" s="54">
        <f t="shared" si="120"/>
        <v>0</v>
      </c>
      <c r="I1785" s="58"/>
      <c r="J1785" s="54">
        <f t="shared" si="121"/>
        <v>0</v>
      </c>
      <c r="K1785" s="57"/>
      <c r="L1785" s="54">
        <f t="shared" si="122"/>
        <v>0</v>
      </c>
    </row>
    <row r="1786" spans="1:12" x14ac:dyDescent="0.3">
      <c r="A1786" s="54"/>
      <c r="B1786" s="54"/>
      <c r="C1786" s="54"/>
      <c r="D1786" s="54"/>
      <c r="E1786" s="55"/>
      <c r="F1786" s="57"/>
      <c r="G1786" s="57"/>
      <c r="H1786" s="54">
        <f t="shared" si="120"/>
        <v>0</v>
      </c>
      <c r="I1786" s="58"/>
      <c r="J1786" s="54">
        <f t="shared" si="121"/>
        <v>0</v>
      </c>
      <c r="K1786" s="57"/>
      <c r="L1786" s="54">
        <f t="shared" si="122"/>
        <v>0</v>
      </c>
    </row>
    <row r="1787" spans="1:12" x14ac:dyDescent="0.3">
      <c r="A1787" s="54"/>
      <c r="B1787" s="54"/>
      <c r="C1787" s="54"/>
      <c r="D1787" s="54"/>
      <c r="E1787" s="55"/>
      <c r="F1787" s="57"/>
      <c r="G1787" s="57"/>
      <c r="H1787" s="54">
        <f t="shared" si="120"/>
        <v>0</v>
      </c>
      <c r="I1787" s="58"/>
      <c r="J1787" s="54">
        <f t="shared" si="121"/>
        <v>0</v>
      </c>
      <c r="K1787" s="57"/>
      <c r="L1787" s="54">
        <f t="shared" si="122"/>
        <v>0</v>
      </c>
    </row>
    <row r="1788" spans="1:12" x14ac:dyDescent="0.3">
      <c r="A1788" s="54"/>
      <c r="B1788" s="54"/>
      <c r="C1788" s="54"/>
      <c r="D1788" s="54"/>
      <c r="E1788" s="55"/>
      <c r="F1788" s="57"/>
      <c r="G1788" s="57"/>
      <c r="H1788" s="54">
        <f t="shared" si="120"/>
        <v>0</v>
      </c>
      <c r="I1788" s="58"/>
      <c r="J1788" s="54">
        <f t="shared" si="121"/>
        <v>0</v>
      </c>
      <c r="K1788" s="57"/>
      <c r="L1788" s="54">
        <f t="shared" si="122"/>
        <v>0</v>
      </c>
    </row>
    <row r="1789" spans="1:12" x14ac:dyDescent="0.3">
      <c r="A1789" s="54"/>
      <c r="B1789" s="54"/>
      <c r="C1789" s="54"/>
      <c r="D1789" s="54"/>
      <c r="E1789" s="55"/>
      <c r="F1789" s="57"/>
      <c r="G1789" s="57"/>
      <c r="H1789" s="54">
        <f t="shared" si="120"/>
        <v>0</v>
      </c>
      <c r="I1789" s="58"/>
      <c r="J1789" s="54">
        <f t="shared" si="121"/>
        <v>0</v>
      </c>
      <c r="K1789" s="57"/>
      <c r="L1789" s="54">
        <f t="shared" si="122"/>
        <v>0</v>
      </c>
    </row>
    <row r="1790" spans="1:12" x14ac:dyDescent="0.3">
      <c r="A1790" s="54"/>
      <c r="B1790" s="54"/>
      <c r="C1790" s="54"/>
      <c r="D1790" s="54"/>
      <c r="E1790" s="55"/>
      <c r="F1790" s="57"/>
      <c r="G1790" s="57"/>
      <c r="H1790" s="54">
        <f t="shared" si="120"/>
        <v>0</v>
      </c>
      <c r="I1790" s="58"/>
      <c r="J1790" s="54">
        <f t="shared" si="121"/>
        <v>0</v>
      </c>
      <c r="K1790" s="57"/>
      <c r="L1790" s="54">
        <f t="shared" si="122"/>
        <v>0</v>
      </c>
    </row>
    <row r="1791" spans="1:12" x14ac:dyDescent="0.3">
      <c r="A1791" s="54"/>
      <c r="B1791" s="54"/>
      <c r="C1791" s="54"/>
      <c r="D1791" s="54"/>
      <c r="E1791" s="55"/>
      <c r="F1791" s="57"/>
      <c r="G1791" s="57"/>
      <c r="H1791" s="54">
        <f t="shared" si="120"/>
        <v>0</v>
      </c>
      <c r="I1791" s="58"/>
      <c r="J1791" s="54">
        <f t="shared" si="121"/>
        <v>0</v>
      </c>
      <c r="K1791" s="57"/>
      <c r="L1791" s="54">
        <f t="shared" si="122"/>
        <v>0</v>
      </c>
    </row>
    <row r="1792" spans="1:12" x14ac:dyDescent="0.3">
      <c r="A1792" s="54"/>
      <c r="B1792" s="54"/>
      <c r="C1792" s="54"/>
      <c r="D1792" s="54"/>
      <c r="E1792" s="55"/>
      <c r="F1792" s="57"/>
      <c r="G1792" s="57"/>
      <c r="H1792" s="54">
        <f t="shared" si="120"/>
        <v>0</v>
      </c>
      <c r="I1792" s="58"/>
      <c r="J1792" s="54">
        <f t="shared" si="121"/>
        <v>0</v>
      </c>
      <c r="K1792" s="57"/>
      <c r="L1792" s="54">
        <f t="shared" si="122"/>
        <v>0</v>
      </c>
    </row>
    <row r="1793" spans="1:12" x14ac:dyDescent="0.3">
      <c r="A1793" s="54"/>
      <c r="B1793" s="54"/>
      <c r="C1793" s="54"/>
      <c r="D1793" s="54"/>
      <c r="E1793" s="55"/>
      <c r="F1793" s="57"/>
      <c r="G1793" s="57"/>
      <c r="H1793" s="54">
        <f t="shared" si="120"/>
        <v>0</v>
      </c>
      <c r="I1793" s="58"/>
      <c r="J1793" s="54">
        <f t="shared" si="121"/>
        <v>0</v>
      </c>
      <c r="K1793" s="57"/>
      <c r="L1793" s="54">
        <f t="shared" si="122"/>
        <v>0</v>
      </c>
    </row>
    <row r="1794" spans="1:12" x14ac:dyDescent="0.3">
      <c r="A1794" s="54"/>
      <c r="B1794" s="54"/>
      <c r="C1794" s="54"/>
      <c r="D1794" s="54"/>
      <c r="E1794" s="55"/>
      <c r="F1794" s="57"/>
      <c r="G1794" s="57"/>
      <c r="H1794" s="54">
        <f t="shared" si="120"/>
        <v>0</v>
      </c>
      <c r="I1794" s="58"/>
      <c r="J1794" s="54">
        <f t="shared" si="121"/>
        <v>0</v>
      </c>
      <c r="K1794" s="57"/>
      <c r="L1794" s="54">
        <f t="shared" si="122"/>
        <v>0</v>
      </c>
    </row>
    <row r="1795" spans="1:12" x14ac:dyDescent="0.3">
      <c r="A1795" s="54"/>
      <c r="B1795" s="54"/>
      <c r="C1795" s="54"/>
      <c r="D1795" s="54"/>
      <c r="E1795" s="55"/>
      <c r="F1795" s="57"/>
      <c r="G1795" s="57"/>
      <c r="H1795" s="54">
        <f t="shared" si="120"/>
        <v>0</v>
      </c>
      <c r="I1795" s="58"/>
      <c r="J1795" s="54">
        <f t="shared" si="121"/>
        <v>0</v>
      </c>
      <c r="K1795" s="57"/>
      <c r="L1795" s="54">
        <f t="shared" si="122"/>
        <v>0</v>
      </c>
    </row>
    <row r="1796" spans="1:12" x14ac:dyDescent="0.3">
      <c r="A1796" s="54"/>
      <c r="B1796" s="54"/>
      <c r="C1796" s="54"/>
      <c r="D1796" s="54"/>
      <c r="E1796" s="55"/>
      <c r="F1796" s="57"/>
      <c r="G1796" s="57"/>
      <c r="H1796" s="54">
        <f t="shared" si="120"/>
        <v>0</v>
      </c>
      <c r="I1796" s="58"/>
      <c r="J1796" s="54">
        <f t="shared" si="121"/>
        <v>0</v>
      </c>
      <c r="K1796" s="57"/>
      <c r="L1796" s="54">
        <f t="shared" si="122"/>
        <v>0</v>
      </c>
    </row>
    <row r="1797" spans="1:12" x14ac:dyDescent="0.3">
      <c r="A1797" s="54"/>
      <c r="B1797" s="54"/>
      <c r="C1797" s="54"/>
      <c r="D1797" s="54"/>
      <c r="E1797" s="55"/>
      <c r="F1797" s="57"/>
      <c r="G1797" s="57"/>
      <c r="H1797" s="54">
        <f t="shared" si="120"/>
        <v>0</v>
      </c>
      <c r="I1797" s="58"/>
      <c r="J1797" s="54">
        <f t="shared" si="121"/>
        <v>0</v>
      </c>
      <c r="K1797" s="57"/>
      <c r="L1797" s="54">
        <f t="shared" si="122"/>
        <v>0</v>
      </c>
    </row>
    <row r="1798" spans="1:12" x14ac:dyDescent="0.3">
      <c r="A1798" s="54"/>
      <c r="B1798" s="54"/>
      <c r="C1798" s="54"/>
      <c r="D1798" s="54"/>
      <c r="E1798" s="55"/>
      <c r="F1798" s="57"/>
      <c r="G1798" s="57"/>
      <c r="H1798" s="54">
        <f t="shared" si="120"/>
        <v>0</v>
      </c>
      <c r="I1798" s="58"/>
      <c r="J1798" s="54">
        <f t="shared" si="121"/>
        <v>0</v>
      </c>
      <c r="K1798" s="57"/>
      <c r="L1798" s="54">
        <f t="shared" si="122"/>
        <v>0</v>
      </c>
    </row>
    <row r="1799" spans="1:12" x14ac:dyDescent="0.3">
      <c r="A1799" s="54"/>
      <c r="B1799" s="54"/>
      <c r="C1799" s="54"/>
      <c r="D1799" s="54"/>
      <c r="E1799" s="55"/>
      <c r="F1799" s="57"/>
      <c r="G1799" s="57"/>
      <c r="H1799" s="54">
        <f t="shared" si="120"/>
        <v>0</v>
      </c>
      <c r="I1799" s="58"/>
      <c r="J1799" s="54">
        <f t="shared" si="121"/>
        <v>0</v>
      </c>
      <c r="K1799" s="57"/>
      <c r="L1799" s="54">
        <f t="shared" si="122"/>
        <v>0</v>
      </c>
    </row>
    <row r="1800" spans="1:12" x14ac:dyDescent="0.3">
      <c r="A1800" s="54"/>
      <c r="B1800" s="54"/>
      <c r="C1800" s="54"/>
      <c r="D1800" s="54"/>
      <c r="E1800" s="55"/>
      <c r="F1800" s="57"/>
      <c r="G1800" s="57"/>
      <c r="H1800" s="54">
        <f t="shared" si="120"/>
        <v>0</v>
      </c>
      <c r="I1800" s="58"/>
      <c r="J1800" s="54">
        <f t="shared" si="121"/>
        <v>0</v>
      </c>
      <c r="K1800" s="57"/>
      <c r="L1800" s="54">
        <f t="shared" si="122"/>
        <v>0</v>
      </c>
    </row>
    <row r="1801" spans="1:12" x14ac:dyDescent="0.3">
      <c r="A1801" s="54"/>
      <c r="B1801" s="54"/>
      <c r="C1801" s="54"/>
      <c r="D1801" s="54"/>
      <c r="E1801" s="55"/>
      <c r="F1801" s="57"/>
      <c r="G1801" s="57"/>
      <c r="H1801" s="54">
        <f t="shared" si="120"/>
        <v>0</v>
      </c>
      <c r="I1801" s="58"/>
      <c r="J1801" s="54">
        <f t="shared" si="121"/>
        <v>0</v>
      </c>
      <c r="K1801" s="57"/>
      <c r="L1801" s="54">
        <f t="shared" si="122"/>
        <v>0</v>
      </c>
    </row>
    <row r="1802" spans="1:12" x14ac:dyDescent="0.3">
      <c r="A1802" s="54"/>
      <c r="B1802" s="54"/>
      <c r="C1802" s="54"/>
      <c r="D1802" s="54"/>
      <c r="E1802" s="55"/>
      <c r="F1802" s="57"/>
      <c r="G1802" s="57"/>
      <c r="H1802" s="54">
        <f t="shared" si="120"/>
        <v>0</v>
      </c>
      <c r="I1802" s="58"/>
      <c r="J1802" s="54">
        <f t="shared" si="121"/>
        <v>0</v>
      </c>
      <c r="K1802" s="57"/>
      <c r="L1802" s="54">
        <f t="shared" si="122"/>
        <v>0</v>
      </c>
    </row>
    <row r="1803" spans="1:12" x14ac:dyDescent="0.3">
      <c r="A1803" s="54"/>
      <c r="B1803" s="54"/>
      <c r="C1803" s="54"/>
      <c r="D1803" s="54"/>
      <c r="E1803" s="55"/>
      <c r="F1803" s="57"/>
      <c r="G1803" s="57"/>
      <c r="H1803" s="54">
        <f t="shared" si="120"/>
        <v>0</v>
      </c>
      <c r="I1803" s="58"/>
      <c r="J1803" s="54">
        <f t="shared" si="121"/>
        <v>0</v>
      </c>
      <c r="K1803" s="57"/>
      <c r="L1803" s="54">
        <f t="shared" si="122"/>
        <v>0</v>
      </c>
    </row>
    <row r="1804" spans="1:12" x14ac:dyDescent="0.3">
      <c r="A1804" s="54"/>
      <c r="B1804" s="54"/>
      <c r="C1804" s="54"/>
      <c r="D1804" s="54"/>
      <c r="E1804" s="55"/>
      <c r="F1804" s="57"/>
      <c r="G1804" s="57"/>
      <c r="H1804" s="54">
        <f t="shared" si="120"/>
        <v>0</v>
      </c>
      <c r="I1804" s="58"/>
      <c r="J1804" s="54">
        <f t="shared" si="121"/>
        <v>0</v>
      </c>
      <c r="K1804" s="57"/>
      <c r="L1804" s="54">
        <f t="shared" si="122"/>
        <v>0</v>
      </c>
    </row>
    <row r="1805" spans="1:12" x14ac:dyDescent="0.3">
      <c r="A1805" s="54"/>
      <c r="B1805" s="54"/>
      <c r="C1805" s="54"/>
      <c r="D1805" s="54"/>
      <c r="E1805" s="55"/>
      <c r="F1805" s="57"/>
      <c r="G1805" s="57"/>
      <c r="H1805" s="54">
        <f t="shared" si="120"/>
        <v>0</v>
      </c>
      <c r="I1805" s="58"/>
      <c r="J1805" s="54">
        <f t="shared" si="121"/>
        <v>0</v>
      </c>
      <c r="K1805" s="57"/>
      <c r="L1805" s="54">
        <f t="shared" si="122"/>
        <v>0</v>
      </c>
    </row>
    <row r="1806" spans="1:12" x14ac:dyDescent="0.3">
      <c r="A1806" s="54"/>
      <c r="B1806" s="54"/>
      <c r="C1806" s="54"/>
      <c r="D1806" s="54"/>
      <c r="E1806" s="55"/>
      <c r="F1806" s="57"/>
      <c r="G1806" s="57"/>
      <c r="H1806" s="54">
        <f t="shared" si="120"/>
        <v>0</v>
      </c>
      <c r="I1806" s="58"/>
      <c r="J1806" s="54">
        <f t="shared" si="121"/>
        <v>0</v>
      </c>
      <c r="K1806" s="57"/>
      <c r="L1806" s="54">
        <f t="shared" si="122"/>
        <v>0</v>
      </c>
    </row>
    <row r="1807" spans="1:12" x14ac:dyDescent="0.3">
      <c r="A1807" s="54"/>
      <c r="B1807" s="54"/>
      <c r="C1807" s="54"/>
      <c r="D1807" s="54"/>
      <c r="E1807" s="55"/>
      <c r="F1807" s="57"/>
      <c r="G1807" s="57"/>
      <c r="H1807" s="54">
        <f t="shared" si="120"/>
        <v>0</v>
      </c>
      <c r="I1807" s="58"/>
      <c r="J1807" s="54">
        <f t="shared" si="121"/>
        <v>0</v>
      </c>
      <c r="K1807" s="57"/>
      <c r="L1807" s="54">
        <f t="shared" si="122"/>
        <v>0</v>
      </c>
    </row>
    <row r="1808" spans="1:12" x14ac:dyDescent="0.3">
      <c r="A1808" s="54"/>
      <c r="B1808" s="54"/>
      <c r="C1808" s="54"/>
      <c r="D1808" s="54"/>
      <c r="E1808" s="55"/>
      <c r="F1808" s="57"/>
      <c r="G1808" s="57"/>
      <c r="H1808" s="54">
        <f t="shared" si="120"/>
        <v>0</v>
      </c>
      <c r="I1808" s="58"/>
      <c r="J1808" s="54">
        <f t="shared" si="121"/>
        <v>0</v>
      </c>
      <c r="K1808" s="57"/>
      <c r="L1808" s="54">
        <f t="shared" si="122"/>
        <v>0</v>
      </c>
    </row>
    <row r="1809" spans="1:12" x14ac:dyDescent="0.3">
      <c r="A1809" s="54"/>
      <c r="B1809" s="54"/>
      <c r="C1809" s="54"/>
      <c r="D1809" s="54"/>
      <c r="E1809" s="55"/>
      <c r="F1809" s="57"/>
      <c r="G1809" s="57"/>
      <c r="H1809" s="54">
        <f t="shared" si="120"/>
        <v>0</v>
      </c>
      <c r="I1809" s="58"/>
      <c r="J1809" s="54">
        <f t="shared" si="121"/>
        <v>0</v>
      </c>
      <c r="K1809" s="57"/>
      <c r="L1809" s="54">
        <f t="shared" si="122"/>
        <v>0</v>
      </c>
    </row>
    <row r="1810" spans="1:12" x14ac:dyDescent="0.3">
      <c r="A1810" s="54"/>
      <c r="B1810" s="54"/>
      <c r="C1810" s="54"/>
      <c r="D1810" s="54"/>
      <c r="E1810" s="55"/>
      <c r="F1810" s="57"/>
      <c r="G1810" s="57"/>
      <c r="H1810" s="54">
        <f t="shared" si="120"/>
        <v>0</v>
      </c>
      <c r="I1810" s="58"/>
      <c r="J1810" s="54">
        <f t="shared" si="121"/>
        <v>0</v>
      </c>
      <c r="K1810" s="57"/>
      <c r="L1810" s="54">
        <f t="shared" si="122"/>
        <v>0</v>
      </c>
    </row>
    <row r="1811" spans="1:12" x14ac:dyDescent="0.3">
      <c r="A1811" s="54"/>
      <c r="B1811" s="54"/>
      <c r="C1811" s="54"/>
      <c r="D1811" s="54"/>
      <c r="E1811" s="55"/>
      <c r="F1811" s="57"/>
      <c r="G1811" s="57"/>
      <c r="H1811" s="54">
        <f t="shared" si="120"/>
        <v>0</v>
      </c>
      <c r="I1811" s="58"/>
      <c r="J1811" s="54">
        <f t="shared" si="121"/>
        <v>0</v>
      </c>
      <c r="K1811" s="57"/>
      <c r="L1811" s="54">
        <f t="shared" si="122"/>
        <v>0</v>
      </c>
    </row>
    <row r="1812" spans="1:12" x14ac:dyDescent="0.3">
      <c r="A1812" s="54"/>
      <c r="B1812" s="54"/>
      <c r="C1812" s="54"/>
      <c r="D1812" s="54"/>
      <c r="E1812" s="55"/>
      <c r="F1812" s="57"/>
      <c r="G1812" s="57"/>
      <c r="H1812" s="54">
        <f t="shared" si="120"/>
        <v>0</v>
      </c>
      <c r="I1812" s="58"/>
      <c r="J1812" s="54">
        <f t="shared" si="121"/>
        <v>0</v>
      </c>
      <c r="K1812" s="57"/>
      <c r="L1812" s="54">
        <f t="shared" si="122"/>
        <v>0</v>
      </c>
    </row>
    <row r="1813" spans="1:12" x14ac:dyDescent="0.3">
      <c r="A1813" s="54"/>
      <c r="B1813" s="54"/>
      <c r="C1813" s="54"/>
      <c r="D1813" s="54"/>
      <c r="E1813" s="55"/>
      <c r="F1813" s="57"/>
      <c r="G1813" s="57"/>
      <c r="H1813" s="54">
        <f t="shared" si="120"/>
        <v>0</v>
      </c>
      <c r="I1813" s="58"/>
      <c r="J1813" s="54">
        <f t="shared" si="121"/>
        <v>0</v>
      </c>
      <c r="K1813" s="57"/>
      <c r="L1813" s="54">
        <f t="shared" si="122"/>
        <v>0</v>
      </c>
    </row>
    <row r="1814" spans="1:12" x14ac:dyDescent="0.3">
      <c r="A1814" s="54"/>
      <c r="B1814" s="54"/>
      <c r="C1814" s="54"/>
      <c r="D1814" s="54"/>
      <c r="E1814" s="55"/>
      <c r="F1814" s="57"/>
      <c r="G1814" s="57"/>
      <c r="H1814" s="54">
        <f t="shared" si="120"/>
        <v>0</v>
      </c>
      <c r="I1814" s="58"/>
      <c r="J1814" s="54">
        <f t="shared" si="121"/>
        <v>0</v>
      </c>
      <c r="K1814" s="57"/>
      <c r="L1814" s="54">
        <f t="shared" si="122"/>
        <v>0</v>
      </c>
    </row>
    <row r="1815" spans="1:12" x14ac:dyDescent="0.3">
      <c r="A1815" s="54"/>
      <c r="B1815" s="54"/>
      <c r="C1815" s="54"/>
      <c r="D1815" s="54"/>
      <c r="E1815" s="55"/>
      <c r="F1815" s="57"/>
      <c r="G1815" s="57"/>
      <c r="H1815" s="54">
        <f t="shared" si="120"/>
        <v>0</v>
      </c>
      <c r="I1815" s="58"/>
      <c r="J1815" s="54">
        <f t="shared" si="121"/>
        <v>0</v>
      </c>
      <c r="K1815" s="57"/>
      <c r="L1815" s="54">
        <f t="shared" si="122"/>
        <v>0</v>
      </c>
    </row>
    <row r="1816" spans="1:12" x14ac:dyDescent="0.3">
      <c r="A1816" s="54"/>
      <c r="B1816" s="54"/>
      <c r="C1816" s="54"/>
      <c r="D1816" s="54"/>
      <c r="E1816" s="55"/>
      <c r="F1816" s="57"/>
      <c r="G1816" s="57"/>
      <c r="H1816" s="54">
        <f t="shared" si="120"/>
        <v>0</v>
      </c>
      <c r="I1816" s="58"/>
      <c r="J1816" s="54">
        <f t="shared" si="121"/>
        <v>0</v>
      </c>
      <c r="K1816" s="57"/>
      <c r="L1816" s="54">
        <f t="shared" si="122"/>
        <v>0</v>
      </c>
    </row>
    <row r="1817" spans="1:12" x14ac:dyDescent="0.3">
      <c r="A1817" s="54"/>
      <c r="B1817" s="54"/>
      <c r="C1817" s="54"/>
      <c r="D1817" s="54"/>
      <c r="E1817" s="55"/>
      <c r="F1817" s="57"/>
      <c r="G1817" s="57"/>
      <c r="H1817" s="54">
        <f t="shared" si="120"/>
        <v>0</v>
      </c>
      <c r="I1817" s="58"/>
      <c r="J1817" s="54">
        <f t="shared" si="121"/>
        <v>0</v>
      </c>
      <c r="K1817" s="57"/>
      <c r="L1817" s="54">
        <f t="shared" si="122"/>
        <v>0</v>
      </c>
    </row>
    <row r="1818" spans="1:12" x14ac:dyDescent="0.3">
      <c r="A1818" s="54"/>
      <c r="B1818" s="54"/>
      <c r="C1818" s="54"/>
      <c r="D1818" s="54"/>
      <c r="E1818" s="55"/>
      <c r="F1818" s="57"/>
      <c r="G1818" s="57"/>
      <c r="H1818" s="54">
        <f t="shared" si="120"/>
        <v>0</v>
      </c>
      <c r="I1818" s="58"/>
      <c r="J1818" s="54">
        <f t="shared" si="121"/>
        <v>0</v>
      </c>
      <c r="K1818" s="57"/>
      <c r="L1818" s="54">
        <f t="shared" si="122"/>
        <v>0</v>
      </c>
    </row>
    <row r="1819" spans="1:12" x14ac:dyDescent="0.3">
      <c r="A1819" s="54"/>
      <c r="B1819" s="54"/>
      <c r="C1819" s="54"/>
      <c r="D1819" s="54"/>
      <c r="E1819" s="55"/>
      <c r="F1819" s="57"/>
      <c r="G1819" s="57"/>
      <c r="H1819" s="54">
        <f t="shared" ref="H1819:H1882" si="123">+F1819-G1819</f>
        <v>0</v>
      </c>
      <c r="I1819" s="58"/>
      <c r="J1819" s="54">
        <f t="shared" ref="J1819:J1882" si="124">+H1819-H1819*I1819/100</f>
        <v>0</v>
      </c>
      <c r="K1819" s="57"/>
      <c r="L1819" s="54">
        <f t="shared" ref="L1819:L1882" si="125">+J1819*K1819</f>
        <v>0</v>
      </c>
    </row>
    <row r="1820" spans="1:12" x14ac:dyDescent="0.3">
      <c r="A1820" s="54"/>
      <c r="B1820" s="54"/>
      <c r="C1820" s="54"/>
      <c r="D1820" s="54"/>
      <c r="E1820" s="55"/>
      <c r="F1820" s="57"/>
      <c r="G1820" s="57"/>
      <c r="H1820" s="54">
        <f t="shared" si="123"/>
        <v>0</v>
      </c>
      <c r="I1820" s="58"/>
      <c r="J1820" s="54">
        <f t="shared" si="124"/>
        <v>0</v>
      </c>
      <c r="K1820" s="57"/>
      <c r="L1820" s="54">
        <f t="shared" si="125"/>
        <v>0</v>
      </c>
    </row>
    <row r="1821" spans="1:12" x14ac:dyDescent="0.3">
      <c r="A1821" s="54"/>
      <c r="B1821" s="54"/>
      <c r="C1821" s="54"/>
      <c r="D1821" s="54"/>
      <c r="E1821" s="55"/>
      <c r="F1821" s="57"/>
      <c r="G1821" s="57"/>
      <c r="H1821" s="54">
        <f t="shared" si="123"/>
        <v>0</v>
      </c>
      <c r="I1821" s="58"/>
      <c r="J1821" s="54">
        <f t="shared" si="124"/>
        <v>0</v>
      </c>
      <c r="K1821" s="57"/>
      <c r="L1821" s="54">
        <f t="shared" si="125"/>
        <v>0</v>
      </c>
    </row>
    <row r="1822" spans="1:12" x14ac:dyDescent="0.3">
      <c r="A1822" s="54"/>
      <c r="B1822" s="54"/>
      <c r="C1822" s="54"/>
      <c r="D1822" s="54"/>
      <c r="E1822" s="55"/>
      <c r="F1822" s="57"/>
      <c r="G1822" s="57"/>
      <c r="H1822" s="54">
        <f t="shared" si="123"/>
        <v>0</v>
      </c>
      <c r="I1822" s="58"/>
      <c r="J1822" s="54">
        <f t="shared" si="124"/>
        <v>0</v>
      </c>
      <c r="K1822" s="57"/>
      <c r="L1822" s="54">
        <f t="shared" si="125"/>
        <v>0</v>
      </c>
    </row>
    <row r="1823" spans="1:12" x14ac:dyDescent="0.3">
      <c r="A1823" s="54"/>
      <c r="B1823" s="54"/>
      <c r="C1823" s="54"/>
      <c r="D1823" s="54"/>
      <c r="E1823" s="55"/>
      <c r="F1823" s="57"/>
      <c r="G1823" s="57"/>
      <c r="H1823" s="54">
        <f t="shared" si="123"/>
        <v>0</v>
      </c>
      <c r="I1823" s="58"/>
      <c r="J1823" s="54">
        <f t="shared" si="124"/>
        <v>0</v>
      </c>
      <c r="K1823" s="57"/>
      <c r="L1823" s="54">
        <f t="shared" si="125"/>
        <v>0</v>
      </c>
    </row>
    <row r="1824" spans="1:12" x14ac:dyDescent="0.3">
      <c r="A1824" s="54"/>
      <c r="B1824" s="54"/>
      <c r="C1824" s="54"/>
      <c r="D1824" s="54"/>
      <c r="E1824" s="55"/>
      <c r="F1824" s="57"/>
      <c r="G1824" s="57"/>
      <c r="H1824" s="54">
        <f t="shared" si="123"/>
        <v>0</v>
      </c>
      <c r="I1824" s="58"/>
      <c r="J1824" s="54">
        <f t="shared" si="124"/>
        <v>0</v>
      </c>
      <c r="K1824" s="57"/>
      <c r="L1824" s="54">
        <f t="shared" si="125"/>
        <v>0</v>
      </c>
    </row>
    <row r="1825" spans="1:12" x14ac:dyDescent="0.3">
      <c r="A1825" s="54"/>
      <c r="B1825" s="54"/>
      <c r="C1825" s="54"/>
      <c r="D1825" s="54"/>
      <c r="E1825" s="55"/>
      <c r="F1825" s="57"/>
      <c r="G1825" s="57"/>
      <c r="H1825" s="54">
        <f t="shared" si="123"/>
        <v>0</v>
      </c>
      <c r="I1825" s="58"/>
      <c r="J1825" s="54">
        <f t="shared" si="124"/>
        <v>0</v>
      </c>
      <c r="K1825" s="57"/>
      <c r="L1825" s="54">
        <f t="shared" si="125"/>
        <v>0</v>
      </c>
    </row>
    <row r="1826" spans="1:12" x14ac:dyDescent="0.3">
      <c r="A1826" s="54"/>
      <c r="B1826" s="54"/>
      <c r="C1826" s="54"/>
      <c r="D1826" s="54"/>
      <c r="E1826" s="55"/>
      <c r="F1826" s="57"/>
      <c r="G1826" s="57"/>
      <c r="H1826" s="54">
        <f t="shared" si="123"/>
        <v>0</v>
      </c>
      <c r="I1826" s="58"/>
      <c r="J1826" s="54">
        <f t="shared" si="124"/>
        <v>0</v>
      </c>
      <c r="K1826" s="57"/>
      <c r="L1826" s="54">
        <f t="shared" si="125"/>
        <v>0</v>
      </c>
    </row>
    <row r="1827" spans="1:12" x14ac:dyDescent="0.3">
      <c r="A1827" s="54"/>
      <c r="B1827" s="54"/>
      <c r="C1827" s="54"/>
      <c r="D1827" s="54"/>
      <c r="E1827" s="55"/>
      <c r="F1827" s="57"/>
      <c r="G1827" s="57"/>
      <c r="H1827" s="54">
        <f t="shared" si="123"/>
        <v>0</v>
      </c>
      <c r="I1827" s="58"/>
      <c r="J1827" s="54">
        <f t="shared" si="124"/>
        <v>0</v>
      </c>
      <c r="K1827" s="57"/>
      <c r="L1827" s="54">
        <f t="shared" si="125"/>
        <v>0</v>
      </c>
    </row>
    <row r="1828" spans="1:12" x14ac:dyDescent="0.3">
      <c r="A1828" s="54"/>
      <c r="B1828" s="54"/>
      <c r="C1828" s="54"/>
      <c r="D1828" s="54"/>
      <c r="E1828" s="55"/>
      <c r="F1828" s="57"/>
      <c r="G1828" s="57"/>
      <c r="H1828" s="54">
        <f t="shared" si="123"/>
        <v>0</v>
      </c>
      <c r="I1828" s="58"/>
      <c r="J1828" s="54">
        <f t="shared" si="124"/>
        <v>0</v>
      </c>
      <c r="K1828" s="57"/>
      <c r="L1828" s="54">
        <f t="shared" si="125"/>
        <v>0</v>
      </c>
    </row>
    <row r="1829" spans="1:12" x14ac:dyDescent="0.3">
      <c r="A1829" s="54"/>
      <c r="B1829" s="54"/>
      <c r="C1829" s="54"/>
      <c r="D1829" s="54"/>
      <c r="E1829" s="55"/>
      <c r="F1829" s="57"/>
      <c r="G1829" s="57"/>
      <c r="H1829" s="54">
        <f t="shared" si="123"/>
        <v>0</v>
      </c>
      <c r="I1829" s="58"/>
      <c r="J1829" s="54">
        <f t="shared" si="124"/>
        <v>0</v>
      </c>
      <c r="K1829" s="57"/>
      <c r="L1829" s="54">
        <f t="shared" si="125"/>
        <v>0</v>
      </c>
    </row>
    <row r="1830" spans="1:12" x14ac:dyDescent="0.3">
      <c r="A1830" s="54"/>
      <c r="B1830" s="54"/>
      <c r="C1830" s="54"/>
      <c r="D1830" s="54"/>
      <c r="E1830" s="55"/>
      <c r="F1830" s="57"/>
      <c r="G1830" s="57"/>
      <c r="H1830" s="54">
        <f t="shared" si="123"/>
        <v>0</v>
      </c>
      <c r="I1830" s="58"/>
      <c r="J1830" s="54">
        <f t="shared" si="124"/>
        <v>0</v>
      </c>
      <c r="K1830" s="57"/>
      <c r="L1830" s="54">
        <f t="shared" si="125"/>
        <v>0</v>
      </c>
    </row>
    <row r="1831" spans="1:12" x14ac:dyDescent="0.3">
      <c r="A1831" s="54"/>
      <c r="B1831" s="54"/>
      <c r="C1831" s="54"/>
      <c r="D1831" s="54"/>
      <c r="E1831" s="55"/>
      <c r="F1831" s="57"/>
      <c r="G1831" s="57"/>
      <c r="H1831" s="54">
        <f t="shared" si="123"/>
        <v>0</v>
      </c>
      <c r="I1831" s="58"/>
      <c r="J1831" s="54">
        <f t="shared" si="124"/>
        <v>0</v>
      </c>
      <c r="K1831" s="57"/>
      <c r="L1831" s="54">
        <f t="shared" si="125"/>
        <v>0</v>
      </c>
    </row>
    <row r="1832" spans="1:12" x14ac:dyDescent="0.3">
      <c r="A1832" s="54"/>
      <c r="B1832" s="54"/>
      <c r="C1832" s="54"/>
      <c r="D1832" s="54"/>
      <c r="E1832" s="55"/>
      <c r="F1832" s="57"/>
      <c r="G1832" s="57"/>
      <c r="H1832" s="54">
        <f t="shared" si="123"/>
        <v>0</v>
      </c>
      <c r="I1832" s="58"/>
      <c r="J1832" s="54">
        <f t="shared" si="124"/>
        <v>0</v>
      </c>
      <c r="K1832" s="57"/>
      <c r="L1832" s="54">
        <f t="shared" si="125"/>
        <v>0</v>
      </c>
    </row>
    <row r="1833" spans="1:12" x14ac:dyDescent="0.3">
      <c r="A1833" s="54"/>
      <c r="B1833" s="54"/>
      <c r="C1833" s="54"/>
      <c r="D1833" s="54"/>
      <c r="E1833" s="55"/>
      <c r="F1833" s="57"/>
      <c r="G1833" s="57"/>
      <c r="H1833" s="54">
        <f t="shared" si="123"/>
        <v>0</v>
      </c>
      <c r="I1833" s="58"/>
      <c r="J1833" s="54">
        <f t="shared" si="124"/>
        <v>0</v>
      </c>
      <c r="K1833" s="57"/>
      <c r="L1833" s="54">
        <f t="shared" si="125"/>
        <v>0</v>
      </c>
    </row>
    <row r="1834" spans="1:12" x14ac:dyDescent="0.3">
      <c r="A1834" s="54"/>
      <c r="B1834" s="54"/>
      <c r="C1834" s="54"/>
      <c r="D1834" s="54"/>
      <c r="E1834" s="55"/>
      <c r="F1834" s="57"/>
      <c r="G1834" s="57"/>
      <c r="H1834" s="54">
        <f t="shared" si="123"/>
        <v>0</v>
      </c>
      <c r="I1834" s="58"/>
      <c r="J1834" s="54">
        <f t="shared" si="124"/>
        <v>0</v>
      </c>
      <c r="K1834" s="57"/>
      <c r="L1834" s="54">
        <f t="shared" si="125"/>
        <v>0</v>
      </c>
    </row>
    <row r="1835" spans="1:12" x14ac:dyDescent="0.3">
      <c r="A1835" s="54"/>
      <c r="B1835" s="54"/>
      <c r="C1835" s="54"/>
      <c r="D1835" s="54"/>
      <c r="E1835" s="55"/>
      <c r="F1835" s="57"/>
      <c r="G1835" s="57"/>
      <c r="H1835" s="54">
        <f t="shared" si="123"/>
        <v>0</v>
      </c>
      <c r="I1835" s="58"/>
      <c r="J1835" s="54">
        <f t="shared" si="124"/>
        <v>0</v>
      </c>
      <c r="K1835" s="57"/>
      <c r="L1835" s="54">
        <f t="shared" si="125"/>
        <v>0</v>
      </c>
    </row>
    <row r="1836" spans="1:12" x14ac:dyDescent="0.3">
      <c r="A1836" s="54"/>
      <c r="B1836" s="54"/>
      <c r="C1836" s="54"/>
      <c r="D1836" s="54"/>
      <c r="E1836" s="55"/>
      <c r="F1836" s="57"/>
      <c r="G1836" s="57"/>
      <c r="H1836" s="54">
        <f t="shared" si="123"/>
        <v>0</v>
      </c>
      <c r="I1836" s="58"/>
      <c r="J1836" s="54">
        <f t="shared" si="124"/>
        <v>0</v>
      </c>
      <c r="K1836" s="57"/>
      <c r="L1836" s="54">
        <f t="shared" si="125"/>
        <v>0</v>
      </c>
    </row>
    <row r="1837" spans="1:12" x14ac:dyDescent="0.3">
      <c r="A1837" s="54"/>
      <c r="B1837" s="54"/>
      <c r="C1837" s="54"/>
      <c r="D1837" s="54"/>
      <c r="E1837" s="55"/>
      <c r="F1837" s="57"/>
      <c r="G1837" s="57"/>
      <c r="H1837" s="54">
        <f t="shared" si="123"/>
        <v>0</v>
      </c>
      <c r="I1837" s="58"/>
      <c r="J1837" s="54">
        <f t="shared" si="124"/>
        <v>0</v>
      </c>
      <c r="K1837" s="57"/>
      <c r="L1837" s="54">
        <f t="shared" si="125"/>
        <v>0</v>
      </c>
    </row>
    <row r="1838" spans="1:12" x14ac:dyDescent="0.3">
      <c r="A1838" s="54"/>
      <c r="B1838" s="54"/>
      <c r="C1838" s="54"/>
      <c r="D1838" s="54"/>
      <c r="E1838" s="55"/>
      <c r="F1838" s="57"/>
      <c r="G1838" s="57"/>
      <c r="H1838" s="54">
        <f t="shared" si="123"/>
        <v>0</v>
      </c>
      <c r="I1838" s="58"/>
      <c r="J1838" s="54">
        <f t="shared" si="124"/>
        <v>0</v>
      </c>
      <c r="K1838" s="57"/>
      <c r="L1838" s="54">
        <f t="shared" si="125"/>
        <v>0</v>
      </c>
    </row>
    <row r="1839" spans="1:12" x14ac:dyDescent="0.3">
      <c r="A1839" s="54"/>
      <c r="B1839" s="54"/>
      <c r="C1839" s="54"/>
      <c r="D1839" s="54"/>
      <c r="E1839" s="55"/>
      <c r="F1839" s="57"/>
      <c r="G1839" s="57"/>
      <c r="H1839" s="54">
        <f t="shared" si="123"/>
        <v>0</v>
      </c>
      <c r="I1839" s="58"/>
      <c r="J1839" s="54">
        <f t="shared" si="124"/>
        <v>0</v>
      </c>
      <c r="K1839" s="57"/>
      <c r="L1839" s="54">
        <f t="shared" si="125"/>
        <v>0</v>
      </c>
    </row>
    <row r="1840" spans="1:12" x14ac:dyDescent="0.3">
      <c r="A1840" s="54"/>
      <c r="B1840" s="54"/>
      <c r="C1840" s="54"/>
      <c r="D1840" s="54"/>
      <c r="E1840" s="55"/>
      <c r="F1840" s="57"/>
      <c r="G1840" s="57"/>
      <c r="H1840" s="54">
        <f t="shared" si="123"/>
        <v>0</v>
      </c>
      <c r="I1840" s="58"/>
      <c r="J1840" s="54">
        <f t="shared" si="124"/>
        <v>0</v>
      </c>
      <c r="K1840" s="57"/>
      <c r="L1840" s="54">
        <f t="shared" si="125"/>
        <v>0</v>
      </c>
    </row>
    <row r="1841" spans="1:12" x14ac:dyDescent="0.3">
      <c r="A1841" s="54"/>
      <c r="B1841" s="54"/>
      <c r="C1841" s="54"/>
      <c r="D1841" s="54"/>
      <c r="E1841" s="55"/>
      <c r="F1841" s="57"/>
      <c r="G1841" s="57"/>
      <c r="H1841" s="54">
        <f t="shared" si="123"/>
        <v>0</v>
      </c>
      <c r="I1841" s="58"/>
      <c r="J1841" s="54">
        <f t="shared" si="124"/>
        <v>0</v>
      </c>
      <c r="K1841" s="57"/>
      <c r="L1841" s="54">
        <f t="shared" si="125"/>
        <v>0</v>
      </c>
    </row>
    <row r="1842" spans="1:12" x14ac:dyDescent="0.3">
      <c r="A1842" s="54"/>
      <c r="B1842" s="54"/>
      <c r="C1842" s="54"/>
      <c r="D1842" s="54"/>
      <c r="E1842" s="55"/>
      <c r="F1842" s="57"/>
      <c r="G1842" s="57"/>
      <c r="H1842" s="54">
        <f t="shared" si="123"/>
        <v>0</v>
      </c>
      <c r="I1842" s="58"/>
      <c r="J1842" s="54">
        <f t="shared" si="124"/>
        <v>0</v>
      </c>
      <c r="K1842" s="57"/>
      <c r="L1842" s="54">
        <f t="shared" si="125"/>
        <v>0</v>
      </c>
    </row>
    <row r="1843" spans="1:12" x14ac:dyDescent="0.3">
      <c r="A1843" s="54"/>
      <c r="B1843" s="54"/>
      <c r="C1843" s="54"/>
      <c r="D1843" s="54"/>
      <c r="E1843" s="55"/>
      <c r="F1843" s="57"/>
      <c r="G1843" s="57"/>
      <c r="H1843" s="54">
        <f t="shared" si="123"/>
        <v>0</v>
      </c>
      <c r="I1843" s="58"/>
      <c r="J1843" s="54">
        <f t="shared" si="124"/>
        <v>0</v>
      </c>
      <c r="K1843" s="57"/>
      <c r="L1843" s="54">
        <f t="shared" si="125"/>
        <v>0</v>
      </c>
    </row>
    <row r="1844" spans="1:12" x14ac:dyDescent="0.3">
      <c r="A1844" s="54"/>
      <c r="B1844" s="54"/>
      <c r="C1844" s="54"/>
      <c r="D1844" s="54"/>
      <c r="E1844" s="55"/>
      <c r="F1844" s="57"/>
      <c r="G1844" s="57"/>
      <c r="H1844" s="54">
        <f t="shared" si="123"/>
        <v>0</v>
      </c>
      <c r="I1844" s="58"/>
      <c r="J1844" s="54">
        <f t="shared" si="124"/>
        <v>0</v>
      </c>
      <c r="K1844" s="57"/>
      <c r="L1844" s="54">
        <f t="shared" si="125"/>
        <v>0</v>
      </c>
    </row>
    <row r="1845" spans="1:12" x14ac:dyDescent="0.3">
      <c r="A1845" s="54"/>
      <c r="B1845" s="54"/>
      <c r="C1845" s="54"/>
      <c r="D1845" s="54"/>
      <c r="E1845" s="55"/>
      <c r="F1845" s="57"/>
      <c r="G1845" s="57"/>
      <c r="H1845" s="54">
        <f t="shared" si="123"/>
        <v>0</v>
      </c>
      <c r="I1845" s="58"/>
      <c r="J1845" s="54">
        <f t="shared" si="124"/>
        <v>0</v>
      </c>
      <c r="K1845" s="57"/>
      <c r="L1845" s="54">
        <f t="shared" si="125"/>
        <v>0</v>
      </c>
    </row>
    <row r="1846" spans="1:12" x14ac:dyDescent="0.3">
      <c r="A1846" s="54"/>
      <c r="B1846" s="54"/>
      <c r="C1846" s="54"/>
      <c r="D1846" s="54"/>
      <c r="E1846" s="55"/>
      <c r="F1846" s="57"/>
      <c r="G1846" s="57"/>
      <c r="H1846" s="54">
        <f t="shared" si="123"/>
        <v>0</v>
      </c>
      <c r="I1846" s="58"/>
      <c r="J1846" s="54">
        <f t="shared" si="124"/>
        <v>0</v>
      </c>
      <c r="K1846" s="57"/>
      <c r="L1846" s="54">
        <f t="shared" si="125"/>
        <v>0</v>
      </c>
    </row>
    <row r="1847" spans="1:12" x14ac:dyDescent="0.3">
      <c r="A1847" s="54"/>
      <c r="B1847" s="54"/>
      <c r="C1847" s="54"/>
      <c r="D1847" s="54"/>
      <c r="E1847" s="55"/>
      <c r="F1847" s="57"/>
      <c r="G1847" s="57"/>
      <c r="H1847" s="54">
        <f t="shared" si="123"/>
        <v>0</v>
      </c>
      <c r="I1847" s="58"/>
      <c r="J1847" s="54">
        <f t="shared" si="124"/>
        <v>0</v>
      </c>
      <c r="K1847" s="57"/>
      <c r="L1847" s="54">
        <f t="shared" si="125"/>
        <v>0</v>
      </c>
    </row>
    <row r="1848" spans="1:12" x14ac:dyDescent="0.3">
      <c r="A1848" s="54"/>
      <c r="B1848" s="54"/>
      <c r="C1848" s="54"/>
      <c r="D1848" s="54"/>
      <c r="E1848" s="55"/>
      <c r="F1848" s="57"/>
      <c r="G1848" s="57"/>
      <c r="H1848" s="54">
        <f t="shared" si="123"/>
        <v>0</v>
      </c>
      <c r="I1848" s="58"/>
      <c r="J1848" s="54">
        <f t="shared" si="124"/>
        <v>0</v>
      </c>
      <c r="K1848" s="57"/>
      <c r="L1848" s="54">
        <f t="shared" si="125"/>
        <v>0</v>
      </c>
    </row>
    <row r="1849" spans="1:12" x14ac:dyDescent="0.3">
      <c r="A1849" s="54"/>
      <c r="B1849" s="54"/>
      <c r="C1849" s="54"/>
      <c r="D1849" s="54"/>
      <c r="E1849" s="55"/>
      <c r="F1849" s="57"/>
      <c r="G1849" s="57"/>
      <c r="H1849" s="54">
        <f t="shared" si="123"/>
        <v>0</v>
      </c>
      <c r="I1849" s="58"/>
      <c r="J1849" s="54">
        <f t="shared" si="124"/>
        <v>0</v>
      </c>
      <c r="K1849" s="57"/>
      <c r="L1849" s="54">
        <f t="shared" si="125"/>
        <v>0</v>
      </c>
    </row>
    <row r="1850" spans="1:12" x14ac:dyDescent="0.3">
      <c r="A1850" s="54"/>
      <c r="B1850" s="54"/>
      <c r="C1850" s="54"/>
      <c r="D1850" s="54"/>
      <c r="E1850" s="55"/>
      <c r="F1850" s="57"/>
      <c r="G1850" s="57"/>
      <c r="H1850" s="54">
        <f t="shared" si="123"/>
        <v>0</v>
      </c>
      <c r="I1850" s="58"/>
      <c r="J1850" s="54">
        <f t="shared" si="124"/>
        <v>0</v>
      </c>
      <c r="K1850" s="57"/>
      <c r="L1850" s="54">
        <f t="shared" si="125"/>
        <v>0</v>
      </c>
    </row>
    <row r="1851" spans="1:12" x14ac:dyDescent="0.3">
      <c r="A1851" s="54"/>
      <c r="B1851" s="54"/>
      <c r="C1851" s="54"/>
      <c r="D1851" s="54"/>
      <c r="E1851" s="55"/>
      <c r="F1851" s="57"/>
      <c r="G1851" s="57"/>
      <c r="H1851" s="54">
        <f t="shared" si="123"/>
        <v>0</v>
      </c>
      <c r="I1851" s="58"/>
      <c r="J1851" s="54">
        <f t="shared" si="124"/>
        <v>0</v>
      </c>
      <c r="K1851" s="57"/>
      <c r="L1851" s="54">
        <f t="shared" si="125"/>
        <v>0</v>
      </c>
    </row>
    <row r="1852" spans="1:12" x14ac:dyDescent="0.3">
      <c r="A1852" s="54"/>
      <c r="B1852" s="54"/>
      <c r="C1852" s="54"/>
      <c r="D1852" s="54"/>
      <c r="E1852" s="55"/>
      <c r="F1852" s="57"/>
      <c r="G1852" s="57"/>
      <c r="H1852" s="54">
        <f t="shared" si="123"/>
        <v>0</v>
      </c>
      <c r="I1852" s="58"/>
      <c r="J1852" s="54">
        <f t="shared" si="124"/>
        <v>0</v>
      </c>
      <c r="K1852" s="57"/>
      <c r="L1852" s="54">
        <f t="shared" si="125"/>
        <v>0</v>
      </c>
    </row>
    <row r="1853" spans="1:12" x14ac:dyDescent="0.3">
      <c r="A1853" s="54"/>
      <c r="B1853" s="54"/>
      <c r="C1853" s="54"/>
      <c r="D1853" s="54"/>
      <c r="E1853" s="55"/>
      <c r="F1853" s="57"/>
      <c r="G1853" s="57"/>
      <c r="H1853" s="54">
        <f t="shared" si="123"/>
        <v>0</v>
      </c>
      <c r="I1853" s="58"/>
      <c r="J1853" s="54">
        <f t="shared" si="124"/>
        <v>0</v>
      </c>
      <c r="K1853" s="57"/>
      <c r="L1853" s="54">
        <f t="shared" si="125"/>
        <v>0</v>
      </c>
    </row>
    <row r="1854" spans="1:12" x14ac:dyDescent="0.3">
      <c r="A1854" s="54"/>
      <c r="B1854" s="54"/>
      <c r="C1854" s="54"/>
      <c r="D1854" s="54"/>
      <c r="E1854" s="55"/>
      <c r="F1854" s="57"/>
      <c r="G1854" s="57"/>
      <c r="H1854" s="54">
        <f t="shared" si="123"/>
        <v>0</v>
      </c>
      <c r="I1854" s="58"/>
      <c r="J1854" s="54">
        <f t="shared" si="124"/>
        <v>0</v>
      </c>
      <c r="K1854" s="57"/>
      <c r="L1854" s="54">
        <f t="shared" si="125"/>
        <v>0</v>
      </c>
    </row>
    <row r="1855" spans="1:12" x14ac:dyDescent="0.3">
      <c r="A1855" s="54"/>
      <c r="B1855" s="54"/>
      <c r="C1855" s="54"/>
      <c r="D1855" s="54"/>
      <c r="E1855" s="55"/>
      <c r="F1855" s="57"/>
      <c r="G1855" s="57"/>
      <c r="H1855" s="54">
        <f t="shared" si="123"/>
        <v>0</v>
      </c>
      <c r="I1855" s="58"/>
      <c r="J1855" s="54">
        <f t="shared" si="124"/>
        <v>0</v>
      </c>
      <c r="K1855" s="57"/>
      <c r="L1855" s="54">
        <f t="shared" si="125"/>
        <v>0</v>
      </c>
    </row>
    <row r="1856" spans="1:12" x14ac:dyDescent="0.3">
      <c r="A1856" s="54"/>
      <c r="B1856" s="54"/>
      <c r="C1856" s="54"/>
      <c r="D1856" s="54"/>
      <c r="E1856" s="55"/>
      <c r="F1856" s="57"/>
      <c r="G1856" s="57"/>
      <c r="H1856" s="54">
        <f t="shared" si="123"/>
        <v>0</v>
      </c>
      <c r="I1856" s="58"/>
      <c r="J1856" s="54">
        <f t="shared" si="124"/>
        <v>0</v>
      </c>
      <c r="K1856" s="57"/>
      <c r="L1856" s="54">
        <f t="shared" si="125"/>
        <v>0</v>
      </c>
    </row>
    <row r="1857" spans="1:12" x14ac:dyDescent="0.3">
      <c r="A1857" s="54"/>
      <c r="B1857" s="54"/>
      <c r="C1857" s="54"/>
      <c r="D1857" s="54"/>
      <c r="E1857" s="55"/>
      <c r="F1857" s="57"/>
      <c r="G1857" s="57"/>
      <c r="H1857" s="54">
        <f t="shared" si="123"/>
        <v>0</v>
      </c>
      <c r="I1857" s="58"/>
      <c r="J1857" s="54">
        <f t="shared" si="124"/>
        <v>0</v>
      </c>
      <c r="K1857" s="57"/>
      <c r="L1857" s="54">
        <f t="shared" si="125"/>
        <v>0</v>
      </c>
    </row>
    <row r="1858" spans="1:12" x14ac:dyDescent="0.3">
      <c r="A1858" s="54"/>
      <c r="B1858" s="54"/>
      <c r="C1858" s="54"/>
      <c r="D1858" s="54"/>
      <c r="E1858" s="55"/>
      <c r="F1858" s="57"/>
      <c r="G1858" s="57"/>
      <c r="H1858" s="54">
        <f t="shared" si="123"/>
        <v>0</v>
      </c>
      <c r="I1858" s="58"/>
      <c r="J1858" s="54">
        <f t="shared" si="124"/>
        <v>0</v>
      </c>
      <c r="K1858" s="57"/>
      <c r="L1858" s="54">
        <f t="shared" si="125"/>
        <v>0</v>
      </c>
    </row>
    <row r="1859" spans="1:12" x14ac:dyDescent="0.3">
      <c r="A1859" s="54"/>
      <c r="B1859" s="54"/>
      <c r="C1859" s="54"/>
      <c r="D1859" s="54"/>
      <c r="E1859" s="55"/>
      <c r="F1859" s="57"/>
      <c r="G1859" s="57"/>
      <c r="H1859" s="54">
        <f t="shared" si="123"/>
        <v>0</v>
      </c>
      <c r="I1859" s="58"/>
      <c r="J1859" s="54">
        <f t="shared" si="124"/>
        <v>0</v>
      </c>
      <c r="K1859" s="57"/>
      <c r="L1859" s="54">
        <f t="shared" si="125"/>
        <v>0</v>
      </c>
    </row>
    <row r="1860" spans="1:12" x14ac:dyDescent="0.3">
      <c r="A1860" s="54"/>
      <c r="B1860" s="54"/>
      <c r="C1860" s="54"/>
      <c r="D1860" s="54"/>
      <c r="E1860" s="55"/>
      <c r="F1860" s="57"/>
      <c r="G1860" s="57"/>
      <c r="H1860" s="54">
        <f t="shared" si="123"/>
        <v>0</v>
      </c>
      <c r="I1860" s="58"/>
      <c r="J1860" s="54">
        <f t="shared" si="124"/>
        <v>0</v>
      </c>
      <c r="K1860" s="57"/>
      <c r="L1860" s="54">
        <f t="shared" si="125"/>
        <v>0</v>
      </c>
    </row>
    <row r="1861" spans="1:12" x14ac:dyDescent="0.3">
      <c r="A1861" s="54"/>
      <c r="B1861" s="54"/>
      <c r="C1861" s="54"/>
      <c r="D1861" s="54"/>
      <c r="E1861" s="55"/>
      <c r="F1861" s="57"/>
      <c r="G1861" s="57"/>
      <c r="H1861" s="54">
        <f t="shared" si="123"/>
        <v>0</v>
      </c>
      <c r="I1861" s="58"/>
      <c r="J1861" s="54">
        <f t="shared" si="124"/>
        <v>0</v>
      </c>
      <c r="K1861" s="57"/>
      <c r="L1861" s="54">
        <f t="shared" si="125"/>
        <v>0</v>
      </c>
    </row>
    <row r="1862" spans="1:12" x14ac:dyDescent="0.3">
      <c r="A1862" s="54"/>
      <c r="B1862" s="54"/>
      <c r="C1862" s="54"/>
      <c r="D1862" s="54"/>
      <c r="E1862" s="55"/>
      <c r="F1862" s="57"/>
      <c r="G1862" s="57"/>
      <c r="H1862" s="54">
        <f t="shared" si="123"/>
        <v>0</v>
      </c>
      <c r="I1862" s="58"/>
      <c r="J1862" s="54">
        <f t="shared" si="124"/>
        <v>0</v>
      </c>
      <c r="K1862" s="57"/>
      <c r="L1862" s="54">
        <f t="shared" si="125"/>
        <v>0</v>
      </c>
    </row>
    <row r="1863" spans="1:12" x14ac:dyDescent="0.3">
      <c r="A1863" s="54"/>
      <c r="B1863" s="54"/>
      <c r="C1863" s="54"/>
      <c r="D1863" s="54"/>
      <c r="E1863" s="55"/>
      <c r="F1863" s="57"/>
      <c r="G1863" s="57"/>
      <c r="H1863" s="54">
        <f t="shared" si="123"/>
        <v>0</v>
      </c>
      <c r="I1863" s="58"/>
      <c r="J1863" s="54">
        <f t="shared" si="124"/>
        <v>0</v>
      </c>
      <c r="K1863" s="57"/>
      <c r="L1863" s="54">
        <f t="shared" si="125"/>
        <v>0</v>
      </c>
    </row>
    <row r="1864" spans="1:12" x14ac:dyDescent="0.3">
      <c r="A1864" s="54"/>
      <c r="B1864" s="54"/>
      <c r="C1864" s="54"/>
      <c r="D1864" s="54"/>
      <c r="E1864" s="55"/>
      <c r="F1864" s="57"/>
      <c r="G1864" s="57"/>
      <c r="H1864" s="54">
        <f t="shared" si="123"/>
        <v>0</v>
      </c>
      <c r="I1864" s="58"/>
      <c r="J1864" s="54">
        <f t="shared" si="124"/>
        <v>0</v>
      </c>
      <c r="K1864" s="57"/>
      <c r="L1864" s="54">
        <f t="shared" si="125"/>
        <v>0</v>
      </c>
    </row>
    <row r="1865" spans="1:12" x14ac:dyDescent="0.3">
      <c r="A1865" s="54"/>
      <c r="B1865" s="54"/>
      <c r="C1865" s="54"/>
      <c r="D1865" s="54"/>
      <c r="E1865" s="55"/>
      <c r="F1865" s="57"/>
      <c r="G1865" s="57"/>
      <c r="H1865" s="54">
        <f t="shared" si="123"/>
        <v>0</v>
      </c>
      <c r="I1865" s="58"/>
      <c r="J1865" s="54">
        <f t="shared" si="124"/>
        <v>0</v>
      </c>
      <c r="K1865" s="57"/>
      <c r="L1865" s="54">
        <f t="shared" si="125"/>
        <v>0</v>
      </c>
    </row>
    <row r="1866" spans="1:12" x14ac:dyDescent="0.3">
      <c r="A1866" s="54"/>
      <c r="B1866" s="54"/>
      <c r="C1866" s="54"/>
      <c r="D1866" s="54"/>
      <c r="E1866" s="55"/>
      <c r="F1866" s="57"/>
      <c r="G1866" s="57"/>
      <c r="H1866" s="54">
        <f t="shared" si="123"/>
        <v>0</v>
      </c>
      <c r="I1866" s="58"/>
      <c r="J1866" s="54">
        <f t="shared" si="124"/>
        <v>0</v>
      </c>
      <c r="K1866" s="57"/>
      <c r="L1866" s="54">
        <f t="shared" si="125"/>
        <v>0</v>
      </c>
    </row>
    <row r="1867" spans="1:12" x14ac:dyDescent="0.3">
      <c r="A1867" s="54"/>
      <c r="B1867" s="54"/>
      <c r="C1867" s="54"/>
      <c r="D1867" s="54"/>
      <c r="E1867" s="55"/>
      <c r="F1867" s="57"/>
      <c r="G1867" s="57"/>
      <c r="H1867" s="54">
        <f t="shared" si="123"/>
        <v>0</v>
      </c>
      <c r="I1867" s="58"/>
      <c r="J1867" s="54">
        <f t="shared" si="124"/>
        <v>0</v>
      </c>
      <c r="K1867" s="57"/>
      <c r="L1867" s="54">
        <f t="shared" si="125"/>
        <v>0</v>
      </c>
    </row>
    <row r="1868" spans="1:12" x14ac:dyDescent="0.3">
      <c r="A1868" s="54"/>
      <c r="B1868" s="54"/>
      <c r="C1868" s="54"/>
      <c r="D1868" s="54"/>
      <c r="E1868" s="55"/>
      <c r="F1868" s="57"/>
      <c r="G1868" s="57"/>
      <c r="H1868" s="54">
        <f t="shared" si="123"/>
        <v>0</v>
      </c>
      <c r="I1868" s="58"/>
      <c r="J1868" s="54">
        <f t="shared" si="124"/>
        <v>0</v>
      </c>
      <c r="K1868" s="57"/>
      <c r="L1868" s="54">
        <f t="shared" si="125"/>
        <v>0</v>
      </c>
    </row>
    <row r="1869" spans="1:12" x14ac:dyDescent="0.3">
      <c r="A1869" s="54"/>
      <c r="B1869" s="54"/>
      <c r="C1869" s="54"/>
      <c r="D1869" s="54"/>
      <c r="E1869" s="55"/>
      <c r="F1869" s="57"/>
      <c r="G1869" s="57"/>
      <c r="H1869" s="54">
        <f t="shared" si="123"/>
        <v>0</v>
      </c>
      <c r="I1869" s="58"/>
      <c r="J1869" s="54">
        <f t="shared" si="124"/>
        <v>0</v>
      </c>
      <c r="K1869" s="57"/>
      <c r="L1869" s="54">
        <f t="shared" si="125"/>
        <v>0</v>
      </c>
    </row>
    <row r="1870" spans="1:12" x14ac:dyDescent="0.3">
      <c r="A1870" s="54"/>
      <c r="B1870" s="54"/>
      <c r="C1870" s="54"/>
      <c r="D1870" s="54"/>
      <c r="E1870" s="55"/>
      <c r="F1870" s="57"/>
      <c r="G1870" s="57"/>
      <c r="H1870" s="54">
        <f t="shared" si="123"/>
        <v>0</v>
      </c>
      <c r="I1870" s="58"/>
      <c r="J1870" s="54">
        <f t="shared" si="124"/>
        <v>0</v>
      </c>
      <c r="K1870" s="57"/>
      <c r="L1870" s="54">
        <f t="shared" si="125"/>
        <v>0</v>
      </c>
    </row>
    <row r="1871" spans="1:12" x14ac:dyDescent="0.3">
      <c r="A1871" s="54"/>
      <c r="B1871" s="54"/>
      <c r="C1871" s="54"/>
      <c r="D1871" s="54"/>
      <c r="E1871" s="55"/>
      <c r="F1871" s="57"/>
      <c r="G1871" s="57"/>
      <c r="H1871" s="54">
        <f t="shared" si="123"/>
        <v>0</v>
      </c>
      <c r="I1871" s="58"/>
      <c r="J1871" s="54">
        <f t="shared" si="124"/>
        <v>0</v>
      </c>
      <c r="K1871" s="57"/>
      <c r="L1871" s="54">
        <f t="shared" si="125"/>
        <v>0</v>
      </c>
    </row>
    <row r="1872" spans="1:12" x14ac:dyDescent="0.3">
      <c r="A1872" s="54"/>
      <c r="B1872" s="54"/>
      <c r="C1872" s="54"/>
      <c r="D1872" s="54"/>
      <c r="E1872" s="55"/>
      <c r="F1872" s="57"/>
      <c r="G1872" s="57"/>
      <c r="H1872" s="54">
        <f t="shared" si="123"/>
        <v>0</v>
      </c>
      <c r="I1872" s="58"/>
      <c r="J1872" s="54">
        <f t="shared" si="124"/>
        <v>0</v>
      </c>
      <c r="K1872" s="57"/>
      <c r="L1872" s="54">
        <f t="shared" si="125"/>
        <v>0</v>
      </c>
    </row>
    <row r="1873" spans="1:12" x14ac:dyDescent="0.3">
      <c r="A1873" s="54"/>
      <c r="B1873" s="54"/>
      <c r="C1873" s="54"/>
      <c r="D1873" s="54"/>
      <c r="E1873" s="55"/>
      <c r="F1873" s="57"/>
      <c r="G1873" s="57"/>
      <c r="H1873" s="54">
        <f t="shared" si="123"/>
        <v>0</v>
      </c>
      <c r="I1873" s="58"/>
      <c r="J1873" s="54">
        <f t="shared" si="124"/>
        <v>0</v>
      </c>
      <c r="K1873" s="57"/>
      <c r="L1873" s="54">
        <f t="shared" si="125"/>
        <v>0</v>
      </c>
    </row>
    <row r="1874" spans="1:12" x14ac:dyDescent="0.3">
      <c r="A1874" s="54"/>
      <c r="B1874" s="54"/>
      <c r="C1874" s="54"/>
      <c r="D1874" s="54"/>
      <c r="E1874" s="55"/>
      <c r="F1874" s="57"/>
      <c r="G1874" s="57"/>
      <c r="H1874" s="54">
        <f t="shared" si="123"/>
        <v>0</v>
      </c>
      <c r="I1874" s="58"/>
      <c r="J1874" s="54">
        <f t="shared" si="124"/>
        <v>0</v>
      </c>
      <c r="K1874" s="57"/>
      <c r="L1874" s="54">
        <f t="shared" si="125"/>
        <v>0</v>
      </c>
    </row>
    <row r="1875" spans="1:12" x14ac:dyDescent="0.3">
      <c r="A1875" s="54"/>
      <c r="B1875" s="54"/>
      <c r="C1875" s="54"/>
      <c r="D1875" s="54"/>
      <c r="E1875" s="55"/>
      <c r="F1875" s="57"/>
      <c r="G1875" s="57"/>
      <c r="H1875" s="54">
        <f t="shared" si="123"/>
        <v>0</v>
      </c>
      <c r="I1875" s="58"/>
      <c r="J1875" s="54">
        <f t="shared" si="124"/>
        <v>0</v>
      </c>
      <c r="K1875" s="57"/>
      <c r="L1875" s="54">
        <f t="shared" si="125"/>
        <v>0</v>
      </c>
    </row>
    <row r="1876" spans="1:12" x14ac:dyDescent="0.3">
      <c r="A1876" s="54"/>
      <c r="B1876" s="54"/>
      <c r="C1876" s="54"/>
      <c r="D1876" s="54"/>
      <c r="E1876" s="55"/>
      <c r="F1876" s="57"/>
      <c r="G1876" s="57"/>
      <c r="H1876" s="54">
        <f t="shared" si="123"/>
        <v>0</v>
      </c>
      <c r="I1876" s="58"/>
      <c r="J1876" s="54">
        <f t="shared" si="124"/>
        <v>0</v>
      </c>
      <c r="K1876" s="57"/>
      <c r="L1876" s="54">
        <f t="shared" si="125"/>
        <v>0</v>
      </c>
    </row>
    <row r="1877" spans="1:12" x14ac:dyDescent="0.3">
      <c r="A1877" s="54"/>
      <c r="B1877" s="54"/>
      <c r="C1877" s="54"/>
      <c r="D1877" s="54"/>
      <c r="E1877" s="55"/>
      <c r="F1877" s="57"/>
      <c r="G1877" s="57"/>
      <c r="H1877" s="54">
        <f t="shared" si="123"/>
        <v>0</v>
      </c>
      <c r="I1877" s="58"/>
      <c r="J1877" s="54">
        <f t="shared" si="124"/>
        <v>0</v>
      </c>
      <c r="K1877" s="57"/>
      <c r="L1877" s="54">
        <f t="shared" si="125"/>
        <v>0</v>
      </c>
    </row>
    <row r="1878" spans="1:12" x14ac:dyDescent="0.3">
      <c r="A1878" s="54"/>
      <c r="B1878" s="54"/>
      <c r="C1878" s="54"/>
      <c r="D1878" s="54"/>
      <c r="E1878" s="55"/>
      <c r="F1878" s="57"/>
      <c r="G1878" s="57"/>
      <c r="H1878" s="54">
        <f t="shared" si="123"/>
        <v>0</v>
      </c>
      <c r="I1878" s="58"/>
      <c r="J1878" s="54">
        <f t="shared" si="124"/>
        <v>0</v>
      </c>
      <c r="K1878" s="57"/>
      <c r="L1878" s="54">
        <f t="shared" si="125"/>
        <v>0</v>
      </c>
    </row>
    <row r="1879" spans="1:12" x14ac:dyDescent="0.3">
      <c r="A1879" s="54"/>
      <c r="B1879" s="54"/>
      <c r="C1879" s="54"/>
      <c r="D1879" s="54"/>
      <c r="E1879" s="55"/>
      <c r="F1879" s="57"/>
      <c r="G1879" s="57"/>
      <c r="H1879" s="54">
        <f t="shared" si="123"/>
        <v>0</v>
      </c>
      <c r="I1879" s="58"/>
      <c r="J1879" s="54">
        <f t="shared" si="124"/>
        <v>0</v>
      </c>
      <c r="K1879" s="57"/>
      <c r="L1879" s="54">
        <f t="shared" si="125"/>
        <v>0</v>
      </c>
    </row>
    <row r="1880" spans="1:12" x14ac:dyDescent="0.3">
      <c r="A1880" s="54"/>
      <c r="B1880" s="54"/>
      <c r="C1880" s="54"/>
      <c r="D1880" s="54"/>
      <c r="E1880" s="55"/>
      <c r="F1880" s="57"/>
      <c r="G1880" s="57"/>
      <c r="H1880" s="54">
        <f t="shared" si="123"/>
        <v>0</v>
      </c>
      <c r="I1880" s="58"/>
      <c r="J1880" s="54">
        <f t="shared" si="124"/>
        <v>0</v>
      </c>
      <c r="K1880" s="57"/>
      <c r="L1880" s="54">
        <f t="shared" si="125"/>
        <v>0</v>
      </c>
    </row>
    <row r="1881" spans="1:12" x14ac:dyDescent="0.3">
      <c r="A1881" s="54"/>
      <c r="B1881" s="54"/>
      <c r="C1881" s="54"/>
      <c r="D1881" s="54"/>
      <c r="E1881" s="55"/>
      <c r="F1881" s="57"/>
      <c r="G1881" s="57"/>
      <c r="H1881" s="54">
        <f t="shared" si="123"/>
        <v>0</v>
      </c>
      <c r="I1881" s="58"/>
      <c r="J1881" s="54">
        <f t="shared" si="124"/>
        <v>0</v>
      </c>
      <c r="K1881" s="57"/>
      <c r="L1881" s="54">
        <f t="shared" si="125"/>
        <v>0</v>
      </c>
    </row>
    <row r="1882" spans="1:12" x14ac:dyDescent="0.3">
      <c r="A1882" s="54"/>
      <c r="B1882" s="54"/>
      <c r="C1882" s="54"/>
      <c r="D1882" s="54"/>
      <c r="E1882" s="55"/>
      <c r="F1882" s="57"/>
      <c r="G1882" s="57"/>
      <c r="H1882" s="54">
        <f t="shared" si="123"/>
        <v>0</v>
      </c>
      <c r="I1882" s="58"/>
      <c r="J1882" s="54">
        <f t="shared" si="124"/>
        <v>0</v>
      </c>
      <c r="K1882" s="57"/>
      <c r="L1882" s="54">
        <f t="shared" si="125"/>
        <v>0</v>
      </c>
    </row>
    <row r="1883" spans="1:12" x14ac:dyDescent="0.3">
      <c r="A1883" s="54"/>
      <c r="B1883" s="54"/>
      <c r="C1883" s="54"/>
      <c r="D1883" s="54"/>
      <c r="E1883" s="55"/>
      <c r="F1883" s="57"/>
      <c r="G1883" s="57"/>
      <c r="H1883" s="54">
        <f t="shared" ref="H1883:H1946" si="126">+F1883-G1883</f>
        <v>0</v>
      </c>
      <c r="I1883" s="58"/>
      <c r="J1883" s="54">
        <f t="shared" ref="J1883:J1946" si="127">+H1883-H1883*I1883/100</f>
        <v>0</v>
      </c>
      <c r="K1883" s="57"/>
      <c r="L1883" s="54">
        <f t="shared" ref="L1883:L1946" si="128">+J1883*K1883</f>
        <v>0</v>
      </c>
    </row>
    <row r="1884" spans="1:12" x14ac:dyDescent="0.3">
      <c r="A1884" s="54"/>
      <c r="B1884" s="54"/>
      <c r="C1884" s="54"/>
      <c r="D1884" s="54"/>
      <c r="E1884" s="55"/>
      <c r="F1884" s="57"/>
      <c r="G1884" s="57"/>
      <c r="H1884" s="54">
        <f t="shared" si="126"/>
        <v>0</v>
      </c>
      <c r="I1884" s="58"/>
      <c r="J1884" s="54">
        <f t="shared" si="127"/>
        <v>0</v>
      </c>
      <c r="K1884" s="57"/>
      <c r="L1884" s="54">
        <f t="shared" si="128"/>
        <v>0</v>
      </c>
    </row>
    <row r="1885" spans="1:12" x14ac:dyDescent="0.3">
      <c r="A1885" s="54"/>
      <c r="B1885" s="54"/>
      <c r="C1885" s="54"/>
      <c r="D1885" s="54"/>
      <c r="E1885" s="55"/>
      <c r="F1885" s="57"/>
      <c r="G1885" s="57"/>
      <c r="H1885" s="54">
        <f t="shared" si="126"/>
        <v>0</v>
      </c>
      <c r="I1885" s="58"/>
      <c r="J1885" s="54">
        <f t="shared" si="127"/>
        <v>0</v>
      </c>
      <c r="K1885" s="57"/>
      <c r="L1885" s="54">
        <f t="shared" si="128"/>
        <v>0</v>
      </c>
    </row>
    <row r="1886" spans="1:12" x14ac:dyDescent="0.3">
      <c r="A1886" s="54"/>
      <c r="B1886" s="54"/>
      <c r="C1886" s="54"/>
      <c r="D1886" s="54"/>
      <c r="E1886" s="55"/>
      <c r="F1886" s="57"/>
      <c r="G1886" s="57"/>
      <c r="H1886" s="54">
        <f t="shared" si="126"/>
        <v>0</v>
      </c>
      <c r="I1886" s="58"/>
      <c r="J1886" s="54">
        <f t="shared" si="127"/>
        <v>0</v>
      </c>
      <c r="K1886" s="57"/>
      <c r="L1886" s="54">
        <f t="shared" si="128"/>
        <v>0</v>
      </c>
    </row>
    <row r="1887" spans="1:12" x14ac:dyDescent="0.3">
      <c r="A1887" s="54"/>
      <c r="B1887" s="54"/>
      <c r="C1887" s="54"/>
      <c r="D1887" s="54"/>
      <c r="E1887" s="55"/>
      <c r="F1887" s="57"/>
      <c r="G1887" s="57"/>
      <c r="H1887" s="54">
        <f t="shared" si="126"/>
        <v>0</v>
      </c>
      <c r="I1887" s="58"/>
      <c r="J1887" s="54">
        <f t="shared" si="127"/>
        <v>0</v>
      </c>
      <c r="K1887" s="57"/>
      <c r="L1887" s="54">
        <f t="shared" si="128"/>
        <v>0</v>
      </c>
    </row>
    <row r="1888" spans="1:12" x14ac:dyDescent="0.3">
      <c r="A1888" s="54"/>
      <c r="B1888" s="54"/>
      <c r="C1888" s="54"/>
      <c r="D1888" s="54"/>
      <c r="E1888" s="55"/>
      <c r="F1888" s="57"/>
      <c r="G1888" s="57"/>
      <c r="H1888" s="54">
        <f t="shared" si="126"/>
        <v>0</v>
      </c>
      <c r="I1888" s="58"/>
      <c r="J1888" s="54">
        <f t="shared" si="127"/>
        <v>0</v>
      </c>
      <c r="K1888" s="57"/>
      <c r="L1888" s="54">
        <f t="shared" si="128"/>
        <v>0</v>
      </c>
    </row>
    <row r="1889" spans="1:12" x14ac:dyDescent="0.3">
      <c r="A1889" s="54"/>
      <c r="B1889" s="54"/>
      <c r="C1889" s="54"/>
      <c r="D1889" s="54"/>
      <c r="E1889" s="55"/>
      <c r="F1889" s="57"/>
      <c r="G1889" s="57"/>
      <c r="H1889" s="54">
        <f t="shared" si="126"/>
        <v>0</v>
      </c>
      <c r="I1889" s="58"/>
      <c r="J1889" s="54">
        <f t="shared" si="127"/>
        <v>0</v>
      </c>
      <c r="K1889" s="57"/>
      <c r="L1889" s="54">
        <f t="shared" si="128"/>
        <v>0</v>
      </c>
    </row>
    <row r="1890" spans="1:12" x14ac:dyDescent="0.3">
      <c r="A1890" s="54"/>
      <c r="B1890" s="54"/>
      <c r="C1890" s="54"/>
      <c r="D1890" s="54"/>
      <c r="E1890" s="55"/>
      <c r="F1890" s="57"/>
      <c r="G1890" s="57"/>
      <c r="H1890" s="54">
        <f t="shared" si="126"/>
        <v>0</v>
      </c>
      <c r="I1890" s="58"/>
      <c r="J1890" s="54">
        <f t="shared" si="127"/>
        <v>0</v>
      </c>
      <c r="K1890" s="57"/>
      <c r="L1890" s="54">
        <f t="shared" si="128"/>
        <v>0</v>
      </c>
    </row>
    <row r="1891" spans="1:12" x14ac:dyDescent="0.3">
      <c r="A1891" s="54"/>
      <c r="B1891" s="54"/>
      <c r="C1891" s="54"/>
      <c r="D1891" s="54"/>
      <c r="E1891" s="55"/>
      <c r="F1891" s="57"/>
      <c r="G1891" s="57"/>
      <c r="H1891" s="54">
        <f t="shared" si="126"/>
        <v>0</v>
      </c>
      <c r="I1891" s="58"/>
      <c r="J1891" s="54">
        <f t="shared" si="127"/>
        <v>0</v>
      </c>
      <c r="K1891" s="57"/>
      <c r="L1891" s="54">
        <f t="shared" si="128"/>
        <v>0</v>
      </c>
    </row>
    <row r="1892" spans="1:12" x14ac:dyDescent="0.3">
      <c r="A1892" s="54"/>
      <c r="B1892" s="54"/>
      <c r="C1892" s="54"/>
      <c r="D1892" s="54"/>
      <c r="E1892" s="55"/>
      <c r="F1892" s="57"/>
      <c r="G1892" s="57"/>
      <c r="H1892" s="54">
        <f t="shared" si="126"/>
        <v>0</v>
      </c>
      <c r="I1892" s="58"/>
      <c r="J1892" s="54">
        <f t="shared" si="127"/>
        <v>0</v>
      </c>
      <c r="K1892" s="57"/>
      <c r="L1892" s="54">
        <f t="shared" si="128"/>
        <v>0</v>
      </c>
    </row>
    <row r="1893" spans="1:12" x14ac:dyDescent="0.3">
      <c r="A1893" s="54"/>
      <c r="B1893" s="54"/>
      <c r="C1893" s="54"/>
      <c r="D1893" s="54"/>
      <c r="E1893" s="55"/>
      <c r="F1893" s="57"/>
      <c r="G1893" s="57"/>
      <c r="H1893" s="54">
        <f t="shared" si="126"/>
        <v>0</v>
      </c>
      <c r="I1893" s="58"/>
      <c r="J1893" s="54">
        <f t="shared" si="127"/>
        <v>0</v>
      </c>
      <c r="K1893" s="57"/>
      <c r="L1893" s="54">
        <f t="shared" si="128"/>
        <v>0</v>
      </c>
    </row>
    <row r="1894" spans="1:12" x14ac:dyDescent="0.3">
      <c r="A1894" s="54"/>
      <c r="B1894" s="54"/>
      <c r="C1894" s="54"/>
      <c r="D1894" s="54"/>
      <c r="E1894" s="55"/>
      <c r="F1894" s="57"/>
      <c r="G1894" s="57"/>
      <c r="H1894" s="54">
        <f t="shared" si="126"/>
        <v>0</v>
      </c>
      <c r="I1894" s="58"/>
      <c r="J1894" s="54">
        <f t="shared" si="127"/>
        <v>0</v>
      </c>
      <c r="K1894" s="57"/>
      <c r="L1894" s="54">
        <f t="shared" si="128"/>
        <v>0</v>
      </c>
    </row>
    <row r="1895" spans="1:12" x14ac:dyDescent="0.3">
      <c r="A1895" s="54"/>
      <c r="B1895" s="54"/>
      <c r="C1895" s="54"/>
      <c r="D1895" s="54"/>
      <c r="E1895" s="55"/>
      <c r="F1895" s="57"/>
      <c r="G1895" s="57"/>
      <c r="H1895" s="54">
        <f t="shared" si="126"/>
        <v>0</v>
      </c>
      <c r="I1895" s="58"/>
      <c r="J1895" s="54">
        <f t="shared" si="127"/>
        <v>0</v>
      </c>
      <c r="K1895" s="57"/>
      <c r="L1895" s="54">
        <f t="shared" si="128"/>
        <v>0</v>
      </c>
    </row>
    <row r="1896" spans="1:12" x14ac:dyDescent="0.3">
      <c r="A1896" s="54"/>
      <c r="B1896" s="54"/>
      <c r="C1896" s="54"/>
      <c r="D1896" s="54"/>
      <c r="E1896" s="55"/>
      <c r="F1896" s="57"/>
      <c r="G1896" s="57"/>
      <c r="H1896" s="54">
        <f t="shared" si="126"/>
        <v>0</v>
      </c>
      <c r="I1896" s="58"/>
      <c r="J1896" s="54">
        <f t="shared" si="127"/>
        <v>0</v>
      </c>
      <c r="K1896" s="57"/>
      <c r="L1896" s="54">
        <f t="shared" si="128"/>
        <v>0</v>
      </c>
    </row>
    <row r="1897" spans="1:12" x14ac:dyDescent="0.3">
      <c r="A1897" s="54"/>
      <c r="B1897" s="54"/>
      <c r="C1897" s="54"/>
      <c r="D1897" s="54"/>
      <c r="E1897" s="55"/>
      <c r="F1897" s="57"/>
      <c r="G1897" s="57"/>
      <c r="H1897" s="54">
        <f t="shared" si="126"/>
        <v>0</v>
      </c>
      <c r="I1897" s="58"/>
      <c r="J1897" s="54">
        <f t="shared" si="127"/>
        <v>0</v>
      </c>
      <c r="K1897" s="57"/>
      <c r="L1897" s="54">
        <f t="shared" si="128"/>
        <v>0</v>
      </c>
    </row>
    <row r="1898" spans="1:12" x14ac:dyDescent="0.3">
      <c r="A1898" s="54"/>
      <c r="B1898" s="54"/>
      <c r="C1898" s="54"/>
      <c r="D1898" s="54"/>
      <c r="E1898" s="55"/>
      <c r="F1898" s="57"/>
      <c r="G1898" s="57"/>
      <c r="H1898" s="54">
        <f t="shared" si="126"/>
        <v>0</v>
      </c>
      <c r="I1898" s="58"/>
      <c r="J1898" s="54">
        <f t="shared" si="127"/>
        <v>0</v>
      </c>
      <c r="K1898" s="57"/>
      <c r="L1898" s="54">
        <f t="shared" si="128"/>
        <v>0</v>
      </c>
    </row>
    <row r="1899" spans="1:12" x14ac:dyDescent="0.3">
      <c r="A1899" s="54"/>
      <c r="B1899" s="54"/>
      <c r="C1899" s="54"/>
      <c r="D1899" s="54"/>
      <c r="E1899" s="55"/>
      <c r="F1899" s="57"/>
      <c r="G1899" s="57"/>
      <c r="H1899" s="54">
        <f t="shared" si="126"/>
        <v>0</v>
      </c>
      <c r="I1899" s="58"/>
      <c r="J1899" s="54">
        <f t="shared" si="127"/>
        <v>0</v>
      </c>
      <c r="K1899" s="57"/>
      <c r="L1899" s="54">
        <f t="shared" si="128"/>
        <v>0</v>
      </c>
    </row>
    <row r="1900" spans="1:12" x14ac:dyDescent="0.3">
      <c r="A1900" s="54"/>
      <c r="B1900" s="54"/>
      <c r="C1900" s="54"/>
      <c r="D1900" s="54"/>
      <c r="E1900" s="55"/>
      <c r="F1900" s="57"/>
      <c r="G1900" s="57"/>
      <c r="H1900" s="54">
        <f t="shared" si="126"/>
        <v>0</v>
      </c>
      <c r="I1900" s="58"/>
      <c r="J1900" s="54">
        <f t="shared" si="127"/>
        <v>0</v>
      </c>
      <c r="K1900" s="57"/>
      <c r="L1900" s="54">
        <f t="shared" si="128"/>
        <v>0</v>
      </c>
    </row>
    <row r="1901" spans="1:12" x14ac:dyDescent="0.3">
      <c r="A1901" s="54"/>
      <c r="B1901" s="54"/>
      <c r="C1901" s="54"/>
      <c r="D1901" s="54"/>
      <c r="E1901" s="55"/>
      <c r="F1901" s="57"/>
      <c r="G1901" s="57"/>
      <c r="H1901" s="54">
        <f t="shared" si="126"/>
        <v>0</v>
      </c>
      <c r="I1901" s="58"/>
      <c r="J1901" s="54">
        <f t="shared" si="127"/>
        <v>0</v>
      </c>
      <c r="K1901" s="57"/>
      <c r="L1901" s="54">
        <f t="shared" si="128"/>
        <v>0</v>
      </c>
    </row>
    <row r="1902" spans="1:12" x14ac:dyDescent="0.3">
      <c r="A1902" s="54"/>
      <c r="B1902" s="54"/>
      <c r="C1902" s="54"/>
      <c r="D1902" s="54"/>
      <c r="E1902" s="55"/>
      <c r="F1902" s="57"/>
      <c r="G1902" s="57"/>
      <c r="H1902" s="54">
        <f t="shared" si="126"/>
        <v>0</v>
      </c>
      <c r="I1902" s="58"/>
      <c r="J1902" s="54">
        <f t="shared" si="127"/>
        <v>0</v>
      </c>
      <c r="K1902" s="57"/>
      <c r="L1902" s="54">
        <f t="shared" si="128"/>
        <v>0</v>
      </c>
    </row>
    <row r="1903" spans="1:12" x14ac:dyDescent="0.3">
      <c r="A1903" s="54"/>
      <c r="B1903" s="54"/>
      <c r="C1903" s="54"/>
      <c r="D1903" s="54"/>
      <c r="E1903" s="55"/>
      <c r="F1903" s="57"/>
      <c r="G1903" s="57"/>
      <c r="H1903" s="54">
        <f t="shared" si="126"/>
        <v>0</v>
      </c>
      <c r="I1903" s="58"/>
      <c r="J1903" s="54">
        <f t="shared" si="127"/>
        <v>0</v>
      </c>
      <c r="K1903" s="57"/>
      <c r="L1903" s="54">
        <f t="shared" si="128"/>
        <v>0</v>
      </c>
    </row>
    <row r="1904" spans="1:12" x14ac:dyDescent="0.3">
      <c r="A1904" s="54"/>
      <c r="B1904" s="54"/>
      <c r="C1904" s="54"/>
      <c r="D1904" s="54"/>
      <c r="E1904" s="55"/>
      <c r="F1904" s="57"/>
      <c r="G1904" s="57"/>
      <c r="H1904" s="54">
        <f t="shared" si="126"/>
        <v>0</v>
      </c>
      <c r="I1904" s="58"/>
      <c r="J1904" s="54">
        <f t="shared" si="127"/>
        <v>0</v>
      </c>
      <c r="K1904" s="57"/>
      <c r="L1904" s="54">
        <f t="shared" si="128"/>
        <v>0</v>
      </c>
    </row>
    <row r="1905" spans="1:12" x14ac:dyDescent="0.3">
      <c r="A1905" s="54"/>
      <c r="B1905" s="54"/>
      <c r="C1905" s="54"/>
      <c r="D1905" s="54"/>
      <c r="E1905" s="55"/>
      <c r="F1905" s="57"/>
      <c r="G1905" s="57"/>
      <c r="H1905" s="54">
        <f t="shared" si="126"/>
        <v>0</v>
      </c>
      <c r="I1905" s="58"/>
      <c r="J1905" s="54">
        <f t="shared" si="127"/>
        <v>0</v>
      </c>
      <c r="K1905" s="57"/>
      <c r="L1905" s="54">
        <f t="shared" si="128"/>
        <v>0</v>
      </c>
    </row>
    <row r="1906" spans="1:12" x14ac:dyDescent="0.3">
      <c r="A1906" s="54"/>
      <c r="B1906" s="54"/>
      <c r="C1906" s="54"/>
      <c r="D1906" s="54"/>
      <c r="E1906" s="55"/>
      <c r="F1906" s="57"/>
      <c r="G1906" s="57"/>
      <c r="H1906" s="54">
        <f t="shared" si="126"/>
        <v>0</v>
      </c>
      <c r="I1906" s="58"/>
      <c r="J1906" s="54">
        <f t="shared" si="127"/>
        <v>0</v>
      </c>
      <c r="K1906" s="57"/>
      <c r="L1906" s="54">
        <f t="shared" si="128"/>
        <v>0</v>
      </c>
    </row>
    <row r="1907" spans="1:12" x14ac:dyDescent="0.3">
      <c r="A1907" s="54"/>
      <c r="B1907" s="54"/>
      <c r="C1907" s="54"/>
      <c r="D1907" s="54"/>
      <c r="E1907" s="55"/>
      <c r="F1907" s="57"/>
      <c r="G1907" s="57"/>
      <c r="H1907" s="54">
        <f t="shared" si="126"/>
        <v>0</v>
      </c>
      <c r="I1907" s="58"/>
      <c r="J1907" s="54">
        <f t="shared" si="127"/>
        <v>0</v>
      </c>
      <c r="K1907" s="57"/>
      <c r="L1907" s="54">
        <f t="shared" si="128"/>
        <v>0</v>
      </c>
    </row>
    <row r="1908" spans="1:12" x14ac:dyDescent="0.3">
      <c r="A1908" s="54"/>
      <c r="B1908" s="54"/>
      <c r="C1908" s="54"/>
      <c r="D1908" s="54"/>
      <c r="E1908" s="55"/>
      <c r="F1908" s="57"/>
      <c r="G1908" s="57"/>
      <c r="H1908" s="54">
        <f t="shared" si="126"/>
        <v>0</v>
      </c>
      <c r="I1908" s="58"/>
      <c r="J1908" s="54">
        <f t="shared" si="127"/>
        <v>0</v>
      </c>
      <c r="K1908" s="57"/>
      <c r="L1908" s="54">
        <f t="shared" si="128"/>
        <v>0</v>
      </c>
    </row>
    <row r="1909" spans="1:12" x14ac:dyDescent="0.3">
      <c r="A1909" s="54"/>
      <c r="B1909" s="54"/>
      <c r="C1909" s="54"/>
      <c r="D1909" s="54"/>
      <c r="E1909" s="55"/>
      <c r="F1909" s="57"/>
      <c r="G1909" s="57"/>
      <c r="H1909" s="54">
        <f t="shared" si="126"/>
        <v>0</v>
      </c>
      <c r="I1909" s="58"/>
      <c r="J1909" s="54">
        <f t="shared" si="127"/>
        <v>0</v>
      </c>
      <c r="K1909" s="57"/>
      <c r="L1909" s="54">
        <f t="shared" si="128"/>
        <v>0</v>
      </c>
    </row>
    <row r="1910" spans="1:12" x14ac:dyDescent="0.3">
      <c r="A1910" s="54"/>
      <c r="B1910" s="54"/>
      <c r="C1910" s="54"/>
      <c r="D1910" s="54"/>
      <c r="E1910" s="55"/>
      <c r="F1910" s="57"/>
      <c r="G1910" s="57"/>
      <c r="H1910" s="54">
        <f t="shared" si="126"/>
        <v>0</v>
      </c>
      <c r="I1910" s="58"/>
      <c r="J1910" s="54">
        <f t="shared" si="127"/>
        <v>0</v>
      </c>
      <c r="K1910" s="57"/>
      <c r="L1910" s="54">
        <f t="shared" si="128"/>
        <v>0</v>
      </c>
    </row>
    <row r="1911" spans="1:12" x14ac:dyDescent="0.3">
      <c r="A1911" s="54"/>
      <c r="B1911" s="54"/>
      <c r="C1911" s="54"/>
      <c r="D1911" s="54"/>
      <c r="E1911" s="55"/>
      <c r="F1911" s="57"/>
      <c r="G1911" s="57"/>
      <c r="H1911" s="54">
        <f t="shared" si="126"/>
        <v>0</v>
      </c>
      <c r="I1911" s="58"/>
      <c r="J1911" s="54">
        <f t="shared" si="127"/>
        <v>0</v>
      </c>
      <c r="K1911" s="57"/>
      <c r="L1911" s="54">
        <f t="shared" si="128"/>
        <v>0</v>
      </c>
    </row>
    <row r="1912" spans="1:12" x14ac:dyDescent="0.3">
      <c r="A1912" s="54"/>
      <c r="B1912" s="54"/>
      <c r="C1912" s="54"/>
      <c r="D1912" s="54"/>
      <c r="E1912" s="55"/>
      <c r="F1912" s="57"/>
      <c r="G1912" s="57"/>
      <c r="H1912" s="54">
        <f t="shared" si="126"/>
        <v>0</v>
      </c>
      <c r="I1912" s="58"/>
      <c r="J1912" s="54">
        <f t="shared" si="127"/>
        <v>0</v>
      </c>
      <c r="K1912" s="57"/>
      <c r="L1912" s="54">
        <f t="shared" si="128"/>
        <v>0</v>
      </c>
    </row>
    <row r="1913" spans="1:12" x14ac:dyDescent="0.3">
      <c r="A1913" s="54"/>
      <c r="B1913" s="54"/>
      <c r="C1913" s="54"/>
      <c r="D1913" s="54"/>
      <c r="E1913" s="55"/>
      <c r="F1913" s="57"/>
      <c r="G1913" s="57"/>
      <c r="H1913" s="54">
        <f t="shared" si="126"/>
        <v>0</v>
      </c>
      <c r="I1913" s="58"/>
      <c r="J1913" s="54">
        <f t="shared" si="127"/>
        <v>0</v>
      </c>
      <c r="K1913" s="57"/>
      <c r="L1913" s="54">
        <f t="shared" si="128"/>
        <v>0</v>
      </c>
    </row>
    <row r="1914" spans="1:12" x14ac:dyDescent="0.3">
      <c r="A1914" s="54"/>
      <c r="B1914" s="54"/>
      <c r="C1914" s="54"/>
      <c r="D1914" s="54"/>
      <c r="E1914" s="55"/>
      <c r="F1914" s="57"/>
      <c r="G1914" s="57"/>
      <c r="H1914" s="54">
        <f t="shared" si="126"/>
        <v>0</v>
      </c>
      <c r="I1914" s="58"/>
      <c r="J1914" s="54">
        <f t="shared" si="127"/>
        <v>0</v>
      </c>
      <c r="K1914" s="57"/>
      <c r="L1914" s="54">
        <f t="shared" si="128"/>
        <v>0</v>
      </c>
    </row>
    <row r="1915" spans="1:12" x14ac:dyDescent="0.3">
      <c r="A1915" s="54"/>
      <c r="B1915" s="54"/>
      <c r="C1915" s="54"/>
      <c r="D1915" s="54"/>
      <c r="E1915" s="55"/>
      <c r="F1915" s="57"/>
      <c r="G1915" s="57"/>
      <c r="H1915" s="54">
        <f t="shared" si="126"/>
        <v>0</v>
      </c>
      <c r="I1915" s="58"/>
      <c r="J1915" s="54">
        <f t="shared" si="127"/>
        <v>0</v>
      </c>
      <c r="K1915" s="57"/>
      <c r="L1915" s="54">
        <f t="shared" si="128"/>
        <v>0</v>
      </c>
    </row>
    <row r="1916" spans="1:12" x14ac:dyDescent="0.3">
      <c r="A1916" s="54"/>
      <c r="B1916" s="54"/>
      <c r="C1916" s="54"/>
      <c r="D1916" s="54"/>
      <c r="E1916" s="55"/>
      <c r="F1916" s="57"/>
      <c r="G1916" s="57"/>
      <c r="H1916" s="54">
        <f t="shared" si="126"/>
        <v>0</v>
      </c>
      <c r="I1916" s="58"/>
      <c r="J1916" s="54">
        <f t="shared" si="127"/>
        <v>0</v>
      </c>
      <c r="K1916" s="57"/>
      <c r="L1916" s="54">
        <f t="shared" si="128"/>
        <v>0</v>
      </c>
    </row>
    <row r="1917" spans="1:12" x14ac:dyDescent="0.3">
      <c r="A1917" s="54"/>
      <c r="B1917" s="54"/>
      <c r="C1917" s="54"/>
      <c r="D1917" s="54"/>
      <c r="E1917" s="55"/>
      <c r="F1917" s="57"/>
      <c r="G1917" s="57"/>
      <c r="H1917" s="54">
        <f t="shared" si="126"/>
        <v>0</v>
      </c>
      <c r="I1917" s="58"/>
      <c r="J1917" s="54">
        <f t="shared" si="127"/>
        <v>0</v>
      </c>
      <c r="K1917" s="57"/>
      <c r="L1917" s="54">
        <f t="shared" si="128"/>
        <v>0</v>
      </c>
    </row>
    <row r="1918" spans="1:12" x14ac:dyDescent="0.3">
      <c r="A1918" s="54"/>
      <c r="B1918" s="54"/>
      <c r="C1918" s="54"/>
      <c r="D1918" s="54"/>
      <c r="E1918" s="55"/>
      <c r="F1918" s="57"/>
      <c r="G1918" s="57"/>
      <c r="H1918" s="54">
        <f t="shared" si="126"/>
        <v>0</v>
      </c>
      <c r="I1918" s="58"/>
      <c r="J1918" s="54">
        <f t="shared" si="127"/>
        <v>0</v>
      </c>
      <c r="K1918" s="57"/>
      <c r="L1918" s="54">
        <f t="shared" si="128"/>
        <v>0</v>
      </c>
    </row>
    <row r="1919" spans="1:12" x14ac:dyDescent="0.3">
      <c r="A1919" s="54"/>
      <c r="B1919" s="54"/>
      <c r="C1919" s="54"/>
      <c r="D1919" s="54"/>
      <c r="E1919" s="55"/>
      <c r="F1919" s="57"/>
      <c r="G1919" s="57"/>
      <c r="H1919" s="54">
        <f t="shared" si="126"/>
        <v>0</v>
      </c>
      <c r="I1919" s="58"/>
      <c r="J1919" s="54">
        <f t="shared" si="127"/>
        <v>0</v>
      </c>
      <c r="K1919" s="57"/>
      <c r="L1919" s="54">
        <f t="shared" si="128"/>
        <v>0</v>
      </c>
    </row>
    <row r="1920" spans="1:12" x14ac:dyDescent="0.3">
      <c r="A1920" s="54"/>
      <c r="B1920" s="54"/>
      <c r="C1920" s="54"/>
      <c r="D1920" s="54"/>
      <c r="E1920" s="55"/>
      <c r="F1920" s="57"/>
      <c r="G1920" s="57"/>
      <c r="H1920" s="54">
        <f t="shared" si="126"/>
        <v>0</v>
      </c>
      <c r="I1920" s="58"/>
      <c r="J1920" s="54">
        <f t="shared" si="127"/>
        <v>0</v>
      </c>
      <c r="K1920" s="57"/>
      <c r="L1920" s="54">
        <f t="shared" si="128"/>
        <v>0</v>
      </c>
    </row>
    <row r="1921" spans="1:12" x14ac:dyDescent="0.3">
      <c r="A1921" s="54"/>
      <c r="B1921" s="54"/>
      <c r="C1921" s="54"/>
      <c r="D1921" s="54"/>
      <c r="E1921" s="55"/>
      <c r="F1921" s="57"/>
      <c r="G1921" s="57"/>
      <c r="H1921" s="54">
        <f t="shared" si="126"/>
        <v>0</v>
      </c>
      <c r="I1921" s="58"/>
      <c r="J1921" s="54">
        <f t="shared" si="127"/>
        <v>0</v>
      </c>
      <c r="K1921" s="57"/>
      <c r="L1921" s="54">
        <f t="shared" si="128"/>
        <v>0</v>
      </c>
    </row>
    <row r="1922" spans="1:12" x14ac:dyDescent="0.3">
      <c r="A1922" s="54"/>
      <c r="B1922" s="54"/>
      <c r="C1922" s="54"/>
      <c r="D1922" s="54"/>
      <c r="E1922" s="55"/>
      <c r="F1922" s="57"/>
      <c r="G1922" s="57"/>
      <c r="H1922" s="54">
        <f t="shared" si="126"/>
        <v>0</v>
      </c>
      <c r="I1922" s="58"/>
      <c r="J1922" s="54">
        <f t="shared" si="127"/>
        <v>0</v>
      </c>
      <c r="K1922" s="57"/>
      <c r="L1922" s="54">
        <f t="shared" si="128"/>
        <v>0</v>
      </c>
    </row>
    <row r="1923" spans="1:12" x14ac:dyDescent="0.3">
      <c r="A1923" s="54"/>
      <c r="B1923" s="54"/>
      <c r="C1923" s="54"/>
      <c r="D1923" s="54"/>
      <c r="E1923" s="55"/>
      <c r="F1923" s="57"/>
      <c r="G1923" s="57"/>
      <c r="H1923" s="54">
        <f t="shared" si="126"/>
        <v>0</v>
      </c>
      <c r="I1923" s="58"/>
      <c r="J1923" s="54">
        <f t="shared" si="127"/>
        <v>0</v>
      </c>
      <c r="K1923" s="57"/>
      <c r="L1923" s="54">
        <f t="shared" si="128"/>
        <v>0</v>
      </c>
    </row>
    <row r="1924" spans="1:12" x14ac:dyDescent="0.3">
      <c r="A1924" s="54"/>
      <c r="B1924" s="54"/>
      <c r="C1924" s="54"/>
      <c r="D1924" s="54"/>
      <c r="E1924" s="55"/>
      <c r="F1924" s="57"/>
      <c r="G1924" s="57"/>
      <c r="H1924" s="54">
        <f t="shared" si="126"/>
        <v>0</v>
      </c>
      <c r="I1924" s="58"/>
      <c r="J1924" s="54">
        <f t="shared" si="127"/>
        <v>0</v>
      </c>
      <c r="K1924" s="57"/>
      <c r="L1924" s="54">
        <f t="shared" si="128"/>
        <v>0</v>
      </c>
    </row>
    <row r="1925" spans="1:12" x14ac:dyDescent="0.3">
      <c r="A1925" s="54"/>
      <c r="B1925" s="54"/>
      <c r="C1925" s="54"/>
      <c r="D1925" s="54"/>
      <c r="E1925" s="55"/>
      <c r="F1925" s="57"/>
      <c r="G1925" s="57"/>
      <c r="H1925" s="54">
        <f t="shared" si="126"/>
        <v>0</v>
      </c>
      <c r="I1925" s="58"/>
      <c r="J1925" s="54">
        <f t="shared" si="127"/>
        <v>0</v>
      </c>
      <c r="K1925" s="57"/>
      <c r="L1925" s="54">
        <f t="shared" si="128"/>
        <v>0</v>
      </c>
    </row>
    <row r="1926" spans="1:12" x14ac:dyDescent="0.3">
      <c r="A1926" s="54"/>
      <c r="B1926" s="54"/>
      <c r="C1926" s="54"/>
      <c r="D1926" s="54"/>
      <c r="E1926" s="55"/>
      <c r="F1926" s="57"/>
      <c r="G1926" s="57"/>
      <c r="H1926" s="54">
        <f t="shared" si="126"/>
        <v>0</v>
      </c>
      <c r="I1926" s="58"/>
      <c r="J1926" s="54">
        <f t="shared" si="127"/>
        <v>0</v>
      </c>
      <c r="K1926" s="57"/>
      <c r="L1926" s="54">
        <f t="shared" si="128"/>
        <v>0</v>
      </c>
    </row>
    <row r="1927" spans="1:12" x14ac:dyDescent="0.3">
      <c r="A1927" s="54"/>
      <c r="B1927" s="54"/>
      <c r="C1927" s="54"/>
      <c r="D1927" s="54"/>
      <c r="E1927" s="55"/>
      <c r="F1927" s="57"/>
      <c r="G1927" s="57"/>
      <c r="H1927" s="54">
        <f t="shared" si="126"/>
        <v>0</v>
      </c>
      <c r="I1927" s="58"/>
      <c r="J1927" s="54">
        <f t="shared" si="127"/>
        <v>0</v>
      </c>
      <c r="K1927" s="57"/>
      <c r="L1927" s="54">
        <f t="shared" si="128"/>
        <v>0</v>
      </c>
    </row>
    <row r="1928" spans="1:12" x14ac:dyDescent="0.3">
      <c r="A1928" s="54"/>
      <c r="B1928" s="54"/>
      <c r="C1928" s="54"/>
      <c r="D1928" s="54"/>
      <c r="E1928" s="55"/>
      <c r="F1928" s="57"/>
      <c r="G1928" s="57"/>
      <c r="H1928" s="54">
        <f t="shared" si="126"/>
        <v>0</v>
      </c>
      <c r="I1928" s="58"/>
      <c r="J1928" s="54">
        <f t="shared" si="127"/>
        <v>0</v>
      </c>
      <c r="K1928" s="57"/>
      <c r="L1928" s="54">
        <f t="shared" si="128"/>
        <v>0</v>
      </c>
    </row>
    <row r="1929" spans="1:12" x14ac:dyDescent="0.3">
      <c r="A1929" s="54"/>
      <c r="B1929" s="54"/>
      <c r="C1929" s="54"/>
      <c r="D1929" s="54"/>
      <c r="E1929" s="55"/>
      <c r="F1929" s="57"/>
      <c r="G1929" s="57"/>
      <c r="H1929" s="54">
        <f t="shared" si="126"/>
        <v>0</v>
      </c>
      <c r="I1929" s="58"/>
      <c r="J1929" s="54">
        <f t="shared" si="127"/>
        <v>0</v>
      </c>
      <c r="K1929" s="57"/>
      <c r="L1929" s="54">
        <f t="shared" si="128"/>
        <v>0</v>
      </c>
    </row>
    <row r="1930" spans="1:12" x14ac:dyDescent="0.3">
      <c r="A1930" s="54"/>
      <c r="B1930" s="54"/>
      <c r="C1930" s="54"/>
      <c r="D1930" s="54"/>
      <c r="E1930" s="55"/>
      <c r="F1930" s="57"/>
      <c r="G1930" s="57"/>
      <c r="H1930" s="54">
        <f t="shared" si="126"/>
        <v>0</v>
      </c>
      <c r="I1930" s="58"/>
      <c r="J1930" s="54">
        <f t="shared" si="127"/>
        <v>0</v>
      </c>
      <c r="K1930" s="57"/>
      <c r="L1930" s="54">
        <f t="shared" si="128"/>
        <v>0</v>
      </c>
    </row>
    <row r="1931" spans="1:12" x14ac:dyDescent="0.3">
      <c r="A1931" s="54"/>
      <c r="B1931" s="54"/>
      <c r="C1931" s="54"/>
      <c r="D1931" s="54"/>
      <c r="E1931" s="55"/>
      <c r="F1931" s="57"/>
      <c r="G1931" s="57"/>
      <c r="H1931" s="54">
        <f t="shared" si="126"/>
        <v>0</v>
      </c>
      <c r="I1931" s="58"/>
      <c r="J1931" s="54">
        <f t="shared" si="127"/>
        <v>0</v>
      </c>
      <c r="K1931" s="57"/>
      <c r="L1931" s="54">
        <f t="shared" si="128"/>
        <v>0</v>
      </c>
    </row>
    <row r="1932" spans="1:12" x14ac:dyDescent="0.3">
      <c r="A1932" s="54"/>
      <c r="B1932" s="54"/>
      <c r="C1932" s="54"/>
      <c r="D1932" s="54"/>
      <c r="E1932" s="55"/>
      <c r="F1932" s="57"/>
      <c r="G1932" s="57"/>
      <c r="H1932" s="54">
        <f t="shared" si="126"/>
        <v>0</v>
      </c>
      <c r="I1932" s="58"/>
      <c r="J1932" s="54">
        <f t="shared" si="127"/>
        <v>0</v>
      </c>
      <c r="K1932" s="57"/>
      <c r="L1932" s="54">
        <f t="shared" si="128"/>
        <v>0</v>
      </c>
    </row>
    <row r="1933" spans="1:12" x14ac:dyDescent="0.3">
      <c r="A1933" s="54"/>
      <c r="B1933" s="54"/>
      <c r="C1933" s="54"/>
      <c r="D1933" s="54"/>
      <c r="E1933" s="55"/>
      <c r="F1933" s="57"/>
      <c r="G1933" s="57"/>
      <c r="H1933" s="54">
        <f t="shared" si="126"/>
        <v>0</v>
      </c>
      <c r="I1933" s="58"/>
      <c r="J1933" s="54">
        <f t="shared" si="127"/>
        <v>0</v>
      </c>
      <c r="K1933" s="57"/>
      <c r="L1933" s="54">
        <f t="shared" si="128"/>
        <v>0</v>
      </c>
    </row>
    <row r="1934" spans="1:12" x14ac:dyDescent="0.3">
      <c r="A1934" s="54"/>
      <c r="B1934" s="54"/>
      <c r="C1934" s="54"/>
      <c r="D1934" s="54"/>
      <c r="E1934" s="55"/>
      <c r="F1934" s="57"/>
      <c r="G1934" s="57"/>
      <c r="H1934" s="54">
        <f t="shared" si="126"/>
        <v>0</v>
      </c>
      <c r="I1934" s="58"/>
      <c r="J1934" s="54">
        <f t="shared" si="127"/>
        <v>0</v>
      </c>
      <c r="K1934" s="57"/>
      <c r="L1934" s="54">
        <f t="shared" si="128"/>
        <v>0</v>
      </c>
    </row>
    <row r="1935" spans="1:12" x14ac:dyDescent="0.3">
      <c r="A1935" s="54"/>
      <c r="B1935" s="54"/>
      <c r="C1935" s="54"/>
      <c r="D1935" s="54"/>
      <c r="E1935" s="55"/>
      <c r="F1935" s="57"/>
      <c r="G1935" s="57"/>
      <c r="H1935" s="54">
        <f t="shared" si="126"/>
        <v>0</v>
      </c>
      <c r="I1935" s="58"/>
      <c r="J1935" s="54">
        <f t="shared" si="127"/>
        <v>0</v>
      </c>
      <c r="K1935" s="57"/>
      <c r="L1935" s="54">
        <f t="shared" si="128"/>
        <v>0</v>
      </c>
    </row>
    <row r="1936" spans="1:12" x14ac:dyDescent="0.3">
      <c r="A1936" s="54"/>
      <c r="B1936" s="54"/>
      <c r="C1936" s="54"/>
      <c r="D1936" s="54"/>
      <c r="E1936" s="55"/>
      <c r="F1936" s="57"/>
      <c r="G1936" s="57"/>
      <c r="H1936" s="54">
        <f t="shared" si="126"/>
        <v>0</v>
      </c>
      <c r="I1936" s="58"/>
      <c r="J1936" s="54">
        <f t="shared" si="127"/>
        <v>0</v>
      </c>
      <c r="K1936" s="57"/>
      <c r="L1936" s="54">
        <f t="shared" si="128"/>
        <v>0</v>
      </c>
    </row>
    <row r="1937" spans="1:12" x14ac:dyDescent="0.3">
      <c r="A1937" s="54"/>
      <c r="B1937" s="54"/>
      <c r="C1937" s="54"/>
      <c r="D1937" s="54"/>
      <c r="E1937" s="55"/>
      <c r="F1937" s="57"/>
      <c r="G1937" s="57"/>
      <c r="H1937" s="54">
        <f t="shared" si="126"/>
        <v>0</v>
      </c>
      <c r="I1937" s="58"/>
      <c r="J1937" s="54">
        <f t="shared" si="127"/>
        <v>0</v>
      </c>
      <c r="K1937" s="57"/>
      <c r="L1937" s="54">
        <f t="shared" si="128"/>
        <v>0</v>
      </c>
    </row>
    <row r="1938" spans="1:12" x14ac:dyDescent="0.3">
      <c r="A1938" s="54"/>
      <c r="B1938" s="54"/>
      <c r="C1938" s="54"/>
      <c r="D1938" s="54"/>
      <c r="E1938" s="55"/>
      <c r="F1938" s="57"/>
      <c r="G1938" s="57"/>
      <c r="H1938" s="54">
        <f t="shared" si="126"/>
        <v>0</v>
      </c>
      <c r="I1938" s="58"/>
      <c r="J1938" s="54">
        <f t="shared" si="127"/>
        <v>0</v>
      </c>
      <c r="K1938" s="57"/>
      <c r="L1938" s="54">
        <f t="shared" si="128"/>
        <v>0</v>
      </c>
    </row>
    <row r="1939" spans="1:12" x14ac:dyDescent="0.3">
      <c r="A1939" s="54"/>
      <c r="B1939" s="54"/>
      <c r="C1939" s="54"/>
      <c r="D1939" s="54"/>
      <c r="E1939" s="55"/>
      <c r="F1939" s="57"/>
      <c r="G1939" s="57"/>
      <c r="H1939" s="54">
        <f t="shared" si="126"/>
        <v>0</v>
      </c>
      <c r="I1939" s="58"/>
      <c r="J1939" s="54">
        <f t="shared" si="127"/>
        <v>0</v>
      </c>
      <c r="K1939" s="57"/>
      <c r="L1939" s="54">
        <f t="shared" si="128"/>
        <v>0</v>
      </c>
    </row>
    <row r="1940" spans="1:12" x14ac:dyDescent="0.3">
      <c r="A1940" s="54"/>
      <c r="B1940" s="54"/>
      <c r="C1940" s="54"/>
      <c r="D1940" s="54"/>
      <c r="E1940" s="55"/>
      <c r="F1940" s="57"/>
      <c r="G1940" s="57"/>
      <c r="H1940" s="54">
        <f t="shared" si="126"/>
        <v>0</v>
      </c>
      <c r="I1940" s="58"/>
      <c r="J1940" s="54">
        <f t="shared" si="127"/>
        <v>0</v>
      </c>
      <c r="K1940" s="57"/>
      <c r="L1940" s="54">
        <f t="shared" si="128"/>
        <v>0</v>
      </c>
    </row>
    <row r="1941" spans="1:12" x14ac:dyDescent="0.3">
      <c r="A1941" s="54"/>
      <c r="B1941" s="54"/>
      <c r="C1941" s="54"/>
      <c r="D1941" s="54"/>
      <c r="E1941" s="55"/>
      <c r="F1941" s="57"/>
      <c r="G1941" s="57"/>
      <c r="H1941" s="54">
        <f t="shared" si="126"/>
        <v>0</v>
      </c>
      <c r="I1941" s="58"/>
      <c r="J1941" s="54">
        <f t="shared" si="127"/>
        <v>0</v>
      </c>
      <c r="K1941" s="57"/>
      <c r="L1941" s="54">
        <f t="shared" si="128"/>
        <v>0</v>
      </c>
    </row>
    <row r="1942" spans="1:12" x14ac:dyDescent="0.3">
      <c r="A1942" s="54"/>
      <c r="B1942" s="54"/>
      <c r="C1942" s="54"/>
      <c r="D1942" s="54"/>
      <c r="E1942" s="55"/>
      <c r="F1942" s="57"/>
      <c r="G1942" s="57"/>
      <c r="H1942" s="54">
        <f t="shared" si="126"/>
        <v>0</v>
      </c>
      <c r="I1942" s="58"/>
      <c r="J1942" s="54">
        <f t="shared" si="127"/>
        <v>0</v>
      </c>
      <c r="K1942" s="57"/>
      <c r="L1942" s="54">
        <f t="shared" si="128"/>
        <v>0</v>
      </c>
    </row>
    <row r="1943" spans="1:12" x14ac:dyDescent="0.3">
      <c r="A1943" s="54"/>
      <c r="B1943" s="54"/>
      <c r="C1943" s="54"/>
      <c r="D1943" s="54"/>
      <c r="E1943" s="55"/>
      <c r="F1943" s="57"/>
      <c r="G1943" s="57"/>
      <c r="H1943" s="54">
        <f t="shared" si="126"/>
        <v>0</v>
      </c>
      <c r="I1943" s="58"/>
      <c r="J1943" s="54">
        <f t="shared" si="127"/>
        <v>0</v>
      </c>
      <c r="K1943" s="57"/>
      <c r="L1943" s="54">
        <f t="shared" si="128"/>
        <v>0</v>
      </c>
    </row>
    <row r="1944" spans="1:12" x14ac:dyDescent="0.3">
      <c r="A1944" s="54"/>
      <c r="B1944" s="54"/>
      <c r="C1944" s="54"/>
      <c r="D1944" s="54"/>
      <c r="E1944" s="55"/>
      <c r="F1944" s="57"/>
      <c r="G1944" s="57"/>
      <c r="H1944" s="54">
        <f t="shared" si="126"/>
        <v>0</v>
      </c>
      <c r="I1944" s="58"/>
      <c r="J1944" s="54">
        <f t="shared" si="127"/>
        <v>0</v>
      </c>
      <c r="K1944" s="57"/>
      <c r="L1944" s="54">
        <f t="shared" si="128"/>
        <v>0</v>
      </c>
    </row>
    <row r="1945" spans="1:12" x14ac:dyDescent="0.3">
      <c r="A1945" s="54"/>
      <c r="B1945" s="54"/>
      <c r="C1945" s="54"/>
      <c r="D1945" s="54"/>
      <c r="E1945" s="55"/>
      <c r="F1945" s="57"/>
      <c r="G1945" s="57"/>
      <c r="H1945" s="54">
        <f t="shared" si="126"/>
        <v>0</v>
      </c>
      <c r="I1945" s="58"/>
      <c r="J1945" s="54">
        <f t="shared" si="127"/>
        <v>0</v>
      </c>
      <c r="K1945" s="57"/>
      <c r="L1945" s="54">
        <f t="shared" si="128"/>
        <v>0</v>
      </c>
    </row>
    <row r="1946" spans="1:12" x14ac:dyDescent="0.3">
      <c r="A1946" s="54"/>
      <c r="B1946" s="54"/>
      <c r="C1946" s="54"/>
      <c r="D1946" s="54"/>
      <c r="E1946" s="55"/>
      <c r="F1946" s="57"/>
      <c r="G1946" s="57"/>
      <c r="H1946" s="54">
        <f t="shared" si="126"/>
        <v>0</v>
      </c>
      <c r="I1946" s="58"/>
      <c r="J1946" s="54">
        <f t="shared" si="127"/>
        <v>0</v>
      </c>
      <c r="K1946" s="57"/>
      <c r="L1946" s="54">
        <f t="shared" si="128"/>
        <v>0</v>
      </c>
    </row>
    <row r="1947" spans="1:12" x14ac:dyDescent="0.3">
      <c r="A1947" s="54"/>
      <c r="B1947" s="54"/>
      <c r="C1947" s="54"/>
      <c r="D1947" s="54"/>
      <c r="E1947" s="55"/>
      <c r="F1947" s="57"/>
      <c r="G1947" s="57"/>
      <c r="H1947" s="54">
        <f t="shared" ref="H1947:H2010" si="129">+F1947-G1947</f>
        <v>0</v>
      </c>
      <c r="I1947" s="58"/>
      <c r="J1947" s="54">
        <f t="shared" ref="J1947:J2010" si="130">+H1947-H1947*I1947/100</f>
        <v>0</v>
      </c>
      <c r="K1947" s="57"/>
      <c r="L1947" s="54">
        <f t="shared" ref="L1947:L2010" si="131">+J1947*K1947</f>
        <v>0</v>
      </c>
    </row>
    <row r="1948" spans="1:12" x14ac:dyDescent="0.3">
      <c r="A1948" s="54"/>
      <c r="B1948" s="54"/>
      <c r="C1948" s="54"/>
      <c r="D1948" s="54"/>
      <c r="E1948" s="55"/>
      <c r="F1948" s="57"/>
      <c r="G1948" s="57"/>
      <c r="H1948" s="54">
        <f t="shared" si="129"/>
        <v>0</v>
      </c>
      <c r="I1948" s="58"/>
      <c r="J1948" s="54">
        <f t="shared" si="130"/>
        <v>0</v>
      </c>
      <c r="K1948" s="57"/>
      <c r="L1948" s="54">
        <f t="shared" si="131"/>
        <v>0</v>
      </c>
    </row>
    <row r="1949" spans="1:12" x14ac:dyDescent="0.3">
      <c r="A1949" s="54"/>
      <c r="B1949" s="54"/>
      <c r="C1949" s="54"/>
      <c r="D1949" s="54"/>
      <c r="E1949" s="55"/>
      <c r="F1949" s="57"/>
      <c r="G1949" s="57"/>
      <c r="H1949" s="54">
        <f t="shared" si="129"/>
        <v>0</v>
      </c>
      <c r="I1949" s="58"/>
      <c r="J1949" s="54">
        <f t="shared" si="130"/>
        <v>0</v>
      </c>
      <c r="K1949" s="57"/>
      <c r="L1949" s="54">
        <f t="shared" si="131"/>
        <v>0</v>
      </c>
    </row>
    <row r="1950" spans="1:12" x14ac:dyDescent="0.3">
      <c r="A1950" s="54"/>
      <c r="B1950" s="54"/>
      <c r="C1950" s="54"/>
      <c r="D1950" s="54"/>
      <c r="E1950" s="55"/>
      <c r="F1950" s="57"/>
      <c r="G1950" s="57"/>
      <c r="H1950" s="54">
        <f t="shared" si="129"/>
        <v>0</v>
      </c>
      <c r="I1950" s="58"/>
      <c r="J1950" s="54">
        <f t="shared" si="130"/>
        <v>0</v>
      </c>
      <c r="K1950" s="57"/>
      <c r="L1950" s="54">
        <f t="shared" si="131"/>
        <v>0</v>
      </c>
    </row>
    <row r="1951" spans="1:12" x14ac:dyDescent="0.3">
      <c r="A1951" s="54"/>
      <c r="B1951" s="54"/>
      <c r="C1951" s="54"/>
      <c r="D1951" s="54"/>
      <c r="E1951" s="55"/>
      <c r="F1951" s="57"/>
      <c r="G1951" s="57"/>
      <c r="H1951" s="54">
        <f t="shared" si="129"/>
        <v>0</v>
      </c>
      <c r="I1951" s="58"/>
      <c r="J1951" s="54">
        <f t="shared" si="130"/>
        <v>0</v>
      </c>
      <c r="K1951" s="57"/>
      <c r="L1951" s="54">
        <f t="shared" si="131"/>
        <v>0</v>
      </c>
    </row>
    <row r="1952" spans="1:12" x14ac:dyDescent="0.3">
      <c r="A1952" s="54"/>
      <c r="B1952" s="54"/>
      <c r="C1952" s="54"/>
      <c r="D1952" s="54"/>
      <c r="E1952" s="55"/>
      <c r="F1952" s="57"/>
      <c r="G1952" s="57"/>
      <c r="H1952" s="54">
        <f t="shared" si="129"/>
        <v>0</v>
      </c>
      <c r="I1952" s="58"/>
      <c r="J1952" s="54">
        <f t="shared" si="130"/>
        <v>0</v>
      </c>
      <c r="K1952" s="57"/>
      <c r="L1952" s="54">
        <f t="shared" si="131"/>
        <v>0</v>
      </c>
    </row>
    <row r="1953" spans="1:12" x14ac:dyDescent="0.3">
      <c r="A1953" s="54"/>
      <c r="B1953" s="54"/>
      <c r="C1953" s="54"/>
      <c r="D1953" s="54"/>
      <c r="E1953" s="55"/>
      <c r="F1953" s="57"/>
      <c r="G1953" s="57"/>
      <c r="H1953" s="54">
        <f t="shared" si="129"/>
        <v>0</v>
      </c>
      <c r="I1953" s="58"/>
      <c r="J1953" s="54">
        <f t="shared" si="130"/>
        <v>0</v>
      </c>
      <c r="K1953" s="57"/>
      <c r="L1953" s="54">
        <f t="shared" si="131"/>
        <v>0</v>
      </c>
    </row>
    <row r="1954" spans="1:12" x14ac:dyDescent="0.3">
      <c r="A1954" s="54"/>
      <c r="B1954" s="54"/>
      <c r="C1954" s="54"/>
      <c r="D1954" s="54"/>
      <c r="E1954" s="55"/>
      <c r="F1954" s="57"/>
      <c r="G1954" s="57"/>
      <c r="H1954" s="54">
        <f t="shared" si="129"/>
        <v>0</v>
      </c>
      <c r="I1954" s="58"/>
      <c r="J1954" s="54">
        <f t="shared" si="130"/>
        <v>0</v>
      </c>
      <c r="K1954" s="57"/>
      <c r="L1954" s="54">
        <f t="shared" si="131"/>
        <v>0</v>
      </c>
    </row>
    <row r="1955" spans="1:12" x14ac:dyDescent="0.3">
      <c r="A1955" s="54"/>
      <c r="B1955" s="54"/>
      <c r="C1955" s="54"/>
      <c r="D1955" s="54"/>
      <c r="E1955" s="55"/>
      <c r="F1955" s="57"/>
      <c r="G1955" s="57"/>
      <c r="H1955" s="54">
        <f t="shared" si="129"/>
        <v>0</v>
      </c>
      <c r="I1955" s="58"/>
      <c r="J1955" s="54">
        <f t="shared" si="130"/>
        <v>0</v>
      </c>
      <c r="K1955" s="57"/>
      <c r="L1955" s="54">
        <f t="shared" si="131"/>
        <v>0</v>
      </c>
    </row>
    <row r="1956" spans="1:12" x14ac:dyDescent="0.3">
      <c r="A1956" s="54"/>
      <c r="B1956" s="54"/>
      <c r="C1956" s="54"/>
      <c r="D1956" s="54"/>
      <c r="E1956" s="55"/>
      <c r="F1956" s="57"/>
      <c r="G1956" s="57"/>
      <c r="H1956" s="54">
        <f t="shared" si="129"/>
        <v>0</v>
      </c>
      <c r="I1956" s="58"/>
      <c r="J1956" s="54">
        <f t="shared" si="130"/>
        <v>0</v>
      </c>
      <c r="K1956" s="57"/>
      <c r="L1956" s="54">
        <f t="shared" si="131"/>
        <v>0</v>
      </c>
    </row>
    <row r="1957" spans="1:12" x14ac:dyDescent="0.3">
      <c r="A1957" s="54"/>
      <c r="B1957" s="54"/>
      <c r="C1957" s="54"/>
      <c r="D1957" s="54"/>
      <c r="E1957" s="55"/>
      <c r="F1957" s="57"/>
      <c r="G1957" s="57"/>
      <c r="H1957" s="54">
        <f t="shared" si="129"/>
        <v>0</v>
      </c>
      <c r="I1957" s="58"/>
      <c r="J1957" s="54">
        <f t="shared" si="130"/>
        <v>0</v>
      </c>
      <c r="K1957" s="57"/>
      <c r="L1957" s="54">
        <f t="shared" si="131"/>
        <v>0</v>
      </c>
    </row>
    <row r="1958" spans="1:12" x14ac:dyDescent="0.3">
      <c r="A1958" s="54"/>
      <c r="B1958" s="54"/>
      <c r="C1958" s="54"/>
      <c r="D1958" s="54"/>
      <c r="E1958" s="55"/>
      <c r="F1958" s="57"/>
      <c r="G1958" s="57"/>
      <c r="H1958" s="54">
        <f t="shared" si="129"/>
        <v>0</v>
      </c>
      <c r="I1958" s="58"/>
      <c r="J1958" s="54">
        <f t="shared" si="130"/>
        <v>0</v>
      </c>
      <c r="K1958" s="57"/>
      <c r="L1958" s="54">
        <f t="shared" si="131"/>
        <v>0</v>
      </c>
    </row>
    <row r="1959" spans="1:12" x14ac:dyDescent="0.3">
      <c r="A1959" s="54"/>
      <c r="B1959" s="54"/>
      <c r="C1959" s="54"/>
      <c r="D1959" s="54"/>
      <c r="E1959" s="55"/>
      <c r="F1959" s="57"/>
      <c r="G1959" s="57"/>
      <c r="H1959" s="54">
        <f t="shared" si="129"/>
        <v>0</v>
      </c>
      <c r="I1959" s="58"/>
      <c r="J1959" s="54">
        <f t="shared" si="130"/>
        <v>0</v>
      </c>
      <c r="K1959" s="57"/>
      <c r="L1959" s="54">
        <f t="shared" si="131"/>
        <v>0</v>
      </c>
    </row>
    <row r="1960" spans="1:12" x14ac:dyDescent="0.3">
      <c r="A1960" s="54"/>
      <c r="B1960" s="54"/>
      <c r="C1960" s="54"/>
      <c r="D1960" s="54"/>
      <c r="E1960" s="55"/>
      <c r="F1960" s="57"/>
      <c r="G1960" s="57"/>
      <c r="H1960" s="54">
        <f t="shared" si="129"/>
        <v>0</v>
      </c>
      <c r="I1960" s="58"/>
      <c r="J1960" s="54">
        <f t="shared" si="130"/>
        <v>0</v>
      </c>
      <c r="K1960" s="57"/>
      <c r="L1960" s="54">
        <f t="shared" si="131"/>
        <v>0</v>
      </c>
    </row>
    <row r="1961" spans="1:12" x14ac:dyDescent="0.3">
      <c r="A1961" s="54"/>
      <c r="B1961" s="54"/>
      <c r="C1961" s="54"/>
      <c r="D1961" s="54"/>
      <c r="E1961" s="55"/>
      <c r="F1961" s="57"/>
      <c r="G1961" s="57"/>
      <c r="H1961" s="54">
        <f t="shared" si="129"/>
        <v>0</v>
      </c>
      <c r="I1961" s="58"/>
      <c r="J1961" s="54">
        <f t="shared" si="130"/>
        <v>0</v>
      </c>
      <c r="K1961" s="57"/>
      <c r="L1961" s="54">
        <f t="shared" si="131"/>
        <v>0</v>
      </c>
    </row>
    <row r="1962" spans="1:12" x14ac:dyDescent="0.3">
      <c r="A1962" s="54"/>
      <c r="B1962" s="54"/>
      <c r="C1962" s="54"/>
      <c r="D1962" s="54"/>
      <c r="E1962" s="55"/>
      <c r="F1962" s="57"/>
      <c r="G1962" s="57"/>
      <c r="H1962" s="54">
        <f t="shared" si="129"/>
        <v>0</v>
      </c>
      <c r="I1962" s="58"/>
      <c r="J1962" s="54">
        <f t="shared" si="130"/>
        <v>0</v>
      </c>
      <c r="K1962" s="57"/>
      <c r="L1962" s="54">
        <f t="shared" si="131"/>
        <v>0</v>
      </c>
    </row>
    <row r="1963" spans="1:12" x14ac:dyDescent="0.3">
      <c r="A1963" s="54"/>
      <c r="B1963" s="54"/>
      <c r="C1963" s="54"/>
      <c r="D1963" s="54"/>
      <c r="E1963" s="55"/>
      <c r="F1963" s="57"/>
      <c r="G1963" s="57"/>
      <c r="H1963" s="54">
        <f t="shared" si="129"/>
        <v>0</v>
      </c>
      <c r="I1963" s="58"/>
      <c r="J1963" s="54">
        <f t="shared" si="130"/>
        <v>0</v>
      </c>
      <c r="K1963" s="57"/>
      <c r="L1963" s="54">
        <f t="shared" si="131"/>
        <v>0</v>
      </c>
    </row>
    <row r="1964" spans="1:12" x14ac:dyDescent="0.3">
      <c r="A1964" s="54"/>
      <c r="B1964" s="54"/>
      <c r="C1964" s="54"/>
      <c r="D1964" s="54"/>
      <c r="E1964" s="55"/>
      <c r="F1964" s="57"/>
      <c r="G1964" s="57"/>
      <c r="H1964" s="54">
        <f t="shared" si="129"/>
        <v>0</v>
      </c>
      <c r="I1964" s="58"/>
      <c r="J1964" s="54">
        <f t="shared" si="130"/>
        <v>0</v>
      </c>
      <c r="K1964" s="57"/>
      <c r="L1964" s="54">
        <f t="shared" si="131"/>
        <v>0</v>
      </c>
    </row>
    <row r="1965" spans="1:12" x14ac:dyDescent="0.3">
      <c r="A1965" s="54"/>
      <c r="B1965" s="54"/>
      <c r="C1965" s="54"/>
      <c r="D1965" s="54"/>
      <c r="E1965" s="55"/>
      <c r="F1965" s="57"/>
      <c r="G1965" s="57"/>
      <c r="H1965" s="54">
        <f t="shared" si="129"/>
        <v>0</v>
      </c>
      <c r="I1965" s="58"/>
      <c r="J1965" s="54">
        <f t="shared" si="130"/>
        <v>0</v>
      </c>
      <c r="K1965" s="57"/>
      <c r="L1965" s="54">
        <f t="shared" si="131"/>
        <v>0</v>
      </c>
    </row>
    <row r="1966" spans="1:12" x14ac:dyDescent="0.3">
      <c r="A1966" s="54"/>
      <c r="B1966" s="54"/>
      <c r="C1966" s="54"/>
      <c r="D1966" s="54"/>
      <c r="E1966" s="55"/>
      <c r="F1966" s="57"/>
      <c r="G1966" s="57"/>
      <c r="H1966" s="54">
        <f t="shared" si="129"/>
        <v>0</v>
      </c>
      <c r="I1966" s="58"/>
      <c r="J1966" s="54">
        <f t="shared" si="130"/>
        <v>0</v>
      </c>
      <c r="K1966" s="57"/>
      <c r="L1966" s="54">
        <f t="shared" si="131"/>
        <v>0</v>
      </c>
    </row>
    <row r="1967" spans="1:12" x14ac:dyDescent="0.3">
      <c r="A1967" s="54"/>
      <c r="B1967" s="54"/>
      <c r="C1967" s="54"/>
      <c r="D1967" s="54"/>
      <c r="E1967" s="55"/>
      <c r="F1967" s="57"/>
      <c r="G1967" s="57"/>
      <c r="H1967" s="54">
        <f t="shared" si="129"/>
        <v>0</v>
      </c>
      <c r="I1967" s="58"/>
      <c r="J1967" s="54">
        <f t="shared" si="130"/>
        <v>0</v>
      </c>
      <c r="K1967" s="57"/>
      <c r="L1967" s="54">
        <f t="shared" si="131"/>
        <v>0</v>
      </c>
    </row>
    <row r="1968" spans="1:12" x14ac:dyDescent="0.3">
      <c r="A1968" s="54"/>
      <c r="B1968" s="54"/>
      <c r="C1968" s="54"/>
      <c r="D1968" s="54"/>
      <c r="E1968" s="55"/>
      <c r="F1968" s="57"/>
      <c r="G1968" s="57"/>
      <c r="H1968" s="54">
        <f t="shared" si="129"/>
        <v>0</v>
      </c>
      <c r="I1968" s="58"/>
      <c r="J1968" s="54">
        <f t="shared" si="130"/>
        <v>0</v>
      </c>
      <c r="K1968" s="57"/>
      <c r="L1968" s="54">
        <f t="shared" si="131"/>
        <v>0</v>
      </c>
    </row>
    <row r="1969" spans="1:12" x14ac:dyDescent="0.3">
      <c r="A1969" s="54"/>
      <c r="B1969" s="54"/>
      <c r="C1969" s="54"/>
      <c r="D1969" s="54"/>
      <c r="E1969" s="55"/>
      <c r="F1969" s="57"/>
      <c r="G1969" s="57"/>
      <c r="H1969" s="54">
        <f t="shared" si="129"/>
        <v>0</v>
      </c>
      <c r="I1969" s="58"/>
      <c r="J1969" s="54">
        <f t="shared" si="130"/>
        <v>0</v>
      </c>
      <c r="K1969" s="57"/>
      <c r="L1969" s="54">
        <f t="shared" si="131"/>
        <v>0</v>
      </c>
    </row>
    <row r="1970" spans="1:12" x14ac:dyDescent="0.3">
      <c r="A1970" s="54"/>
      <c r="B1970" s="54"/>
      <c r="C1970" s="54"/>
      <c r="D1970" s="54"/>
      <c r="E1970" s="55"/>
      <c r="F1970" s="57"/>
      <c r="G1970" s="57"/>
      <c r="H1970" s="54">
        <f t="shared" si="129"/>
        <v>0</v>
      </c>
      <c r="I1970" s="58"/>
      <c r="J1970" s="54">
        <f t="shared" si="130"/>
        <v>0</v>
      </c>
      <c r="K1970" s="57"/>
      <c r="L1970" s="54">
        <f t="shared" si="131"/>
        <v>0</v>
      </c>
    </row>
    <row r="1971" spans="1:12" x14ac:dyDescent="0.3">
      <c r="A1971" s="54"/>
      <c r="B1971" s="54"/>
      <c r="C1971" s="54"/>
      <c r="D1971" s="54"/>
      <c r="E1971" s="55"/>
      <c r="F1971" s="57"/>
      <c r="G1971" s="57"/>
      <c r="H1971" s="54">
        <f t="shared" si="129"/>
        <v>0</v>
      </c>
      <c r="I1971" s="58"/>
      <c r="J1971" s="54">
        <f t="shared" si="130"/>
        <v>0</v>
      </c>
      <c r="K1971" s="57"/>
      <c r="L1971" s="54">
        <f t="shared" si="131"/>
        <v>0</v>
      </c>
    </row>
    <row r="1972" spans="1:12" x14ac:dyDescent="0.3">
      <c r="A1972" s="54"/>
      <c r="B1972" s="54"/>
      <c r="C1972" s="54"/>
      <c r="D1972" s="54"/>
      <c r="E1972" s="55"/>
      <c r="F1972" s="57"/>
      <c r="G1972" s="57"/>
      <c r="H1972" s="54">
        <f t="shared" si="129"/>
        <v>0</v>
      </c>
      <c r="I1972" s="58"/>
      <c r="J1972" s="54">
        <f t="shared" si="130"/>
        <v>0</v>
      </c>
      <c r="K1972" s="57"/>
      <c r="L1972" s="54">
        <f t="shared" si="131"/>
        <v>0</v>
      </c>
    </row>
    <row r="1973" spans="1:12" x14ac:dyDescent="0.3">
      <c r="A1973" s="54"/>
      <c r="B1973" s="54"/>
      <c r="C1973" s="54"/>
      <c r="D1973" s="54"/>
      <c r="E1973" s="55"/>
      <c r="F1973" s="57"/>
      <c r="G1973" s="57"/>
      <c r="H1973" s="54">
        <f t="shared" si="129"/>
        <v>0</v>
      </c>
      <c r="I1973" s="58"/>
      <c r="J1973" s="54">
        <f t="shared" si="130"/>
        <v>0</v>
      </c>
      <c r="K1973" s="57"/>
      <c r="L1973" s="54">
        <f t="shared" si="131"/>
        <v>0</v>
      </c>
    </row>
    <row r="1974" spans="1:12" x14ac:dyDescent="0.3">
      <c r="A1974" s="54"/>
      <c r="B1974" s="54"/>
      <c r="C1974" s="54"/>
      <c r="D1974" s="54"/>
      <c r="E1974" s="55"/>
      <c r="F1974" s="57"/>
      <c r="G1974" s="57"/>
      <c r="H1974" s="54">
        <f t="shared" si="129"/>
        <v>0</v>
      </c>
      <c r="I1974" s="58"/>
      <c r="J1974" s="54">
        <f t="shared" si="130"/>
        <v>0</v>
      </c>
      <c r="K1974" s="57"/>
      <c r="L1974" s="54">
        <f t="shared" si="131"/>
        <v>0</v>
      </c>
    </row>
    <row r="1975" spans="1:12" x14ac:dyDescent="0.3">
      <c r="A1975" s="54"/>
      <c r="B1975" s="54"/>
      <c r="C1975" s="54"/>
      <c r="D1975" s="54"/>
      <c r="E1975" s="55"/>
      <c r="F1975" s="57"/>
      <c r="G1975" s="57"/>
      <c r="H1975" s="54">
        <f t="shared" si="129"/>
        <v>0</v>
      </c>
      <c r="I1975" s="58"/>
      <c r="J1975" s="54">
        <f t="shared" si="130"/>
        <v>0</v>
      </c>
      <c r="K1975" s="57"/>
      <c r="L1975" s="54">
        <f t="shared" si="131"/>
        <v>0</v>
      </c>
    </row>
    <row r="1976" spans="1:12" x14ac:dyDescent="0.3">
      <c r="A1976" s="54"/>
      <c r="B1976" s="54"/>
      <c r="C1976" s="54"/>
      <c r="D1976" s="54"/>
      <c r="E1976" s="55"/>
      <c r="F1976" s="57"/>
      <c r="G1976" s="57"/>
      <c r="H1976" s="54">
        <f t="shared" si="129"/>
        <v>0</v>
      </c>
      <c r="I1976" s="58"/>
      <c r="J1976" s="54">
        <f t="shared" si="130"/>
        <v>0</v>
      </c>
      <c r="K1976" s="57"/>
      <c r="L1976" s="54">
        <f t="shared" si="131"/>
        <v>0</v>
      </c>
    </row>
    <row r="1977" spans="1:12" x14ac:dyDescent="0.3">
      <c r="A1977" s="54"/>
      <c r="B1977" s="54"/>
      <c r="C1977" s="54"/>
      <c r="D1977" s="54"/>
      <c r="E1977" s="55"/>
      <c r="F1977" s="57"/>
      <c r="G1977" s="57"/>
      <c r="H1977" s="54">
        <f t="shared" si="129"/>
        <v>0</v>
      </c>
      <c r="I1977" s="58"/>
      <c r="J1977" s="54">
        <f t="shared" si="130"/>
        <v>0</v>
      </c>
      <c r="K1977" s="57"/>
      <c r="L1977" s="54">
        <f t="shared" si="131"/>
        <v>0</v>
      </c>
    </row>
    <row r="1978" spans="1:12" x14ac:dyDescent="0.3">
      <c r="A1978" s="54"/>
      <c r="B1978" s="54"/>
      <c r="C1978" s="54"/>
      <c r="D1978" s="54"/>
      <c r="E1978" s="55"/>
      <c r="F1978" s="57"/>
      <c r="G1978" s="57"/>
      <c r="H1978" s="54">
        <f t="shared" si="129"/>
        <v>0</v>
      </c>
      <c r="I1978" s="58"/>
      <c r="J1978" s="54">
        <f t="shared" si="130"/>
        <v>0</v>
      </c>
      <c r="K1978" s="57"/>
      <c r="L1978" s="54">
        <f t="shared" si="131"/>
        <v>0</v>
      </c>
    </row>
    <row r="1979" spans="1:12" x14ac:dyDescent="0.3">
      <c r="A1979" s="54"/>
      <c r="B1979" s="54"/>
      <c r="C1979" s="54"/>
      <c r="D1979" s="54"/>
      <c r="E1979" s="55"/>
      <c r="F1979" s="57"/>
      <c r="G1979" s="57"/>
      <c r="H1979" s="54">
        <f t="shared" si="129"/>
        <v>0</v>
      </c>
      <c r="I1979" s="58"/>
      <c r="J1979" s="54">
        <f t="shared" si="130"/>
        <v>0</v>
      </c>
      <c r="K1979" s="57"/>
      <c r="L1979" s="54">
        <f t="shared" si="131"/>
        <v>0</v>
      </c>
    </row>
    <row r="1980" spans="1:12" x14ac:dyDescent="0.3">
      <c r="A1980" s="54"/>
      <c r="B1980" s="54"/>
      <c r="C1980" s="54"/>
      <c r="D1980" s="54"/>
      <c r="E1980" s="55"/>
      <c r="F1980" s="57"/>
      <c r="G1980" s="57"/>
      <c r="H1980" s="54">
        <f t="shared" si="129"/>
        <v>0</v>
      </c>
      <c r="I1980" s="58"/>
      <c r="J1980" s="54">
        <f t="shared" si="130"/>
        <v>0</v>
      </c>
      <c r="K1980" s="57"/>
      <c r="L1980" s="54">
        <f t="shared" si="131"/>
        <v>0</v>
      </c>
    </row>
    <row r="1981" spans="1:12" x14ac:dyDescent="0.3">
      <c r="A1981" s="54"/>
      <c r="B1981" s="54"/>
      <c r="C1981" s="54"/>
      <c r="D1981" s="54"/>
      <c r="E1981" s="55"/>
      <c r="F1981" s="57"/>
      <c r="G1981" s="57"/>
      <c r="H1981" s="54">
        <f t="shared" si="129"/>
        <v>0</v>
      </c>
      <c r="I1981" s="58"/>
      <c r="J1981" s="54">
        <f t="shared" si="130"/>
        <v>0</v>
      </c>
      <c r="K1981" s="57"/>
      <c r="L1981" s="54">
        <f t="shared" si="131"/>
        <v>0</v>
      </c>
    </row>
    <row r="1982" spans="1:12" x14ac:dyDescent="0.3">
      <c r="A1982" s="54"/>
      <c r="B1982" s="54"/>
      <c r="C1982" s="54"/>
      <c r="D1982" s="54"/>
      <c r="E1982" s="55"/>
      <c r="F1982" s="57"/>
      <c r="G1982" s="57"/>
      <c r="H1982" s="54">
        <f t="shared" si="129"/>
        <v>0</v>
      </c>
      <c r="I1982" s="58"/>
      <c r="J1982" s="54">
        <f t="shared" si="130"/>
        <v>0</v>
      </c>
      <c r="K1982" s="57"/>
      <c r="L1982" s="54">
        <f t="shared" si="131"/>
        <v>0</v>
      </c>
    </row>
    <row r="1983" spans="1:12" x14ac:dyDescent="0.3">
      <c r="A1983" s="54"/>
      <c r="B1983" s="54"/>
      <c r="C1983" s="54"/>
      <c r="D1983" s="54"/>
      <c r="E1983" s="55"/>
      <c r="F1983" s="57"/>
      <c r="G1983" s="57"/>
      <c r="H1983" s="54">
        <f t="shared" si="129"/>
        <v>0</v>
      </c>
      <c r="I1983" s="58"/>
      <c r="J1983" s="54">
        <f t="shared" si="130"/>
        <v>0</v>
      </c>
      <c r="K1983" s="57"/>
      <c r="L1983" s="54">
        <f t="shared" si="131"/>
        <v>0</v>
      </c>
    </row>
    <row r="1984" spans="1:12" x14ac:dyDescent="0.3">
      <c r="A1984" s="54"/>
      <c r="B1984" s="54"/>
      <c r="C1984" s="54"/>
      <c r="D1984" s="54"/>
      <c r="E1984" s="55"/>
      <c r="F1984" s="57"/>
      <c r="G1984" s="57"/>
      <c r="H1984" s="54">
        <f t="shared" si="129"/>
        <v>0</v>
      </c>
      <c r="I1984" s="58"/>
      <c r="J1984" s="54">
        <f t="shared" si="130"/>
        <v>0</v>
      </c>
      <c r="K1984" s="57"/>
      <c r="L1984" s="54">
        <f t="shared" si="131"/>
        <v>0</v>
      </c>
    </row>
    <row r="1985" spans="1:12" x14ac:dyDescent="0.3">
      <c r="A1985" s="54"/>
      <c r="B1985" s="54"/>
      <c r="C1985" s="54"/>
      <c r="D1985" s="54"/>
      <c r="E1985" s="55"/>
      <c r="F1985" s="57"/>
      <c r="G1985" s="57"/>
      <c r="H1985" s="54">
        <f t="shared" si="129"/>
        <v>0</v>
      </c>
      <c r="I1985" s="58"/>
      <c r="J1985" s="54">
        <f t="shared" si="130"/>
        <v>0</v>
      </c>
      <c r="K1985" s="57"/>
      <c r="L1985" s="54">
        <f t="shared" si="131"/>
        <v>0</v>
      </c>
    </row>
    <row r="1986" spans="1:12" x14ac:dyDescent="0.3">
      <c r="A1986" s="54"/>
      <c r="B1986" s="54"/>
      <c r="C1986" s="54"/>
      <c r="D1986" s="54"/>
      <c r="E1986" s="55"/>
      <c r="F1986" s="57"/>
      <c r="G1986" s="57"/>
      <c r="H1986" s="54">
        <f t="shared" si="129"/>
        <v>0</v>
      </c>
      <c r="I1986" s="58"/>
      <c r="J1986" s="54">
        <f t="shared" si="130"/>
        <v>0</v>
      </c>
      <c r="K1986" s="57"/>
      <c r="L1986" s="54">
        <f t="shared" si="131"/>
        <v>0</v>
      </c>
    </row>
    <row r="1987" spans="1:12" x14ac:dyDescent="0.3">
      <c r="A1987" s="54"/>
      <c r="B1987" s="54"/>
      <c r="C1987" s="54"/>
      <c r="D1987" s="54"/>
      <c r="E1987" s="55"/>
      <c r="F1987" s="57"/>
      <c r="G1987" s="57"/>
      <c r="H1987" s="54">
        <f t="shared" si="129"/>
        <v>0</v>
      </c>
      <c r="I1987" s="58"/>
      <c r="J1987" s="54">
        <f t="shared" si="130"/>
        <v>0</v>
      </c>
      <c r="K1987" s="57"/>
      <c r="L1987" s="54">
        <f t="shared" si="131"/>
        <v>0</v>
      </c>
    </row>
    <row r="1988" spans="1:12" x14ac:dyDescent="0.3">
      <c r="A1988" s="54"/>
      <c r="B1988" s="54"/>
      <c r="C1988" s="54"/>
      <c r="D1988" s="54"/>
      <c r="E1988" s="55"/>
      <c r="F1988" s="57"/>
      <c r="G1988" s="57"/>
      <c r="H1988" s="54">
        <f t="shared" si="129"/>
        <v>0</v>
      </c>
      <c r="I1988" s="58"/>
      <c r="J1988" s="54">
        <f t="shared" si="130"/>
        <v>0</v>
      </c>
      <c r="K1988" s="57"/>
      <c r="L1988" s="54">
        <f t="shared" si="131"/>
        <v>0</v>
      </c>
    </row>
    <row r="1989" spans="1:12" x14ac:dyDescent="0.3">
      <c r="A1989" s="54"/>
      <c r="B1989" s="54"/>
      <c r="C1989" s="54"/>
      <c r="D1989" s="54"/>
      <c r="E1989" s="55"/>
      <c r="F1989" s="57"/>
      <c r="G1989" s="57"/>
      <c r="H1989" s="54">
        <f t="shared" si="129"/>
        <v>0</v>
      </c>
      <c r="I1989" s="58"/>
      <c r="J1989" s="54">
        <f t="shared" si="130"/>
        <v>0</v>
      </c>
      <c r="K1989" s="57"/>
      <c r="L1989" s="54">
        <f t="shared" si="131"/>
        <v>0</v>
      </c>
    </row>
    <row r="1990" spans="1:12" x14ac:dyDescent="0.3">
      <c r="A1990" s="54"/>
      <c r="B1990" s="54"/>
      <c r="C1990" s="54"/>
      <c r="D1990" s="54"/>
      <c r="E1990" s="55"/>
      <c r="F1990" s="57"/>
      <c r="G1990" s="57"/>
      <c r="H1990" s="54">
        <f t="shared" si="129"/>
        <v>0</v>
      </c>
      <c r="I1990" s="58"/>
      <c r="J1990" s="54">
        <f t="shared" si="130"/>
        <v>0</v>
      </c>
      <c r="K1990" s="57"/>
      <c r="L1990" s="54">
        <f t="shared" si="131"/>
        <v>0</v>
      </c>
    </row>
    <row r="1991" spans="1:12" x14ac:dyDescent="0.3">
      <c r="A1991" s="54"/>
      <c r="B1991" s="54"/>
      <c r="C1991" s="54"/>
      <c r="D1991" s="54"/>
      <c r="E1991" s="55"/>
      <c r="F1991" s="57"/>
      <c r="G1991" s="57"/>
      <c r="H1991" s="54">
        <f t="shared" si="129"/>
        <v>0</v>
      </c>
      <c r="I1991" s="58"/>
      <c r="J1991" s="54">
        <f t="shared" si="130"/>
        <v>0</v>
      </c>
      <c r="K1991" s="57"/>
      <c r="L1991" s="54">
        <f t="shared" si="131"/>
        <v>0</v>
      </c>
    </row>
    <row r="1992" spans="1:12" x14ac:dyDescent="0.3">
      <c r="A1992" s="54"/>
      <c r="B1992" s="54"/>
      <c r="C1992" s="54"/>
      <c r="D1992" s="54"/>
      <c r="E1992" s="55"/>
      <c r="F1992" s="57"/>
      <c r="G1992" s="57"/>
      <c r="H1992" s="54">
        <f t="shared" si="129"/>
        <v>0</v>
      </c>
      <c r="I1992" s="58"/>
      <c r="J1992" s="54">
        <f t="shared" si="130"/>
        <v>0</v>
      </c>
      <c r="K1992" s="57"/>
      <c r="L1992" s="54">
        <f t="shared" si="131"/>
        <v>0</v>
      </c>
    </row>
    <row r="1993" spans="1:12" x14ac:dyDescent="0.3">
      <c r="A1993" s="54"/>
      <c r="B1993" s="54"/>
      <c r="C1993" s="54"/>
      <c r="D1993" s="54"/>
      <c r="E1993" s="55"/>
      <c r="F1993" s="57"/>
      <c r="G1993" s="57"/>
      <c r="H1993" s="54">
        <f t="shared" si="129"/>
        <v>0</v>
      </c>
      <c r="I1993" s="58"/>
      <c r="J1993" s="54">
        <f t="shared" si="130"/>
        <v>0</v>
      </c>
      <c r="K1993" s="57"/>
      <c r="L1993" s="54">
        <f t="shared" si="131"/>
        <v>0</v>
      </c>
    </row>
    <row r="1994" spans="1:12" x14ac:dyDescent="0.3">
      <c r="A1994" s="54"/>
      <c r="B1994" s="54"/>
      <c r="C1994" s="54"/>
      <c r="D1994" s="54"/>
      <c r="E1994" s="55"/>
      <c r="F1994" s="57"/>
      <c r="G1994" s="57"/>
      <c r="H1994" s="54">
        <f t="shared" si="129"/>
        <v>0</v>
      </c>
      <c r="I1994" s="58"/>
      <c r="J1994" s="54">
        <f t="shared" si="130"/>
        <v>0</v>
      </c>
      <c r="K1994" s="57"/>
      <c r="L1994" s="54">
        <f t="shared" si="131"/>
        <v>0</v>
      </c>
    </row>
    <row r="1995" spans="1:12" x14ac:dyDescent="0.3">
      <c r="A1995" s="54"/>
      <c r="B1995" s="54"/>
      <c r="C1995" s="54"/>
      <c r="D1995" s="54"/>
      <c r="E1995" s="55"/>
      <c r="F1995" s="57"/>
      <c r="G1995" s="57"/>
      <c r="H1995" s="54">
        <f t="shared" si="129"/>
        <v>0</v>
      </c>
      <c r="I1995" s="58"/>
      <c r="J1995" s="54">
        <f t="shared" si="130"/>
        <v>0</v>
      </c>
      <c r="K1995" s="57"/>
      <c r="L1995" s="54">
        <f t="shared" si="131"/>
        <v>0</v>
      </c>
    </row>
    <row r="1996" spans="1:12" x14ac:dyDescent="0.3">
      <c r="A1996" s="54"/>
      <c r="B1996" s="54"/>
      <c r="C1996" s="54"/>
      <c r="D1996" s="54"/>
      <c r="E1996" s="55"/>
      <c r="F1996" s="57"/>
      <c r="G1996" s="57"/>
      <c r="H1996" s="54">
        <f t="shared" si="129"/>
        <v>0</v>
      </c>
      <c r="I1996" s="58"/>
      <c r="J1996" s="54">
        <f t="shared" si="130"/>
        <v>0</v>
      </c>
      <c r="K1996" s="57"/>
      <c r="L1996" s="54">
        <f t="shared" si="131"/>
        <v>0</v>
      </c>
    </row>
    <row r="1997" spans="1:12" x14ac:dyDescent="0.3">
      <c r="A1997" s="54"/>
      <c r="B1997" s="54"/>
      <c r="C1997" s="54"/>
      <c r="D1997" s="54"/>
      <c r="E1997" s="55"/>
      <c r="F1997" s="57"/>
      <c r="G1997" s="57"/>
      <c r="H1997" s="54">
        <f t="shared" si="129"/>
        <v>0</v>
      </c>
      <c r="I1997" s="58"/>
      <c r="J1997" s="54">
        <f t="shared" si="130"/>
        <v>0</v>
      </c>
      <c r="K1997" s="57"/>
      <c r="L1997" s="54">
        <f t="shared" si="131"/>
        <v>0</v>
      </c>
    </row>
    <row r="1998" spans="1:12" x14ac:dyDescent="0.3">
      <c r="A1998" s="54"/>
      <c r="B1998" s="54"/>
      <c r="C1998" s="54"/>
      <c r="D1998" s="54"/>
      <c r="E1998" s="55"/>
      <c r="F1998" s="57"/>
      <c r="G1998" s="57"/>
      <c r="H1998" s="54">
        <f t="shared" si="129"/>
        <v>0</v>
      </c>
      <c r="I1998" s="58"/>
      <c r="J1998" s="54">
        <f t="shared" si="130"/>
        <v>0</v>
      </c>
      <c r="K1998" s="57"/>
      <c r="L1998" s="54">
        <f t="shared" si="131"/>
        <v>0</v>
      </c>
    </row>
    <row r="1999" spans="1:12" x14ac:dyDescent="0.3">
      <c r="A1999" s="54"/>
      <c r="B1999" s="54"/>
      <c r="C1999" s="54"/>
      <c r="D1999" s="54"/>
      <c r="E1999" s="55"/>
      <c r="F1999" s="57"/>
      <c r="G1999" s="57"/>
      <c r="H1999" s="54">
        <f t="shared" si="129"/>
        <v>0</v>
      </c>
      <c r="I1999" s="58"/>
      <c r="J1999" s="54">
        <f t="shared" si="130"/>
        <v>0</v>
      </c>
      <c r="K1999" s="57"/>
      <c r="L1999" s="54">
        <f t="shared" si="131"/>
        <v>0</v>
      </c>
    </row>
    <row r="2000" spans="1:12" x14ac:dyDescent="0.3">
      <c r="A2000" s="54"/>
      <c r="B2000" s="54"/>
      <c r="C2000" s="54"/>
      <c r="D2000" s="54"/>
      <c r="E2000" s="55"/>
      <c r="F2000" s="57"/>
      <c r="G2000" s="57"/>
      <c r="H2000" s="54">
        <f t="shared" si="129"/>
        <v>0</v>
      </c>
      <c r="I2000" s="58"/>
      <c r="J2000" s="54">
        <f t="shared" si="130"/>
        <v>0</v>
      </c>
      <c r="K2000" s="57"/>
      <c r="L2000" s="54">
        <f t="shared" si="131"/>
        <v>0</v>
      </c>
    </row>
    <row r="2001" spans="1:12" x14ac:dyDescent="0.3">
      <c r="A2001" s="54"/>
      <c r="B2001" s="54"/>
      <c r="C2001" s="54"/>
      <c r="D2001" s="54"/>
      <c r="E2001" s="55"/>
      <c r="F2001" s="57"/>
      <c r="G2001" s="57"/>
      <c r="H2001" s="54">
        <f t="shared" si="129"/>
        <v>0</v>
      </c>
      <c r="I2001" s="58"/>
      <c r="J2001" s="54">
        <f t="shared" si="130"/>
        <v>0</v>
      </c>
      <c r="K2001" s="57"/>
      <c r="L2001" s="54">
        <f t="shared" si="131"/>
        <v>0</v>
      </c>
    </row>
    <row r="2002" spans="1:12" x14ac:dyDescent="0.3">
      <c r="A2002" s="54"/>
      <c r="B2002" s="54"/>
      <c r="C2002" s="54"/>
      <c r="D2002" s="54"/>
      <c r="E2002" s="55"/>
      <c r="F2002" s="57"/>
      <c r="G2002" s="57"/>
      <c r="H2002" s="54">
        <f t="shared" si="129"/>
        <v>0</v>
      </c>
      <c r="I2002" s="58"/>
      <c r="J2002" s="54">
        <f t="shared" si="130"/>
        <v>0</v>
      </c>
      <c r="K2002" s="57"/>
      <c r="L2002" s="54">
        <f t="shared" si="131"/>
        <v>0</v>
      </c>
    </row>
    <row r="2003" spans="1:12" x14ac:dyDescent="0.3">
      <c r="A2003" s="54"/>
      <c r="B2003" s="54"/>
      <c r="C2003" s="54"/>
      <c r="D2003" s="54"/>
      <c r="E2003" s="55"/>
      <c r="F2003" s="57"/>
      <c r="G2003" s="57"/>
      <c r="H2003" s="54">
        <f t="shared" si="129"/>
        <v>0</v>
      </c>
      <c r="I2003" s="58"/>
      <c r="J2003" s="54">
        <f t="shared" si="130"/>
        <v>0</v>
      </c>
      <c r="K2003" s="57"/>
      <c r="L2003" s="54">
        <f t="shared" si="131"/>
        <v>0</v>
      </c>
    </row>
    <row r="2004" spans="1:12" x14ac:dyDescent="0.3">
      <c r="A2004" s="54"/>
      <c r="B2004" s="54"/>
      <c r="C2004" s="54"/>
      <c r="D2004" s="54"/>
      <c r="E2004" s="55"/>
      <c r="F2004" s="57"/>
      <c r="G2004" s="57"/>
      <c r="H2004" s="54">
        <f t="shared" si="129"/>
        <v>0</v>
      </c>
      <c r="I2004" s="58"/>
      <c r="J2004" s="54">
        <f t="shared" si="130"/>
        <v>0</v>
      </c>
      <c r="K2004" s="57"/>
      <c r="L2004" s="54">
        <f t="shared" si="131"/>
        <v>0</v>
      </c>
    </row>
    <row r="2005" spans="1:12" x14ac:dyDescent="0.3">
      <c r="A2005" s="54"/>
      <c r="B2005" s="54"/>
      <c r="C2005" s="54"/>
      <c r="D2005" s="54"/>
      <c r="E2005" s="55"/>
      <c r="F2005" s="57"/>
      <c r="G2005" s="57"/>
      <c r="H2005" s="54">
        <f t="shared" si="129"/>
        <v>0</v>
      </c>
      <c r="I2005" s="58"/>
      <c r="J2005" s="54">
        <f t="shared" si="130"/>
        <v>0</v>
      </c>
      <c r="K2005" s="57"/>
      <c r="L2005" s="54">
        <f t="shared" si="131"/>
        <v>0</v>
      </c>
    </row>
    <row r="2006" spans="1:12" x14ac:dyDescent="0.3">
      <c r="A2006" s="54"/>
      <c r="B2006" s="54"/>
      <c r="C2006" s="54"/>
      <c r="D2006" s="54"/>
      <c r="E2006" s="55"/>
      <c r="F2006" s="57"/>
      <c r="G2006" s="57"/>
      <c r="H2006" s="54">
        <f t="shared" si="129"/>
        <v>0</v>
      </c>
      <c r="I2006" s="58"/>
      <c r="J2006" s="54">
        <f t="shared" si="130"/>
        <v>0</v>
      </c>
      <c r="K2006" s="57"/>
      <c r="L2006" s="54">
        <f t="shared" si="131"/>
        <v>0</v>
      </c>
    </row>
    <row r="2007" spans="1:12" x14ac:dyDescent="0.3">
      <c r="A2007" s="54"/>
      <c r="B2007" s="54"/>
      <c r="C2007" s="54"/>
      <c r="D2007" s="54"/>
      <c r="E2007" s="55"/>
      <c r="F2007" s="57"/>
      <c r="G2007" s="57"/>
      <c r="H2007" s="54">
        <f t="shared" si="129"/>
        <v>0</v>
      </c>
      <c r="I2007" s="58"/>
      <c r="J2007" s="54">
        <f t="shared" si="130"/>
        <v>0</v>
      </c>
      <c r="K2007" s="57"/>
      <c r="L2007" s="54">
        <f t="shared" si="131"/>
        <v>0</v>
      </c>
    </row>
    <row r="2008" spans="1:12" x14ac:dyDescent="0.3">
      <c r="A2008" s="54"/>
      <c r="B2008" s="54"/>
      <c r="C2008" s="54"/>
      <c r="D2008" s="54"/>
      <c r="E2008" s="55"/>
      <c r="F2008" s="57"/>
      <c r="G2008" s="57"/>
      <c r="H2008" s="54">
        <f t="shared" si="129"/>
        <v>0</v>
      </c>
      <c r="I2008" s="58"/>
      <c r="J2008" s="54">
        <f t="shared" si="130"/>
        <v>0</v>
      </c>
      <c r="K2008" s="57"/>
      <c r="L2008" s="54">
        <f t="shared" si="131"/>
        <v>0</v>
      </c>
    </row>
    <row r="2009" spans="1:12" x14ac:dyDescent="0.3">
      <c r="A2009" s="54"/>
      <c r="B2009" s="54"/>
      <c r="C2009" s="54"/>
      <c r="D2009" s="54"/>
      <c r="E2009" s="55"/>
      <c r="F2009" s="57"/>
      <c r="G2009" s="57"/>
      <c r="H2009" s="54">
        <f t="shared" si="129"/>
        <v>0</v>
      </c>
      <c r="I2009" s="58"/>
      <c r="J2009" s="54">
        <f t="shared" si="130"/>
        <v>0</v>
      </c>
      <c r="K2009" s="57"/>
      <c r="L2009" s="54">
        <f t="shared" si="131"/>
        <v>0</v>
      </c>
    </row>
    <row r="2010" spans="1:12" x14ac:dyDescent="0.3">
      <c r="A2010" s="54"/>
      <c r="B2010" s="54"/>
      <c r="C2010" s="54"/>
      <c r="D2010" s="54"/>
      <c r="E2010" s="55"/>
      <c r="F2010" s="57"/>
      <c r="G2010" s="57"/>
      <c r="H2010" s="54">
        <f t="shared" si="129"/>
        <v>0</v>
      </c>
      <c r="I2010" s="58"/>
      <c r="J2010" s="54">
        <f t="shared" si="130"/>
        <v>0</v>
      </c>
      <c r="K2010" s="57"/>
      <c r="L2010" s="54">
        <f t="shared" si="131"/>
        <v>0</v>
      </c>
    </row>
    <row r="2011" spans="1:12" x14ac:dyDescent="0.3">
      <c r="A2011" s="54"/>
      <c r="B2011" s="54"/>
      <c r="C2011" s="54"/>
      <c r="D2011" s="54"/>
      <c r="E2011" s="55"/>
      <c r="F2011" s="57"/>
      <c r="G2011" s="57"/>
      <c r="H2011" s="54">
        <f t="shared" ref="H2011:H2074" si="132">+F2011-G2011</f>
        <v>0</v>
      </c>
      <c r="I2011" s="58"/>
      <c r="J2011" s="54">
        <f t="shared" ref="J2011:J2074" si="133">+H2011-H2011*I2011/100</f>
        <v>0</v>
      </c>
      <c r="K2011" s="57"/>
      <c r="L2011" s="54">
        <f t="shared" ref="L2011:L2074" si="134">+J2011*K2011</f>
        <v>0</v>
      </c>
    </row>
    <row r="2012" spans="1:12" x14ac:dyDescent="0.3">
      <c r="A2012" s="54"/>
      <c r="B2012" s="54"/>
      <c r="C2012" s="54"/>
      <c r="D2012" s="54"/>
      <c r="E2012" s="55"/>
      <c r="F2012" s="57"/>
      <c r="G2012" s="57"/>
      <c r="H2012" s="54">
        <f t="shared" si="132"/>
        <v>0</v>
      </c>
      <c r="I2012" s="58"/>
      <c r="J2012" s="54">
        <f t="shared" si="133"/>
        <v>0</v>
      </c>
      <c r="K2012" s="57"/>
      <c r="L2012" s="54">
        <f t="shared" si="134"/>
        <v>0</v>
      </c>
    </row>
    <row r="2013" spans="1:12" x14ac:dyDescent="0.3">
      <c r="A2013" s="54"/>
      <c r="B2013" s="54"/>
      <c r="C2013" s="54"/>
      <c r="D2013" s="54"/>
      <c r="E2013" s="55"/>
      <c r="F2013" s="57"/>
      <c r="G2013" s="57"/>
      <c r="H2013" s="54">
        <f t="shared" si="132"/>
        <v>0</v>
      </c>
      <c r="I2013" s="58"/>
      <c r="J2013" s="54">
        <f t="shared" si="133"/>
        <v>0</v>
      </c>
      <c r="K2013" s="57"/>
      <c r="L2013" s="54">
        <f t="shared" si="134"/>
        <v>0</v>
      </c>
    </row>
    <row r="2014" spans="1:12" x14ac:dyDescent="0.3">
      <c r="A2014" s="54"/>
      <c r="B2014" s="54"/>
      <c r="C2014" s="54"/>
      <c r="D2014" s="54"/>
      <c r="E2014" s="55"/>
      <c r="F2014" s="57"/>
      <c r="G2014" s="57"/>
      <c r="H2014" s="54">
        <f t="shared" si="132"/>
        <v>0</v>
      </c>
      <c r="I2014" s="58"/>
      <c r="J2014" s="54">
        <f t="shared" si="133"/>
        <v>0</v>
      </c>
      <c r="K2014" s="57"/>
      <c r="L2014" s="54">
        <f t="shared" si="134"/>
        <v>0</v>
      </c>
    </row>
    <row r="2015" spans="1:12" x14ac:dyDescent="0.3">
      <c r="A2015" s="54"/>
      <c r="B2015" s="54"/>
      <c r="C2015" s="54"/>
      <c r="D2015" s="54"/>
      <c r="E2015" s="55"/>
      <c r="F2015" s="57"/>
      <c r="G2015" s="57"/>
      <c r="H2015" s="54">
        <f t="shared" si="132"/>
        <v>0</v>
      </c>
      <c r="I2015" s="58"/>
      <c r="J2015" s="54">
        <f t="shared" si="133"/>
        <v>0</v>
      </c>
      <c r="K2015" s="57"/>
      <c r="L2015" s="54">
        <f t="shared" si="134"/>
        <v>0</v>
      </c>
    </row>
    <row r="2016" spans="1:12" x14ac:dyDescent="0.3">
      <c r="A2016" s="54"/>
      <c r="B2016" s="54"/>
      <c r="C2016" s="54"/>
      <c r="D2016" s="54"/>
      <c r="E2016" s="55"/>
      <c r="F2016" s="57"/>
      <c r="G2016" s="57"/>
      <c r="H2016" s="54">
        <f t="shared" si="132"/>
        <v>0</v>
      </c>
      <c r="I2016" s="58"/>
      <c r="J2016" s="54">
        <f t="shared" si="133"/>
        <v>0</v>
      </c>
      <c r="K2016" s="57"/>
      <c r="L2016" s="54">
        <f t="shared" si="134"/>
        <v>0</v>
      </c>
    </row>
    <row r="2017" spans="1:12" x14ac:dyDescent="0.3">
      <c r="A2017" s="54"/>
      <c r="B2017" s="54"/>
      <c r="C2017" s="54"/>
      <c r="D2017" s="54"/>
      <c r="E2017" s="55"/>
      <c r="F2017" s="57"/>
      <c r="G2017" s="57"/>
      <c r="H2017" s="54">
        <f t="shared" si="132"/>
        <v>0</v>
      </c>
      <c r="I2017" s="58"/>
      <c r="J2017" s="54">
        <f t="shared" si="133"/>
        <v>0</v>
      </c>
      <c r="K2017" s="57"/>
      <c r="L2017" s="54">
        <f t="shared" si="134"/>
        <v>0</v>
      </c>
    </row>
    <row r="2018" spans="1:12" x14ac:dyDescent="0.3">
      <c r="A2018" s="54"/>
      <c r="B2018" s="54"/>
      <c r="C2018" s="54"/>
      <c r="D2018" s="54"/>
      <c r="E2018" s="55"/>
      <c r="F2018" s="57"/>
      <c r="G2018" s="57"/>
      <c r="H2018" s="54">
        <f t="shared" si="132"/>
        <v>0</v>
      </c>
      <c r="I2018" s="58"/>
      <c r="J2018" s="54">
        <f t="shared" si="133"/>
        <v>0</v>
      </c>
      <c r="K2018" s="57"/>
      <c r="L2018" s="54">
        <f t="shared" si="134"/>
        <v>0</v>
      </c>
    </row>
    <row r="2019" spans="1:12" x14ac:dyDescent="0.3">
      <c r="A2019" s="54"/>
      <c r="B2019" s="54"/>
      <c r="C2019" s="54"/>
      <c r="D2019" s="54"/>
      <c r="E2019" s="55"/>
      <c r="F2019" s="57"/>
      <c r="G2019" s="57"/>
      <c r="H2019" s="54">
        <f t="shared" si="132"/>
        <v>0</v>
      </c>
      <c r="I2019" s="58"/>
      <c r="J2019" s="54">
        <f t="shared" si="133"/>
        <v>0</v>
      </c>
      <c r="K2019" s="57"/>
      <c r="L2019" s="54">
        <f t="shared" si="134"/>
        <v>0</v>
      </c>
    </row>
    <row r="2020" spans="1:12" x14ac:dyDescent="0.3">
      <c r="A2020" s="54"/>
      <c r="B2020" s="54"/>
      <c r="C2020" s="54"/>
      <c r="D2020" s="54"/>
      <c r="E2020" s="55"/>
      <c r="F2020" s="57"/>
      <c r="G2020" s="57"/>
      <c r="H2020" s="54">
        <f t="shared" si="132"/>
        <v>0</v>
      </c>
      <c r="I2020" s="58"/>
      <c r="J2020" s="54">
        <f t="shared" si="133"/>
        <v>0</v>
      </c>
      <c r="K2020" s="57"/>
      <c r="L2020" s="54">
        <f t="shared" si="134"/>
        <v>0</v>
      </c>
    </row>
    <row r="2021" spans="1:12" x14ac:dyDescent="0.3">
      <c r="A2021" s="54"/>
      <c r="B2021" s="54"/>
      <c r="C2021" s="54"/>
      <c r="D2021" s="54"/>
      <c r="E2021" s="55"/>
      <c r="F2021" s="57"/>
      <c r="G2021" s="57"/>
      <c r="H2021" s="54">
        <f t="shared" si="132"/>
        <v>0</v>
      </c>
      <c r="I2021" s="58"/>
      <c r="J2021" s="54">
        <f t="shared" si="133"/>
        <v>0</v>
      </c>
      <c r="K2021" s="57"/>
      <c r="L2021" s="54">
        <f t="shared" si="134"/>
        <v>0</v>
      </c>
    </row>
    <row r="2022" spans="1:12" x14ac:dyDescent="0.3">
      <c r="A2022" s="54"/>
      <c r="B2022" s="54"/>
      <c r="C2022" s="54"/>
      <c r="D2022" s="54"/>
      <c r="E2022" s="55"/>
      <c r="F2022" s="57"/>
      <c r="G2022" s="57"/>
      <c r="H2022" s="54">
        <f t="shared" si="132"/>
        <v>0</v>
      </c>
      <c r="I2022" s="58"/>
      <c r="J2022" s="54">
        <f t="shared" si="133"/>
        <v>0</v>
      </c>
      <c r="K2022" s="57"/>
      <c r="L2022" s="54">
        <f t="shared" si="134"/>
        <v>0</v>
      </c>
    </row>
    <row r="2023" spans="1:12" x14ac:dyDescent="0.3">
      <c r="A2023" s="54"/>
      <c r="B2023" s="54"/>
      <c r="C2023" s="54"/>
      <c r="D2023" s="54"/>
      <c r="E2023" s="55"/>
      <c r="F2023" s="57"/>
      <c r="G2023" s="57"/>
      <c r="H2023" s="54">
        <f t="shared" si="132"/>
        <v>0</v>
      </c>
      <c r="I2023" s="58"/>
      <c r="J2023" s="54">
        <f t="shared" si="133"/>
        <v>0</v>
      </c>
      <c r="K2023" s="57"/>
      <c r="L2023" s="54">
        <f t="shared" si="134"/>
        <v>0</v>
      </c>
    </row>
    <row r="2024" spans="1:12" x14ac:dyDescent="0.3">
      <c r="A2024" s="54"/>
      <c r="B2024" s="54"/>
      <c r="C2024" s="54"/>
      <c r="D2024" s="54"/>
      <c r="E2024" s="55"/>
      <c r="F2024" s="57"/>
      <c r="G2024" s="57"/>
      <c r="H2024" s="54">
        <f t="shared" si="132"/>
        <v>0</v>
      </c>
      <c r="I2024" s="58"/>
      <c r="J2024" s="54">
        <f t="shared" si="133"/>
        <v>0</v>
      </c>
      <c r="K2024" s="57"/>
      <c r="L2024" s="54">
        <f t="shared" si="134"/>
        <v>0</v>
      </c>
    </row>
    <row r="2025" spans="1:12" x14ac:dyDescent="0.3">
      <c r="A2025" s="54"/>
      <c r="B2025" s="54"/>
      <c r="C2025" s="54"/>
      <c r="D2025" s="54"/>
      <c r="E2025" s="55"/>
      <c r="F2025" s="57"/>
      <c r="G2025" s="57"/>
      <c r="H2025" s="54">
        <f t="shared" si="132"/>
        <v>0</v>
      </c>
      <c r="I2025" s="58"/>
      <c r="J2025" s="54">
        <f t="shared" si="133"/>
        <v>0</v>
      </c>
      <c r="K2025" s="57"/>
      <c r="L2025" s="54">
        <f t="shared" si="134"/>
        <v>0</v>
      </c>
    </row>
    <row r="2026" spans="1:12" x14ac:dyDescent="0.3">
      <c r="A2026" s="54"/>
      <c r="B2026" s="54"/>
      <c r="C2026" s="54"/>
      <c r="D2026" s="54"/>
      <c r="E2026" s="55"/>
      <c r="F2026" s="57"/>
      <c r="G2026" s="57"/>
      <c r="H2026" s="54">
        <f t="shared" si="132"/>
        <v>0</v>
      </c>
      <c r="I2026" s="58"/>
      <c r="J2026" s="54">
        <f t="shared" si="133"/>
        <v>0</v>
      </c>
      <c r="K2026" s="57"/>
      <c r="L2026" s="54">
        <f t="shared" si="134"/>
        <v>0</v>
      </c>
    </row>
    <row r="2027" spans="1:12" x14ac:dyDescent="0.3">
      <c r="A2027" s="54"/>
      <c r="B2027" s="54"/>
      <c r="C2027" s="54"/>
      <c r="D2027" s="54"/>
      <c r="E2027" s="55"/>
      <c r="F2027" s="57"/>
      <c r="G2027" s="57"/>
      <c r="H2027" s="54">
        <f t="shared" si="132"/>
        <v>0</v>
      </c>
      <c r="I2027" s="58"/>
      <c r="J2027" s="54">
        <f t="shared" si="133"/>
        <v>0</v>
      </c>
      <c r="K2027" s="57"/>
      <c r="L2027" s="54">
        <f t="shared" si="134"/>
        <v>0</v>
      </c>
    </row>
    <row r="2028" spans="1:12" x14ac:dyDescent="0.3">
      <c r="A2028" s="54"/>
      <c r="B2028" s="54"/>
      <c r="C2028" s="54"/>
      <c r="D2028" s="54"/>
      <c r="E2028" s="55"/>
      <c r="F2028" s="57"/>
      <c r="G2028" s="57"/>
      <c r="H2028" s="54">
        <f t="shared" si="132"/>
        <v>0</v>
      </c>
      <c r="I2028" s="58"/>
      <c r="J2028" s="54">
        <f t="shared" si="133"/>
        <v>0</v>
      </c>
      <c r="K2028" s="57"/>
      <c r="L2028" s="54">
        <f t="shared" si="134"/>
        <v>0</v>
      </c>
    </row>
    <row r="2029" spans="1:12" x14ac:dyDescent="0.3">
      <c r="A2029" s="54"/>
      <c r="B2029" s="54"/>
      <c r="C2029" s="54"/>
      <c r="D2029" s="54"/>
      <c r="E2029" s="55"/>
      <c r="F2029" s="57"/>
      <c r="G2029" s="57"/>
      <c r="H2029" s="54">
        <f t="shared" si="132"/>
        <v>0</v>
      </c>
      <c r="I2029" s="58"/>
      <c r="J2029" s="54">
        <f t="shared" si="133"/>
        <v>0</v>
      </c>
      <c r="K2029" s="57"/>
      <c r="L2029" s="54">
        <f t="shared" si="134"/>
        <v>0</v>
      </c>
    </row>
    <row r="2030" spans="1:12" x14ac:dyDescent="0.3">
      <c r="A2030" s="54"/>
      <c r="B2030" s="54"/>
      <c r="C2030" s="54"/>
      <c r="D2030" s="54"/>
      <c r="E2030" s="55"/>
      <c r="F2030" s="57"/>
      <c r="G2030" s="57"/>
      <c r="H2030" s="54">
        <f t="shared" si="132"/>
        <v>0</v>
      </c>
      <c r="I2030" s="58"/>
      <c r="J2030" s="54">
        <f t="shared" si="133"/>
        <v>0</v>
      </c>
      <c r="K2030" s="57"/>
      <c r="L2030" s="54">
        <f t="shared" si="134"/>
        <v>0</v>
      </c>
    </row>
    <row r="2031" spans="1:12" x14ac:dyDescent="0.3">
      <c r="A2031" s="54"/>
      <c r="B2031" s="54"/>
      <c r="C2031" s="54"/>
      <c r="D2031" s="54"/>
      <c r="E2031" s="55"/>
      <c r="F2031" s="57"/>
      <c r="G2031" s="57"/>
      <c r="H2031" s="54">
        <f t="shared" si="132"/>
        <v>0</v>
      </c>
      <c r="I2031" s="58"/>
      <c r="J2031" s="54">
        <f t="shared" si="133"/>
        <v>0</v>
      </c>
      <c r="K2031" s="57"/>
      <c r="L2031" s="54">
        <f t="shared" si="134"/>
        <v>0</v>
      </c>
    </row>
    <row r="2032" spans="1:12" x14ac:dyDescent="0.3">
      <c r="A2032" s="54"/>
      <c r="B2032" s="54"/>
      <c r="C2032" s="54"/>
      <c r="D2032" s="54"/>
      <c r="E2032" s="55"/>
      <c r="F2032" s="57"/>
      <c r="G2032" s="57"/>
      <c r="H2032" s="54">
        <f t="shared" si="132"/>
        <v>0</v>
      </c>
      <c r="I2032" s="58"/>
      <c r="J2032" s="54">
        <f t="shared" si="133"/>
        <v>0</v>
      </c>
      <c r="K2032" s="57"/>
      <c r="L2032" s="54">
        <f t="shared" si="134"/>
        <v>0</v>
      </c>
    </row>
    <row r="2033" spans="1:12" x14ac:dyDescent="0.3">
      <c r="A2033" s="54"/>
      <c r="B2033" s="54"/>
      <c r="C2033" s="54"/>
      <c r="D2033" s="54"/>
      <c r="E2033" s="55"/>
      <c r="F2033" s="57"/>
      <c r="G2033" s="57"/>
      <c r="H2033" s="54">
        <f t="shared" si="132"/>
        <v>0</v>
      </c>
      <c r="I2033" s="58"/>
      <c r="J2033" s="54">
        <f t="shared" si="133"/>
        <v>0</v>
      </c>
      <c r="K2033" s="57"/>
      <c r="L2033" s="54">
        <f t="shared" si="134"/>
        <v>0</v>
      </c>
    </row>
    <row r="2034" spans="1:12" x14ac:dyDescent="0.3">
      <c r="A2034" s="54"/>
      <c r="B2034" s="54"/>
      <c r="C2034" s="54"/>
      <c r="D2034" s="54"/>
      <c r="E2034" s="55"/>
      <c r="F2034" s="57"/>
      <c r="G2034" s="57"/>
      <c r="H2034" s="54">
        <f t="shared" si="132"/>
        <v>0</v>
      </c>
      <c r="I2034" s="58"/>
      <c r="J2034" s="54">
        <f t="shared" si="133"/>
        <v>0</v>
      </c>
      <c r="K2034" s="57"/>
      <c r="L2034" s="54">
        <f t="shared" si="134"/>
        <v>0</v>
      </c>
    </row>
    <row r="2035" spans="1:12" x14ac:dyDescent="0.3">
      <c r="A2035" s="54"/>
      <c r="B2035" s="54"/>
      <c r="C2035" s="54"/>
      <c r="D2035" s="54"/>
      <c r="E2035" s="55"/>
      <c r="F2035" s="57"/>
      <c r="G2035" s="57"/>
      <c r="H2035" s="54">
        <f t="shared" si="132"/>
        <v>0</v>
      </c>
      <c r="I2035" s="58"/>
      <c r="J2035" s="54">
        <f t="shared" si="133"/>
        <v>0</v>
      </c>
      <c r="K2035" s="57"/>
      <c r="L2035" s="54">
        <f t="shared" si="134"/>
        <v>0</v>
      </c>
    </row>
    <row r="2036" spans="1:12" x14ac:dyDescent="0.3">
      <c r="A2036" s="54"/>
      <c r="B2036" s="54"/>
      <c r="C2036" s="54"/>
      <c r="D2036" s="54"/>
      <c r="E2036" s="55"/>
      <c r="F2036" s="57"/>
      <c r="G2036" s="57"/>
      <c r="H2036" s="54">
        <f t="shared" si="132"/>
        <v>0</v>
      </c>
      <c r="I2036" s="58"/>
      <c r="J2036" s="54">
        <f t="shared" si="133"/>
        <v>0</v>
      </c>
      <c r="K2036" s="57"/>
      <c r="L2036" s="54">
        <f t="shared" si="134"/>
        <v>0</v>
      </c>
    </row>
    <row r="2037" spans="1:12" x14ac:dyDescent="0.3">
      <c r="A2037" s="54"/>
      <c r="B2037" s="54"/>
      <c r="C2037" s="54"/>
      <c r="D2037" s="54"/>
      <c r="E2037" s="55"/>
      <c r="F2037" s="57"/>
      <c r="G2037" s="57"/>
      <c r="H2037" s="54">
        <f t="shared" si="132"/>
        <v>0</v>
      </c>
      <c r="I2037" s="58"/>
      <c r="J2037" s="54">
        <f t="shared" si="133"/>
        <v>0</v>
      </c>
      <c r="K2037" s="57"/>
      <c r="L2037" s="54">
        <f t="shared" si="134"/>
        <v>0</v>
      </c>
    </row>
    <row r="2038" spans="1:12" x14ac:dyDescent="0.3">
      <c r="A2038" s="54"/>
      <c r="B2038" s="54"/>
      <c r="C2038" s="54"/>
      <c r="D2038" s="54"/>
      <c r="E2038" s="55"/>
      <c r="F2038" s="57"/>
      <c r="G2038" s="57"/>
      <c r="H2038" s="54">
        <f t="shared" si="132"/>
        <v>0</v>
      </c>
      <c r="I2038" s="58"/>
      <c r="J2038" s="54">
        <f t="shared" si="133"/>
        <v>0</v>
      </c>
      <c r="K2038" s="57"/>
      <c r="L2038" s="54">
        <f t="shared" si="134"/>
        <v>0</v>
      </c>
    </row>
    <row r="2039" spans="1:12" x14ac:dyDescent="0.3">
      <c r="A2039" s="54"/>
      <c r="B2039" s="54"/>
      <c r="C2039" s="54"/>
      <c r="D2039" s="54"/>
      <c r="E2039" s="55"/>
      <c r="F2039" s="57"/>
      <c r="G2039" s="57"/>
      <c r="H2039" s="54">
        <f t="shared" si="132"/>
        <v>0</v>
      </c>
      <c r="I2039" s="58"/>
      <c r="J2039" s="54">
        <f t="shared" si="133"/>
        <v>0</v>
      </c>
      <c r="K2039" s="57"/>
      <c r="L2039" s="54">
        <f t="shared" si="134"/>
        <v>0</v>
      </c>
    </row>
    <row r="2040" spans="1:12" x14ac:dyDescent="0.3">
      <c r="A2040" s="54"/>
      <c r="B2040" s="54"/>
      <c r="C2040" s="54"/>
      <c r="D2040" s="54"/>
      <c r="E2040" s="55"/>
      <c r="F2040" s="57"/>
      <c r="G2040" s="57"/>
      <c r="H2040" s="54">
        <f t="shared" si="132"/>
        <v>0</v>
      </c>
      <c r="I2040" s="58"/>
      <c r="J2040" s="54">
        <f t="shared" si="133"/>
        <v>0</v>
      </c>
      <c r="K2040" s="57"/>
      <c r="L2040" s="54">
        <f t="shared" si="134"/>
        <v>0</v>
      </c>
    </row>
    <row r="2041" spans="1:12" x14ac:dyDescent="0.3">
      <c r="A2041" s="54"/>
      <c r="B2041" s="54"/>
      <c r="C2041" s="54"/>
      <c r="D2041" s="54"/>
      <c r="E2041" s="55"/>
      <c r="F2041" s="57"/>
      <c r="G2041" s="57"/>
      <c r="H2041" s="54">
        <f t="shared" si="132"/>
        <v>0</v>
      </c>
      <c r="I2041" s="58"/>
      <c r="J2041" s="54">
        <f t="shared" si="133"/>
        <v>0</v>
      </c>
      <c r="K2041" s="57"/>
      <c r="L2041" s="54">
        <f t="shared" si="134"/>
        <v>0</v>
      </c>
    </row>
    <row r="2042" spans="1:12" x14ac:dyDescent="0.3">
      <c r="A2042" s="54"/>
      <c r="B2042" s="54"/>
      <c r="C2042" s="54"/>
      <c r="D2042" s="54"/>
      <c r="E2042" s="55"/>
      <c r="F2042" s="57"/>
      <c r="G2042" s="57"/>
      <c r="H2042" s="54">
        <f t="shared" si="132"/>
        <v>0</v>
      </c>
      <c r="I2042" s="58"/>
      <c r="J2042" s="54">
        <f t="shared" si="133"/>
        <v>0</v>
      </c>
      <c r="K2042" s="57"/>
      <c r="L2042" s="54">
        <f t="shared" si="134"/>
        <v>0</v>
      </c>
    </row>
    <row r="2043" spans="1:12" x14ac:dyDescent="0.3">
      <c r="A2043" s="54"/>
      <c r="B2043" s="54"/>
      <c r="C2043" s="54"/>
      <c r="D2043" s="54"/>
      <c r="E2043" s="55"/>
      <c r="F2043" s="57"/>
      <c r="G2043" s="57"/>
      <c r="H2043" s="54">
        <f t="shared" si="132"/>
        <v>0</v>
      </c>
      <c r="I2043" s="58"/>
      <c r="J2043" s="54">
        <f t="shared" si="133"/>
        <v>0</v>
      </c>
      <c r="K2043" s="57"/>
      <c r="L2043" s="54">
        <f t="shared" si="134"/>
        <v>0</v>
      </c>
    </row>
    <row r="2044" spans="1:12" x14ac:dyDescent="0.3">
      <c r="A2044" s="54"/>
      <c r="B2044" s="54"/>
      <c r="C2044" s="54"/>
      <c r="D2044" s="54"/>
      <c r="E2044" s="55"/>
      <c r="F2044" s="57"/>
      <c r="G2044" s="57"/>
      <c r="H2044" s="54">
        <f t="shared" si="132"/>
        <v>0</v>
      </c>
      <c r="I2044" s="58"/>
      <c r="J2044" s="54">
        <f t="shared" si="133"/>
        <v>0</v>
      </c>
      <c r="K2044" s="57"/>
      <c r="L2044" s="54">
        <f t="shared" si="134"/>
        <v>0</v>
      </c>
    </row>
    <row r="2045" spans="1:12" x14ac:dyDescent="0.3">
      <c r="A2045" s="54"/>
      <c r="B2045" s="54"/>
      <c r="C2045" s="54"/>
      <c r="D2045" s="54"/>
      <c r="E2045" s="55"/>
      <c r="F2045" s="57"/>
      <c r="G2045" s="57"/>
      <c r="H2045" s="54">
        <f t="shared" si="132"/>
        <v>0</v>
      </c>
      <c r="I2045" s="58"/>
      <c r="J2045" s="54">
        <f t="shared" si="133"/>
        <v>0</v>
      </c>
      <c r="K2045" s="57"/>
      <c r="L2045" s="54">
        <f t="shared" si="134"/>
        <v>0</v>
      </c>
    </row>
    <row r="2046" spans="1:12" x14ac:dyDescent="0.3">
      <c r="A2046" s="54"/>
      <c r="B2046" s="54"/>
      <c r="C2046" s="54"/>
      <c r="D2046" s="54"/>
      <c r="E2046" s="55"/>
      <c r="F2046" s="57"/>
      <c r="G2046" s="57"/>
      <c r="H2046" s="54">
        <f t="shared" si="132"/>
        <v>0</v>
      </c>
      <c r="I2046" s="58"/>
      <c r="J2046" s="54">
        <f t="shared" si="133"/>
        <v>0</v>
      </c>
      <c r="K2046" s="57"/>
      <c r="L2046" s="54">
        <f t="shared" si="134"/>
        <v>0</v>
      </c>
    </row>
    <row r="2047" spans="1:12" x14ac:dyDescent="0.3">
      <c r="A2047" s="54"/>
      <c r="B2047" s="54"/>
      <c r="C2047" s="54"/>
      <c r="D2047" s="54"/>
      <c r="E2047" s="55"/>
      <c r="F2047" s="57"/>
      <c r="G2047" s="57"/>
      <c r="H2047" s="54">
        <f t="shared" si="132"/>
        <v>0</v>
      </c>
      <c r="I2047" s="58"/>
      <c r="J2047" s="54">
        <f t="shared" si="133"/>
        <v>0</v>
      </c>
      <c r="K2047" s="57"/>
      <c r="L2047" s="54">
        <f t="shared" si="134"/>
        <v>0</v>
      </c>
    </row>
    <row r="2048" spans="1:12" x14ac:dyDescent="0.3">
      <c r="A2048" s="54"/>
      <c r="B2048" s="54"/>
      <c r="C2048" s="54"/>
      <c r="D2048" s="54"/>
      <c r="E2048" s="55"/>
      <c r="F2048" s="57"/>
      <c r="G2048" s="57"/>
      <c r="H2048" s="54">
        <f t="shared" si="132"/>
        <v>0</v>
      </c>
      <c r="I2048" s="58"/>
      <c r="J2048" s="54">
        <f t="shared" si="133"/>
        <v>0</v>
      </c>
      <c r="K2048" s="57"/>
      <c r="L2048" s="54">
        <f t="shared" si="134"/>
        <v>0</v>
      </c>
    </row>
    <row r="2049" spans="1:12" x14ac:dyDescent="0.3">
      <c r="A2049" s="54"/>
      <c r="B2049" s="54"/>
      <c r="C2049" s="54"/>
      <c r="D2049" s="54"/>
      <c r="E2049" s="55"/>
      <c r="F2049" s="57"/>
      <c r="G2049" s="57"/>
      <c r="H2049" s="54">
        <f t="shared" si="132"/>
        <v>0</v>
      </c>
      <c r="I2049" s="58"/>
      <c r="J2049" s="54">
        <f t="shared" si="133"/>
        <v>0</v>
      </c>
      <c r="K2049" s="57"/>
      <c r="L2049" s="54">
        <f t="shared" si="134"/>
        <v>0</v>
      </c>
    </row>
    <row r="2050" spans="1:12" x14ac:dyDescent="0.3">
      <c r="A2050" s="54"/>
      <c r="B2050" s="54"/>
      <c r="C2050" s="54"/>
      <c r="D2050" s="54"/>
      <c r="E2050" s="55"/>
      <c r="F2050" s="57"/>
      <c r="G2050" s="57"/>
      <c r="H2050" s="54">
        <f t="shared" si="132"/>
        <v>0</v>
      </c>
      <c r="I2050" s="58"/>
      <c r="J2050" s="54">
        <f t="shared" si="133"/>
        <v>0</v>
      </c>
      <c r="K2050" s="57"/>
      <c r="L2050" s="54">
        <f t="shared" si="134"/>
        <v>0</v>
      </c>
    </row>
    <row r="2051" spans="1:12" x14ac:dyDescent="0.3">
      <c r="A2051" s="54"/>
      <c r="B2051" s="54"/>
      <c r="C2051" s="54"/>
      <c r="D2051" s="54"/>
      <c r="E2051" s="55"/>
      <c r="F2051" s="57"/>
      <c r="G2051" s="57"/>
      <c r="H2051" s="54">
        <f t="shared" si="132"/>
        <v>0</v>
      </c>
      <c r="I2051" s="58"/>
      <c r="J2051" s="54">
        <f t="shared" si="133"/>
        <v>0</v>
      </c>
      <c r="K2051" s="57"/>
      <c r="L2051" s="54">
        <f t="shared" si="134"/>
        <v>0</v>
      </c>
    </row>
    <row r="2052" spans="1:12" x14ac:dyDescent="0.3">
      <c r="A2052" s="54"/>
      <c r="B2052" s="54"/>
      <c r="C2052" s="54"/>
      <c r="D2052" s="54"/>
      <c r="E2052" s="55"/>
      <c r="F2052" s="57"/>
      <c r="G2052" s="57"/>
      <c r="H2052" s="54">
        <f t="shared" si="132"/>
        <v>0</v>
      </c>
      <c r="I2052" s="58"/>
      <c r="J2052" s="54">
        <f t="shared" si="133"/>
        <v>0</v>
      </c>
      <c r="K2052" s="57"/>
      <c r="L2052" s="54">
        <f t="shared" si="134"/>
        <v>0</v>
      </c>
    </row>
    <row r="2053" spans="1:12" x14ac:dyDescent="0.3">
      <c r="A2053" s="54"/>
      <c r="B2053" s="54"/>
      <c r="C2053" s="54"/>
      <c r="D2053" s="54"/>
      <c r="E2053" s="55"/>
      <c r="F2053" s="57"/>
      <c r="G2053" s="57"/>
      <c r="H2053" s="54">
        <f t="shared" si="132"/>
        <v>0</v>
      </c>
      <c r="I2053" s="58"/>
      <c r="J2053" s="54">
        <f t="shared" si="133"/>
        <v>0</v>
      </c>
      <c r="K2053" s="57"/>
      <c r="L2053" s="54">
        <f t="shared" si="134"/>
        <v>0</v>
      </c>
    </row>
    <row r="2054" spans="1:12" x14ac:dyDescent="0.3">
      <c r="A2054" s="54"/>
      <c r="B2054" s="54"/>
      <c r="C2054" s="54"/>
      <c r="D2054" s="54"/>
      <c r="E2054" s="55"/>
      <c r="F2054" s="57"/>
      <c r="G2054" s="57"/>
      <c r="H2054" s="54">
        <f t="shared" si="132"/>
        <v>0</v>
      </c>
      <c r="I2054" s="58"/>
      <c r="J2054" s="54">
        <f t="shared" si="133"/>
        <v>0</v>
      </c>
      <c r="K2054" s="57"/>
      <c r="L2054" s="54">
        <f t="shared" si="134"/>
        <v>0</v>
      </c>
    </row>
    <row r="2055" spans="1:12" x14ac:dyDescent="0.3">
      <c r="A2055" s="54"/>
      <c r="B2055" s="54"/>
      <c r="C2055" s="54"/>
      <c r="D2055" s="54"/>
      <c r="E2055" s="55"/>
      <c r="F2055" s="57"/>
      <c r="G2055" s="57"/>
      <c r="H2055" s="54">
        <f t="shared" si="132"/>
        <v>0</v>
      </c>
      <c r="I2055" s="58"/>
      <c r="J2055" s="54">
        <f t="shared" si="133"/>
        <v>0</v>
      </c>
      <c r="K2055" s="57"/>
      <c r="L2055" s="54">
        <f t="shared" si="134"/>
        <v>0</v>
      </c>
    </row>
    <row r="2056" spans="1:12" x14ac:dyDescent="0.3">
      <c r="A2056" s="54"/>
      <c r="B2056" s="54"/>
      <c r="C2056" s="54"/>
      <c r="D2056" s="54"/>
      <c r="E2056" s="55"/>
      <c r="F2056" s="57"/>
      <c r="G2056" s="57"/>
      <c r="H2056" s="54">
        <f t="shared" si="132"/>
        <v>0</v>
      </c>
      <c r="I2056" s="58"/>
      <c r="J2056" s="54">
        <f t="shared" si="133"/>
        <v>0</v>
      </c>
      <c r="K2056" s="57"/>
      <c r="L2056" s="54">
        <f t="shared" si="134"/>
        <v>0</v>
      </c>
    </row>
    <row r="2057" spans="1:12" x14ac:dyDescent="0.3">
      <c r="A2057" s="54"/>
      <c r="B2057" s="54"/>
      <c r="C2057" s="54"/>
      <c r="D2057" s="54"/>
      <c r="E2057" s="55"/>
      <c r="F2057" s="57"/>
      <c r="G2057" s="57"/>
      <c r="H2057" s="54">
        <f t="shared" si="132"/>
        <v>0</v>
      </c>
      <c r="I2057" s="58"/>
      <c r="J2057" s="54">
        <f t="shared" si="133"/>
        <v>0</v>
      </c>
      <c r="K2057" s="57"/>
      <c r="L2057" s="54">
        <f t="shared" si="134"/>
        <v>0</v>
      </c>
    </row>
    <row r="2058" spans="1:12" x14ac:dyDescent="0.3">
      <c r="A2058" s="54"/>
      <c r="B2058" s="54"/>
      <c r="C2058" s="54"/>
      <c r="D2058" s="54"/>
      <c r="E2058" s="55"/>
      <c r="F2058" s="57"/>
      <c r="G2058" s="57"/>
      <c r="H2058" s="54">
        <f t="shared" si="132"/>
        <v>0</v>
      </c>
      <c r="I2058" s="58"/>
      <c r="J2058" s="54">
        <f t="shared" si="133"/>
        <v>0</v>
      </c>
      <c r="K2058" s="57"/>
      <c r="L2058" s="54">
        <f t="shared" si="134"/>
        <v>0</v>
      </c>
    </row>
    <row r="2059" spans="1:12" x14ac:dyDescent="0.3">
      <c r="A2059" s="54"/>
      <c r="B2059" s="54"/>
      <c r="C2059" s="54"/>
      <c r="D2059" s="54"/>
      <c r="E2059" s="55"/>
      <c r="F2059" s="57"/>
      <c r="G2059" s="57"/>
      <c r="H2059" s="54">
        <f t="shared" si="132"/>
        <v>0</v>
      </c>
      <c r="I2059" s="58"/>
      <c r="J2059" s="54">
        <f t="shared" si="133"/>
        <v>0</v>
      </c>
      <c r="K2059" s="57"/>
      <c r="L2059" s="54">
        <f t="shared" si="134"/>
        <v>0</v>
      </c>
    </row>
    <row r="2060" spans="1:12" x14ac:dyDescent="0.3">
      <c r="A2060" s="54"/>
      <c r="B2060" s="54"/>
      <c r="C2060" s="54"/>
      <c r="D2060" s="54"/>
      <c r="E2060" s="55"/>
      <c r="F2060" s="57"/>
      <c r="G2060" s="57"/>
      <c r="H2060" s="54">
        <f t="shared" si="132"/>
        <v>0</v>
      </c>
      <c r="I2060" s="58"/>
      <c r="J2060" s="54">
        <f t="shared" si="133"/>
        <v>0</v>
      </c>
      <c r="K2060" s="57"/>
      <c r="L2060" s="54">
        <f t="shared" si="134"/>
        <v>0</v>
      </c>
    </row>
    <row r="2061" spans="1:12" x14ac:dyDescent="0.3">
      <c r="A2061" s="54"/>
      <c r="B2061" s="54"/>
      <c r="C2061" s="54"/>
      <c r="D2061" s="54"/>
      <c r="E2061" s="55"/>
      <c r="F2061" s="57"/>
      <c r="G2061" s="57"/>
      <c r="H2061" s="54">
        <f t="shared" si="132"/>
        <v>0</v>
      </c>
      <c r="I2061" s="58"/>
      <c r="J2061" s="54">
        <f t="shared" si="133"/>
        <v>0</v>
      </c>
      <c r="K2061" s="57"/>
      <c r="L2061" s="54">
        <f t="shared" si="134"/>
        <v>0</v>
      </c>
    </row>
    <row r="2062" spans="1:12" x14ac:dyDescent="0.3">
      <c r="A2062" s="54"/>
      <c r="B2062" s="54"/>
      <c r="C2062" s="54"/>
      <c r="D2062" s="54"/>
      <c r="E2062" s="55"/>
      <c r="F2062" s="57"/>
      <c r="G2062" s="57"/>
      <c r="H2062" s="54">
        <f t="shared" si="132"/>
        <v>0</v>
      </c>
      <c r="I2062" s="58"/>
      <c r="J2062" s="54">
        <f t="shared" si="133"/>
        <v>0</v>
      </c>
      <c r="K2062" s="57"/>
      <c r="L2062" s="54">
        <f t="shared" si="134"/>
        <v>0</v>
      </c>
    </row>
    <row r="2063" spans="1:12" x14ac:dyDescent="0.3">
      <c r="A2063" s="54"/>
      <c r="B2063" s="54"/>
      <c r="C2063" s="54"/>
      <c r="D2063" s="54"/>
      <c r="E2063" s="55"/>
      <c r="F2063" s="57"/>
      <c r="G2063" s="57"/>
      <c r="H2063" s="54">
        <f t="shared" si="132"/>
        <v>0</v>
      </c>
      <c r="I2063" s="58"/>
      <c r="J2063" s="54">
        <f t="shared" si="133"/>
        <v>0</v>
      </c>
      <c r="K2063" s="57"/>
      <c r="L2063" s="54">
        <f t="shared" si="134"/>
        <v>0</v>
      </c>
    </row>
    <row r="2064" spans="1:12" x14ac:dyDescent="0.3">
      <c r="A2064" s="54"/>
      <c r="B2064" s="54"/>
      <c r="C2064" s="54"/>
      <c r="D2064" s="54"/>
      <c r="E2064" s="55"/>
      <c r="F2064" s="57"/>
      <c r="G2064" s="57"/>
      <c r="H2064" s="54">
        <f t="shared" si="132"/>
        <v>0</v>
      </c>
      <c r="I2064" s="58"/>
      <c r="J2064" s="54">
        <f t="shared" si="133"/>
        <v>0</v>
      </c>
      <c r="K2064" s="57"/>
      <c r="L2064" s="54">
        <f t="shared" si="134"/>
        <v>0</v>
      </c>
    </row>
    <row r="2065" spans="1:12" x14ac:dyDescent="0.3">
      <c r="A2065" s="54"/>
      <c r="B2065" s="54"/>
      <c r="C2065" s="54"/>
      <c r="D2065" s="54"/>
      <c r="E2065" s="55"/>
      <c r="F2065" s="57"/>
      <c r="G2065" s="57"/>
      <c r="H2065" s="54">
        <f t="shared" si="132"/>
        <v>0</v>
      </c>
      <c r="I2065" s="58"/>
      <c r="J2065" s="54">
        <f t="shared" si="133"/>
        <v>0</v>
      </c>
      <c r="K2065" s="57"/>
      <c r="L2065" s="54">
        <f t="shared" si="134"/>
        <v>0</v>
      </c>
    </row>
    <row r="2066" spans="1:12" x14ac:dyDescent="0.3">
      <c r="A2066" s="54"/>
      <c r="B2066" s="54"/>
      <c r="C2066" s="54"/>
      <c r="D2066" s="54"/>
      <c r="E2066" s="55"/>
      <c r="F2066" s="57"/>
      <c r="G2066" s="57"/>
      <c r="H2066" s="54">
        <f t="shared" si="132"/>
        <v>0</v>
      </c>
      <c r="I2066" s="58"/>
      <c r="J2066" s="54">
        <f t="shared" si="133"/>
        <v>0</v>
      </c>
      <c r="K2066" s="57"/>
      <c r="L2066" s="54">
        <f t="shared" si="134"/>
        <v>0</v>
      </c>
    </row>
    <row r="2067" spans="1:12" x14ac:dyDescent="0.3">
      <c r="A2067" s="54"/>
      <c r="B2067" s="54"/>
      <c r="C2067" s="54"/>
      <c r="D2067" s="54"/>
      <c r="E2067" s="55"/>
      <c r="F2067" s="57"/>
      <c r="G2067" s="57"/>
      <c r="H2067" s="54">
        <f t="shared" si="132"/>
        <v>0</v>
      </c>
      <c r="I2067" s="58"/>
      <c r="J2067" s="54">
        <f t="shared" si="133"/>
        <v>0</v>
      </c>
      <c r="K2067" s="57"/>
      <c r="L2067" s="54">
        <f t="shared" si="134"/>
        <v>0</v>
      </c>
    </row>
    <row r="2068" spans="1:12" x14ac:dyDescent="0.3">
      <c r="A2068" s="54"/>
      <c r="B2068" s="54"/>
      <c r="C2068" s="54"/>
      <c r="D2068" s="54"/>
      <c r="E2068" s="55"/>
      <c r="F2068" s="57"/>
      <c r="G2068" s="57"/>
      <c r="H2068" s="54">
        <f t="shared" si="132"/>
        <v>0</v>
      </c>
      <c r="I2068" s="58"/>
      <c r="J2068" s="54">
        <f t="shared" si="133"/>
        <v>0</v>
      </c>
      <c r="K2068" s="57"/>
      <c r="L2068" s="54">
        <f t="shared" si="134"/>
        <v>0</v>
      </c>
    </row>
    <row r="2069" spans="1:12" x14ac:dyDescent="0.3">
      <c r="A2069" s="54"/>
      <c r="B2069" s="54"/>
      <c r="C2069" s="54"/>
      <c r="D2069" s="54"/>
      <c r="E2069" s="55"/>
      <c r="F2069" s="57"/>
      <c r="G2069" s="57"/>
      <c r="H2069" s="54">
        <f t="shared" si="132"/>
        <v>0</v>
      </c>
      <c r="I2069" s="58"/>
      <c r="J2069" s="54">
        <f t="shared" si="133"/>
        <v>0</v>
      </c>
      <c r="K2069" s="57"/>
      <c r="L2069" s="54">
        <f t="shared" si="134"/>
        <v>0</v>
      </c>
    </row>
    <row r="2070" spans="1:12" x14ac:dyDescent="0.3">
      <c r="A2070" s="54"/>
      <c r="B2070" s="54"/>
      <c r="C2070" s="54"/>
      <c r="D2070" s="54"/>
      <c r="E2070" s="55"/>
      <c r="F2070" s="57"/>
      <c r="G2070" s="57"/>
      <c r="H2070" s="54">
        <f t="shared" si="132"/>
        <v>0</v>
      </c>
      <c r="I2070" s="58"/>
      <c r="J2070" s="54">
        <f t="shared" si="133"/>
        <v>0</v>
      </c>
      <c r="K2070" s="57"/>
      <c r="L2070" s="54">
        <f t="shared" si="134"/>
        <v>0</v>
      </c>
    </row>
    <row r="2071" spans="1:12" x14ac:dyDescent="0.3">
      <c r="A2071" s="54"/>
      <c r="B2071" s="54"/>
      <c r="C2071" s="54"/>
      <c r="D2071" s="54"/>
      <c r="E2071" s="55"/>
      <c r="F2071" s="57"/>
      <c r="G2071" s="57"/>
      <c r="H2071" s="54">
        <f t="shared" si="132"/>
        <v>0</v>
      </c>
      <c r="I2071" s="58"/>
      <c r="J2071" s="54">
        <f t="shared" si="133"/>
        <v>0</v>
      </c>
      <c r="K2071" s="57"/>
      <c r="L2071" s="54">
        <f t="shared" si="134"/>
        <v>0</v>
      </c>
    </row>
    <row r="2072" spans="1:12" x14ac:dyDescent="0.3">
      <c r="A2072" s="54"/>
      <c r="B2072" s="54"/>
      <c r="C2072" s="54"/>
      <c r="D2072" s="54"/>
      <c r="E2072" s="55"/>
      <c r="F2072" s="57"/>
      <c r="G2072" s="57"/>
      <c r="H2072" s="54">
        <f t="shared" si="132"/>
        <v>0</v>
      </c>
      <c r="I2072" s="58"/>
      <c r="J2072" s="54">
        <f t="shared" si="133"/>
        <v>0</v>
      </c>
      <c r="K2072" s="57"/>
      <c r="L2072" s="54">
        <f t="shared" si="134"/>
        <v>0</v>
      </c>
    </row>
    <row r="2073" spans="1:12" x14ac:dyDescent="0.3">
      <c r="A2073" s="54"/>
      <c r="B2073" s="54"/>
      <c r="C2073" s="54"/>
      <c r="D2073" s="54"/>
      <c r="E2073" s="55"/>
      <c r="F2073" s="57"/>
      <c r="G2073" s="57"/>
      <c r="H2073" s="54">
        <f t="shared" si="132"/>
        <v>0</v>
      </c>
      <c r="I2073" s="58"/>
      <c r="J2073" s="54">
        <f t="shared" si="133"/>
        <v>0</v>
      </c>
      <c r="K2073" s="57"/>
      <c r="L2073" s="54">
        <f t="shared" si="134"/>
        <v>0</v>
      </c>
    </row>
    <row r="2074" spans="1:12" x14ac:dyDescent="0.3">
      <c r="A2074" s="54"/>
      <c r="B2074" s="54"/>
      <c r="C2074" s="54"/>
      <c r="D2074" s="54"/>
      <c r="E2074" s="55"/>
      <c r="F2074" s="57"/>
      <c r="G2074" s="57"/>
      <c r="H2074" s="54">
        <f t="shared" si="132"/>
        <v>0</v>
      </c>
      <c r="I2074" s="58"/>
      <c r="J2074" s="54">
        <f t="shared" si="133"/>
        <v>0</v>
      </c>
      <c r="K2074" s="57"/>
      <c r="L2074" s="54">
        <f t="shared" si="134"/>
        <v>0</v>
      </c>
    </row>
    <row r="2075" spans="1:12" x14ac:dyDescent="0.3">
      <c r="A2075" s="54"/>
      <c r="B2075" s="54"/>
      <c r="C2075" s="54"/>
      <c r="D2075" s="54"/>
      <c r="E2075" s="55"/>
      <c r="F2075" s="57"/>
      <c r="G2075" s="57"/>
      <c r="H2075" s="54">
        <f t="shared" ref="H2075:H2138" si="135">+F2075-G2075</f>
        <v>0</v>
      </c>
      <c r="I2075" s="58"/>
      <c r="J2075" s="54">
        <f t="shared" ref="J2075:J2138" si="136">+H2075-H2075*I2075/100</f>
        <v>0</v>
      </c>
      <c r="K2075" s="57"/>
      <c r="L2075" s="54">
        <f t="shared" ref="L2075:L2138" si="137">+J2075*K2075</f>
        <v>0</v>
      </c>
    </row>
    <row r="2076" spans="1:12" x14ac:dyDescent="0.3">
      <c r="A2076" s="54"/>
      <c r="B2076" s="54"/>
      <c r="C2076" s="54"/>
      <c r="D2076" s="54"/>
      <c r="E2076" s="55"/>
      <c r="F2076" s="57"/>
      <c r="G2076" s="57"/>
      <c r="H2076" s="54">
        <f t="shared" si="135"/>
        <v>0</v>
      </c>
      <c r="I2076" s="58"/>
      <c r="J2076" s="54">
        <f t="shared" si="136"/>
        <v>0</v>
      </c>
      <c r="K2076" s="57"/>
      <c r="L2076" s="54">
        <f t="shared" si="137"/>
        <v>0</v>
      </c>
    </row>
    <row r="2077" spans="1:12" x14ac:dyDescent="0.3">
      <c r="A2077" s="54"/>
      <c r="B2077" s="54"/>
      <c r="C2077" s="54"/>
      <c r="D2077" s="54"/>
      <c r="E2077" s="55"/>
      <c r="F2077" s="57"/>
      <c r="G2077" s="57"/>
      <c r="H2077" s="54">
        <f t="shared" si="135"/>
        <v>0</v>
      </c>
      <c r="I2077" s="58"/>
      <c r="J2077" s="54">
        <f t="shared" si="136"/>
        <v>0</v>
      </c>
      <c r="K2077" s="57"/>
      <c r="L2077" s="54">
        <f t="shared" si="137"/>
        <v>0</v>
      </c>
    </row>
    <row r="2078" spans="1:12" x14ac:dyDescent="0.3">
      <c r="A2078" s="54"/>
      <c r="B2078" s="54"/>
      <c r="C2078" s="54"/>
      <c r="D2078" s="54"/>
      <c r="E2078" s="55"/>
      <c r="F2078" s="57"/>
      <c r="G2078" s="57"/>
      <c r="H2078" s="54">
        <f t="shared" si="135"/>
        <v>0</v>
      </c>
      <c r="I2078" s="58"/>
      <c r="J2078" s="54">
        <f t="shared" si="136"/>
        <v>0</v>
      </c>
      <c r="K2078" s="57"/>
      <c r="L2078" s="54">
        <f t="shared" si="137"/>
        <v>0</v>
      </c>
    </row>
    <row r="2079" spans="1:12" x14ac:dyDescent="0.3">
      <c r="A2079" s="54"/>
      <c r="B2079" s="54"/>
      <c r="C2079" s="54"/>
      <c r="D2079" s="54"/>
      <c r="E2079" s="55"/>
      <c r="F2079" s="57"/>
      <c r="G2079" s="57"/>
      <c r="H2079" s="54">
        <f t="shared" si="135"/>
        <v>0</v>
      </c>
      <c r="I2079" s="58"/>
      <c r="J2079" s="54">
        <f t="shared" si="136"/>
        <v>0</v>
      </c>
      <c r="K2079" s="57"/>
      <c r="L2079" s="54">
        <f t="shared" si="137"/>
        <v>0</v>
      </c>
    </row>
    <row r="2080" spans="1:12" x14ac:dyDescent="0.3">
      <c r="A2080" s="54"/>
      <c r="B2080" s="54"/>
      <c r="C2080" s="54"/>
      <c r="D2080" s="54"/>
      <c r="E2080" s="55"/>
      <c r="F2080" s="57"/>
      <c r="G2080" s="57"/>
      <c r="H2080" s="54">
        <f t="shared" si="135"/>
        <v>0</v>
      </c>
      <c r="I2080" s="58"/>
      <c r="J2080" s="54">
        <f t="shared" si="136"/>
        <v>0</v>
      </c>
      <c r="K2080" s="57"/>
      <c r="L2080" s="54">
        <f t="shared" si="137"/>
        <v>0</v>
      </c>
    </row>
    <row r="2081" spans="1:12" x14ac:dyDescent="0.3">
      <c r="A2081" s="54"/>
      <c r="B2081" s="54"/>
      <c r="C2081" s="54"/>
      <c r="D2081" s="54"/>
      <c r="E2081" s="55"/>
      <c r="F2081" s="57"/>
      <c r="G2081" s="57"/>
      <c r="H2081" s="54">
        <f t="shared" si="135"/>
        <v>0</v>
      </c>
      <c r="I2081" s="58"/>
      <c r="J2081" s="54">
        <f t="shared" si="136"/>
        <v>0</v>
      </c>
      <c r="K2081" s="57"/>
      <c r="L2081" s="54">
        <f t="shared" si="137"/>
        <v>0</v>
      </c>
    </row>
    <row r="2082" spans="1:12" x14ac:dyDescent="0.3">
      <c r="A2082" s="54"/>
      <c r="B2082" s="54"/>
      <c r="C2082" s="54"/>
      <c r="D2082" s="54"/>
      <c r="E2082" s="55"/>
      <c r="F2082" s="57"/>
      <c r="G2082" s="57"/>
      <c r="H2082" s="54">
        <f t="shared" si="135"/>
        <v>0</v>
      </c>
      <c r="I2082" s="58"/>
      <c r="J2082" s="54">
        <f t="shared" si="136"/>
        <v>0</v>
      </c>
      <c r="K2082" s="57"/>
      <c r="L2082" s="54">
        <f t="shared" si="137"/>
        <v>0</v>
      </c>
    </row>
    <row r="2083" spans="1:12" x14ac:dyDescent="0.3">
      <c r="A2083" s="54"/>
      <c r="B2083" s="54"/>
      <c r="C2083" s="54"/>
      <c r="D2083" s="54"/>
      <c r="E2083" s="55"/>
      <c r="F2083" s="57"/>
      <c r="G2083" s="57"/>
      <c r="H2083" s="54">
        <f t="shared" si="135"/>
        <v>0</v>
      </c>
      <c r="I2083" s="58"/>
      <c r="J2083" s="54">
        <f t="shared" si="136"/>
        <v>0</v>
      </c>
      <c r="K2083" s="57"/>
      <c r="L2083" s="54">
        <f t="shared" si="137"/>
        <v>0</v>
      </c>
    </row>
    <row r="2084" spans="1:12" x14ac:dyDescent="0.3">
      <c r="A2084" s="54"/>
      <c r="B2084" s="54"/>
      <c r="C2084" s="54"/>
      <c r="D2084" s="54"/>
      <c r="E2084" s="55"/>
      <c r="F2084" s="57"/>
      <c r="G2084" s="57"/>
      <c r="H2084" s="54">
        <f t="shared" si="135"/>
        <v>0</v>
      </c>
      <c r="I2084" s="58"/>
      <c r="J2084" s="54">
        <f t="shared" si="136"/>
        <v>0</v>
      </c>
      <c r="K2084" s="57"/>
      <c r="L2084" s="54">
        <f t="shared" si="137"/>
        <v>0</v>
      </c>
    </row>
    <row r="2085" spans="1:12" x14ac:dyDescent="0.3">
      <c r="A2085" s="54"/>
      <c r="B2085" s="54"/>
      <c r="C2085" s="54"/>
      <c r="D2085" s="54"/>
      <c r="E2085" s="55"/>
      <c r="F2085" s="57"/>
      <c r="G2085" s="57"/>
      <c r="H2085" s="54">
        <f t="shared" si="135"/>
        <v>0</v>
      </c>
      <c r="I2085" s="58"/>
      <c r="J2085" s="54">
        <f t="shared" si="136"/>
        <v>0</v>
      </c>
      <c r="K2085" s="57"/>
      <c r="L2085" s="54">
        <f t="shared" si="137"/>
        <v>0</v>
      </c>
    </row>
    <row r="2086" spans="1:12" x14ac:dyDescent="0.3">
      <c r="A2086" s="54"/>
      <c r="B2086" s="54"/>
      <c r="C2086" s="54"/>
      <c r="D2086" s="54"/>
      <c r="E2086" s="55"/>
      <c r="F2086" s="57"/>
      <c r="G2086" s="57"/>
      <c r="H2086" s="54">
        <f t="shared" si="135"/>
        <v>0</v>
      </c>
      <c r="I2086" s="58"/>
      <c r="J2086" s="54">
        <f t="shared" si="136"/>
        <v>0</v>
      </c>
      <c r="K2086" s="57"/>
      <c r="L2086" s="54">
        <f t="shared" si="137"/>
        <v>0</v>
      </c>
    </row>
    <row r="2087" spans="1:12" x14ac:dyDescent="0.3">
      <c r="A2087" s="54"/>
      <c r="B2087" s="54"/>
      <c r="C2087" s="54"/>
      <c r="D2087" s="54"/>
      <c r="E2087" s="55"/>
      <c r="F2087" s="57"/>
      <c r="G2087" s="57"/>
      <c r="H2087" s="54">
        <f t="shared" si="135"/>
        <v>0</v>
      </c>
      <c r="I2087" s="58"/>
      <c r="J2087" s="54">
        <f t="shared" si="136"/>
        <v>0</v>
      </c>
      <c r="K2087" s="57"/>
      <c r="L2087" s="54">
        <f t="shared" si="137"/>
        <v>0</v>
      </c>
    </row>
    <row r="2088" spans="1:12" x14ac:dyDescent="0.3">
      <c r="A2088" s="54"/>
      <c r="B2088" s="54"/>
      <c r="C2088" s="54"/>
      <c r="D2088" s="54"/>
      <c r="E2088" s="55"/>
      <c r="F2088" s="57"/>
      <c r="G2088" s="57"/>
      <c r="H2088" s="54">
        <f t="shared" si="135"/>
        <v>0</v>
      </c>
      <c r="I2088" s="58"/>
      <c r="J2088" s="54">
        <f t="shared" si="136"/>
        <v>0</v>
      </c>
      <c r="K2088" s="57"/>
      <c r="L2088" s="54">
        <f t="shared" si="137"/>
        <v>0</v>
      </c>
    </row>
    <row r="2089" spans="1:12" x14ac:dyDescent="0.3">
      <c r="A2089" s="54"/>
      <c r="B2089" s="54"/>
      <c r="C2089" s="54"/>
      <c r="D2089" s="54"/>
      <c r="E2089" s="55"/>
      <c r="F2089" s="57"/>
      <c r="G2089" s="57"/>
      <c r="H2089" s="54">
        <f t="shared" si="135"/>
        <v>0</v>
      </c>
      <c r="I2089" s="58"/>
      <c r="J2089" s="54">
        <f t="shared" si="136"/>
        <v>0</v>
      </c>
      <c r="K2089" s="57"/>
      <c r="L2089" s="54">
        <f t="shared" si="137"/>
        <v>0</v>
      </c>
    </row>
    <row r="2090" spans="1:12" x14ac:dyDescent="0.3">
      <c r="A2090" s="54"/>
      <c r="B2090" s="54"/>
      <c r="C2090" s="54"/>
      <c r="D2090" s="54"/>
      <c r="E2090" s="55"/>
      <c r="F2090" s="57"/>
      <c r="G2090" s="57"/>
      <c r="H2090" s="54">
        <f t="shared" si="135"/>
        <v>0</v>
      </c>
      <c r="I2090" s="58"/>
      <c r="J2090" s="54">
        <f t="shared" si="136"/>
        <v>0</v>
      </c>
      <c r="K2090" s="57"/>
      <c r="L2090" s="54">
        <f t="shared" si="137"/>
        <v>0</v>
      </c>
    </row>
    <row r="2091" spans="1:12" x14ac:dyDescent="0.3">
      <c r="A2091" s="54"/>
      <c r="B2091" s="54"/>
      <c r="C2091" s="54"/>
      <c r="D2091" s="54"/>
      <c r="E2091" s="55"/>
      <c r="F2091" s="57"/>
      <c r="G2091" s="57"/>
      <c r="H2091" s="54">
        <f t="shared" si="135"/>
        <v>0</v>
      </c>
      <c r="I2091" s="58"/>
      <c r="J2091" s="54">
        <f t="shared" si="136"/>
        <v>0</v>
      </c>
      <c r="K2091" s="57"/>
      <c r="L2091" s="54">
        <f t="shared" si="137"/>
        <v>0</v>
      </c>
    </row>
    <row r="2092" spans="1:12" x14ac:dyDescent="0.3">
      <c r="A2092" s="54"/>
      <c r="B2092" s="54"/>
      <c r="C2092" s="54"/>
      <c r="D2092" s="54"/>
      <c r="E2092" s="55"/>
      <c r="F2092" s="57"/>
      <c r="G2092" s="57"/>
      <c r="H2092" s="54">
        <f t="shared" si="135"/>
        <v>0</v>
      </c>
      <c r="I2092" s="58"/>
      <c r="J2092" s="54">
        <f t="shared" si="136"/>
        <v>0</v>
      </c>
      <c r="K2092" s="57"/>
      <c r="L2092" s="54">
        <f t="shared" si="137"/>
        <v>0</v>
      </c>
    </row>
    <row r="2093" spans="1:12" x14ac:dyDescent="0.3">
      <c r="A2093" s="54"/>
      <c r="B2093" s="54"/>
      <c r="C2093" s="54"/>
      <c r="D2093" s="54"/>
      <c r="E2093" s="55"/>
      <c r="F2093" s="57"/>
      <c r="G2093" s="57"/>
      <c r="H2093" s="54">
        <f t="shared" si="135"/>
        <v>0</v>
      </c>
      <c r="I2093" s="58"/>
      <c r="J2093" s="54">
        <f t="shared" si="136"/>
        <v>0</v>
      </c>
      <c r="K2093" s="57"/>
      <c r="L2093" s="54">
        <f t="shared" si="137"/>
        <v>0</v>
      </c>
    </row>
    <row r="2094" spans="1:12" x14ac:dyDescent="0.3">
      <c r="A2094" s="54"/>
      <c r="B2094" s="54"/>
      <c r="C2094" s="54"/>
      <c r="D2094" s="54"/>
      <c r="E2094" s="55"/>
      <c r="F2094" s="57"/>
      <c r="G2094" s="57"/>
      <c r="H2094" s="54">
        <f t="shared" si="135"/>
        <v>0</v>
      </c>
      <c r="I2094" s="58"/>
      <c r="J2094" s="54">
        <f t="shared" si="136"/>
        <v>0</v>
      </c>
      <c r="K2094" s="57"/>
      <c r="L2094" s="54">
        <f t="shared" si="137"/>
        <v>0</v>
      </c>
    </row>
    <row r="2095" spans="1:12" x14ac:dyDescent="0.3">
      <c r="A2095" s="54"/>
      <c r="B2095" s="54"/>
      <c r="C2095" s="54"/>
      <c r="D2095" s="54"/>
      <c r="E2095" s="55"/>
      <c r="F2095" s="57"/>
      <c r="G2095" s="57"/>
      <c r="H2095" s="54">
        <f t="shared" si="135"/>
        <v>0</v>
      </c>
      <c r="I2095" s="58"/>
      <c r="J2095" s="54">
        <f t="shared" si="136"/>
        <v>0</v>
      </c>
      <c r="K2095" s="57"/>
      <c r="L2095" s="54">
        <f t="shared" si="137"/>
        <v>0</v>
      </c>
    </row>
    <row r="2096" spans="1:12" x14ac:dyDescent="0.3">
      <c r="A2096" s="54"/>
      <c r="B2096" s="54"/>
      <c r="C2096" s="54"/>
      <c r="D2096" s="54"/>
      <c r="E2096" s="55"/>
      <c r="F2096" s="57"/>
      <c r="G2096" s="57"/>
      <c r="H2096" s="54">
        <f t="shared" si="135"/>
        <v>0</v>
      </c>
      <c r="I2096" s="58"/>
      <c r="J2096" s="54">
        <f t="shared" si="136"/>
        <v>0</v>
      </c>
      <c r="K2096" s="57"/>
      <c r="L2096" s="54">
        <f t="shared" si="137"/>
        <v>0</v>
      </c>
    </row>
    <row r="2097" spans="1:12" x14ac:dyDescent="0.3">
      <c r="A2097" s="54"/>
      <c r="B2097" s="54"/>
      <c r="C2097" s="54"/>
      <c r="D2097" s="54"/>
      <c r="E2097" s="55"/>
      <c r="F2097" s="57"/>
      <c r="G2097" s="57"/>
      <c r="H2097" s="54">
        <f t="shared" si="135"/>
        <v>0</v>
      </c>
      <c r="I2097" s="58"/>
      <c r="J2097" s="54">
        <f t="shared" si="136"/>
        <v>0</v>
      </c>
      <c r="K2097" s="57"/>
      <c r="L2097" s="54">
        <f t="shared" si="137"/>
        <v>0</v>
      </c>
    </row>
    <row r="2098" spans="1:12" x14ac:dyDescent="0.3">
      <c r="A2098" s="54"/>
      <c r="B2098" s="54"/>
      <c r="C2098" s="54"/>
      <c r="D2098" s="54"/>
      <c r="E2098" s="55"/>
      <c r="F2098" s="57"/>
      <c r="G2098" s="57"/>
      <c r="H2098" s="54">
        <f t="shared" si="135"/>
        <v>0</v>
      </c>
      <c r="I2098" s="58"/>
      <c r="J2098" s="54">
        <f t="shared" si="136"/>
        <v>0</v>
      </c>
      <c r="K2098" s="57"/>
      <c r="L2098" s="54">
        <f t="shared" si="137"/>
        <v>0</v>
      </c>
    </row>
    <row r="2099" spans="1:12" x14ac:dyDescent="0.3">
      <c r="A2099" s="54"/>
      <c r="B2099" s="54"/>
      <c r="C2099" s="54"/>
      <c r="D2099" s="54"/>
      <c r="E2099" s="55"/>
      <c r="F2099" s="57"/>
      <c r="G2099" s="57"/>
      <c r="H2099" s="54">
        <f t="shared" si="135"/>
        <v>0</v>
      </c>
      <c r="I2099" s="58"/>
      <c r="J2099" s="54">
        <f t="shared" si="136"/>
        <v>0</v>
      </c>
      <c r="K2099" s="57"/>
      <c r="L2099" s="54">
        <f t="shared" si="137"/>
        <v>0</v>
      </c>
    </row>
    <row r="2100" spans="1:12" x14ac:dyDescent="0.3">
      <c r="A2100" s="54"/>
      <c r="B2100" s="54"/>
      <c r="C2100" s="54"/>
      <c r="D2100" s="54"/>
      <c r="E2100" s="55"/>
      <c r="F2100" s="57"/>
      <c r="G2100" s="57"/>
      <c r="H2100" s="54">
        <f t="shared" si="135"/>
        <v>0</v>
      </c>
      <c r="I2100" s="58"/>
      <c r="J2100" s="54">
        <f t="shared" si="136"/>
        <v>0</v>
      </c>
      <c r="K2100" s="57"/>
      <c r="L2100" s="54">
        <f t="shared" si="137"/>
        <v>0</v>
      </c>
    </row>
    <row r="2101" spans="1:12" x14ac:dyDescent="0.3">
      <c r="A2101" s="54"/>
      <c r="B2101" s="54"/>
      <c r="C2101" s="54"/>
      <c r="D2101" s="54"/>
      <c r="E2101" s="55"/>
      <c r="F2101" s="57"/>
      <c r="G2101" s="57"/>
      <c r="H2101" s="54">
        <f t="shared" si="135"/>
        <v>0</v>
      </c>
      <c r="I2101" s="58"/>
      <c r="J2101" s="54">
        <f t="shared" si="136"/>
        <v>0</v>
      </c>
      <c r="K2101" s="57"/>
      <c r="L2101" s="54">
        <f t="shared" si="137"/>
        <v>0</v>
      </c>
    </row>
    <row r="2102" spans="1:12" x14ac:dyDescent="0.3">
      <c r="A2102" s="54"/>
      <c r="B2102" s="54"/>
      <c r="C2102" s="54"/>
      <c r="D2102" s="54"/>
      <c r="E2102" s="55"/>
      <c r="F2102" s="57"/>
      <c r="G2102" s="57"/>
      <c r="H2102" s="54">
        <f t="shared" si="135"/>
        <v>0</v>
      </c>
      <c r="I2102" s="58"/>
      <c r="J2102" s="54">
        <f t="shared" si="136"/>
        <v>0</v>
      </c>
      <c r="K2102" s="57"/>
      <c r="L2102" s="54">
        <f t="shared" si="137"/>
        <v>0</v>
      </c>
    </row>
    <row r="2103" spans="1:12" x14ac:dyDescent="0.3">
      <c r="A2103" s="54"/>
      <c r="B2103" s="54"/>
      <c r="C2103" s="54"/>
      <c r="D2103" s="54"/>
      <c r="E2103" s="55"/>
      <c r="F2103" s="57"/>
      <c r="G2103" s="57"/>
      <c r="H2103" s="54">
        <f t="shared" si="135"/>
        <v>0</v>
      </c>
      <c r="I2103" s="58"/>
      <c r="J2103" s="54">
        <f t="shared" si="136"/>
        <v>0</v>
      </c>
      <c r="K2103" s="57"/>
      <c r="L2103" s="54">
        <f t="shared" si="137"/>
        <v>0</v>
      </c>
    </row>
    <row r="2104" spans="1:12" x14ac:dyDescent="0.3">
      <c r="A2104" s="54"/>
      <c r="B2104" s="54"/>
      <c r="C2104" s="54"/>
      <c r="D2104" s="54"/>
      <c r="E2104" s="55"/>
      <c r="F2104" s="57"/>
      <c r="G2104" s="57"/>
      <c r="H2104" s="54">
        <f t="shared" si="135"/>
        <v>0</v>
      </c>
      <c r="I2104" s="58"/>
      <c r="J2104" s="54">
        <f t="shared" si="136"/>
        <v>0</v>
      </c>
      <c r="K2104" s="57"/>
      <c r="L2104" s="54">
        <f t="shared" si="137"/>
        <v>0</v>
      </c>
    </row>
    <row r="2105" spans="1:12" x14ac:dyDescent="0.3">
      <c r="A2105" s="54"/>
      <c r="B2105" s="54"/>
      <c r="C2105" s="54"/>
      <c r="D2105" s="54"/>
      <c r="E2105" s="55"/>
      <c r="F2105" s="57"/>
      <c r="G2105" s="57"/>
      <c r="H2105" s="54">
        <f t="shared" si="135"/>
        <v>0</v>
      </c>
      <c r="I2105" s="58"/>
      <c r="J2105" s="54">
        <f t="shared" si="136"/>
        <v>0</v>
      </c>
      <c r="K2105" s="57"/>
      <c r="L2105" s="54">
        <f t="shared" si="137"/>
        <v>0</v>
      </c>
    </row>
    <row r="2106" spans="1:12" x14ac:dyDescent="0.3">
      <c r="A2106" s="54"/>
      <c r="B2106" s="54"/>
      <c r="C2106" s="54"/>
      <c r="D2106" s="54"/>
      <c r="E2106" s="55"/>
      <c r="F2106" s="57"/>
      <c r="G2106" s="57"/>
      <c r="H2106" s="54">
        <f t="shared" si="135"/>
        <v>0</v>
      </c>
      <c r="I2106" s="58"/>
      <c r="J2106" s="54">
        <f t="shared" si="136"/>
        <v>0</v>
      </c>
      <c r="K2106" s="57"/>
      <c r="L2106" s="54">
        <f t="shared" si="137"/>
        <v>0</v>
      </c>
    </row>
    <row r="2107" spans="1:12" x14ac:dyDescent="0.3">
      <c r="A2107" s="54"/>
      <c r="B2107" s="54"/>
      <c r="C2107" s="54"/>
      <c r="D2107" s="54"/>
      <c r="E2107" s="55"/>
      <c r="F2107" s="57"/>
      <c r="G2107" s="57"/>
      <c r="H2107" s="54">
        <f t="shared" si="135"/>
        <v>0</v>
      </c>
      <c r="I2107" s="58"/>
      <c r="J2107" s="54">
        <f t="shared" si="136"/>
        <v>0</v>
      </c>
      <c r="K2107" s="57"/>
      <c r="L2107" s="54">
        <f t="shared" si="137"/>
        <v>0</v>
      </c>
    </row>
    <row r="2108" spans="1:12" x14ac:dyDescent="0.3">
      <c r="A2108" s="54"/>
      <c r="B2108" s="54"/>
      <c r="C2108" s="54"/>
      <c r="D2108" s="54"/>
      <c r="E2108" s="55"/>
      <c r="F2108" s="57"/>
      <c r="G2108" s="57"/>
      <c r="H2108" s="54">
        <f t="shared" si="135"/>
        <v>0</v>
      </c>
      <c r="I2108" s="58"/>
      <c r="J2108" s="54">
        <f t="shared" si="136"/>
        <v>0</v>
      </c>
      <c r="K2108" s="57"/>
      <c r="L2108" s="54">
        <f t="shared" si="137"/>
        <v>0</v>
      </c>
    </row>
    <row r="2109" spans="1:12" x14ac:dyDescent="0.3">
      <c r="A2109" s="54"/>
      <c r="B2109" s="54"/>
      <c r="C2109" s="54"/>
      <c r="D2109" s="54"/>
      <c r="E2109" s="55"/>
      <c r="F2109" s="57"/>
      <c r="G2109" s="57"/>
      <c r="H2109" s="54">
        <f t="shared" si="135"/>
        <v>0</v>
      </c>
      <c r="I2109" s="58"/>
      <c r="J2109" s="54">
        <f t="shared" si="136"/>
        <v>0</v>
      </c>
      <c r="K2109" s="57"/>
      <c r="L2109" s="54">
        <f t="shared" si="137"/>
        <v>0</v>
      </c>
    </row>
    <row r="2110" spans="1:12" x14ac:dyDescent="0.3">
      <c r="A2110" s="54"/>
      <c r="B2110" s="54"/>
      <c r="C2110" s="54"/>
      <c r="D2110" s="54"/>
      <c r="E2110" s="55"/>
      <c r="F2110" s="57"/>
      <c r="G2110" s="57"/>
      <c r="H2110" s="54">
        <f t="shared" si="135"/>
        <v>0</v>
      </c>
      <c r="I2110" s="58"/>
      <c r="J2110" s="54">
        <f t="shared" si="136"/>
        <v>0</v>
      </c>
      <c r="K2110" s="57"/>
      <c r="L2110" s="54">
        <f t="shared" si="137"/>
        <v>0</v>
      </c>
    </row>
    <row r="2111" spans="1:12" x14ac:dyDescent="0.3">
      <c r="A2111" s="54"/>
      <c r="B2111" s="54"/>
      <c r="C2111" s="54"/>
      <c r="D2111" s="54"/>
      <c r="E2111" s="55"/>
      <c r="F2111" s="57"/>
      <c r="G2111" s="57"/>
      <c r="H2111" s="54">
        <f t="shared" si="135"/>
        <v>0</v>
      </c>
      <c r="I2111" s="58"/>
      <c r="J2111" s="54">
        <f t="shared" si="136"/>
        <v>0</v>
      </c>
      <c r="K2111" s="57"/>
      <c r="L2111" s="54">
        <f t="shared" si="137"/>
        <v>0</v>
      </c>
    </row>
    <row r="2112" spans="1:12" x14ac:dyDescent="0.3">
      <c r="A2112" s="54"/>
      <c r="B2112" s="54"/>
      <c r="C2112" s="54"/>
      <c r="D2112" s="54"/>
      <c r="E2112" s="55"/>
      <c r="F2112" s="57"/>
      <c r="G2112" s="57"/>
      <c r="H2112" s="54">
        <f t="shared" si="135"/>
        <v>0</v>
      </c>
      <c r="I2112" s="58"/>
      <c r="J2112" s="54">
        <f t="shared" si="136"/>
        <v>0</v>
      </c>
      <c r="K2112" s="57"/>
      <c r="L2112" s="54">
        <f t="shared" si="137"/>
        <v>0</v>
      </c>
    </row>
    <row r="2113" spans="1:12" x14ac:dyDescent="0.3">
      <c r="A2113" s="54"/>
      <c r="B2113" s="54"/>
      <c r="C2113" s="54"/>
      <c r="D2113" s="54"/>
      <c r="E2113" s="55"/>
      <c r="F2113" s="57"/>
      <c r="G2113" s="57"/>
      <c r="H2113" s="54">
        <f t="shared" si="135"/>
        <v>0</v>
      </c>
      <c r="I2113" s="58"/>
      <c r="J2113" s="54">
        <f t="shared" si="136"/>
        <v>0</v>
      </c>
      <c r="K2113" s="57"/>
      <c r="L2113" s="54">
        <f t="shared" si="137"/>
        <v>0</v>
      </c>
    </row>
    <row r="2114" spans="1:12" x14ac:dyDescent="0.3">
      <c r="A2114" s="54"/>
      <c r="B2114" s="54"/>
      <c r="C2114" s="54"/>
      <c r="D2114" s="54"/>
      <c r="E2114" s="55"/>
      <c r="F2114" s="57"/>
      <c r="G2114" s="57"/>
      <c r="H2114" s="54">
        <f t="shared" si="135"/>
        <v>0</v>
      </c>
      <c r="I2114" s="58"/>
      <c r="J2114" s="54">
        <f t="shared" si="136"/>
        <v>0</v>
      </c>
      <c r="K2114" s="57"/>
      <c r="L2114" s="54">
        <f t="shared" si="137"/>
        <v>0</v>
      </c>
    </row>
    <row r="2115" spans="1:12" x14ac:dyDescent="0.3">
      <c r="A2115" s="54"/>
      <c r="B2115" s="54"/>
      <c r="C2115" s="54"/>
      <c r="D2115" s="54"/>
      <c r="E2115" s="55"/>
      <c r="F2115" s="57"/>
      <c r="G2115" s="57"/>
      <c r="H2115" s="54">
        <f t="shared" si="135"/>
        <v>0</v>
      </c>
      <c r="I2115" s="58"/>
      <c r="J2115" s="54">
        <f t="shared" si="136"/>
        <v>0</v>
      </c>
      <c r="K2115" s="57"/>
      <c r="L2115" s="54">
        <f t="shared" si="137"/>
        <v>0</v>
      </c>
    </row>
    <row r="2116" spans="1:12" x14ac:dyDescent="0.3">
      <c r="A2116" s="54"/>
      <c r="B2116" s="54"/>
      <c r="C2116" s="54"/>
      <c r="D2116" s="54"/>
      <c r="E2116" s="55"/>
      <c r="F2116" s="57"/>
      <c r="G2116" s="57"/>
      <c r="H2116" s="54">
        <f t="shared" si="135"/>
        <v>0</v>
      </c>
      <c r="I2116" s="58"/>
      <c r="J2116" s="54">
        <f t="shared" si="136"/>
        <v>0</v>
      </c>
      <c r="K2116" s="57"/>
      <c r="L2116" s="54">
        <f t="shared" si="137"/>
        <v>0</v>
      </c>
    </row>
    <row r="2117" spans="1:12" x14ac:dyDescent="0.3">
      <c r="A2117" s="54"/>
      <c r="B2117" s="54"/>
      <c r="C2117" s="54"/>
      <c r="D2117" s="54"/>
      <c r="E2117" s="55"/>
      <c r="F2117" s="57"/>
      <c r="G2117" s="57"/>
      <c r="H2117" s="54">
        <f t="shared" si="135"/>
        <v>0</v>
      </c>
      <c r="I2117" s="58"/>
      <c r="J2117" s="54">
        <f t="shared" si="136"/>
        <v>0</v>
      </c>
      <c r="K2117" s="57"/>
      <c r="L2117" s="54">
        <f t="shared" si="137"/>
        <v>0</v>
      </c>
    </row>
    <row r="2118" spans="1:12" x14ac:dyDescent="0.3">
      <c r="A2118" s="54"/>
      <c r="B2118" s="54"/>
      <c r="C2118" s="54"/>
      <c r="D2118" s="54"/>
      <c r="E2118" s="55"/>
      <c r="F2118" s="57"/>
      <c r="G2118" s="57"/>
      <c r="H2118" s="54">
        <f t="shared" si="135"/>
        <v>0</v>
      </c>
      <c r="I2118" s="58"/>
      <c r="J2118" s="54">
        <f t="shared" si="136"/>
        <v>0</v>
      </c>
      <c r="K2118" s="57"/>
      <c r="L2118" s="54">
        <f t="shared" si="137"/>
        <v>0</v>
      </c>
    </row>
    <row r="2119" spans="1:12" x14ac:dyDescent="0.3">
      <c r="A2119" s="54"/>
      <c r="B2119" s="54"/>
      <c r="C2119" s="54"/>
      <c r="D2119" s="54"/>
      <c r="E2119" s="55"/>
      <c r="F2119" s="57"/>
      <c r="G2119" s="57"/>
      <c r="H2119" s="54">
        <f t="shared" si="135"/>
        <v>0</v>
      </c>
      <c r="I2119" s="58"/>
      <c r="J2119" s="54">
        <f t="shared" si="136"/>
        <v>0</v>
      </c>
      <c r="K2119" s="57"/>
      <c r="L2119" s="54">
        <f t="shared" si="137"/>
        <v>0</v>
      </c>
    </row>
    <row r="2120" spans="1:12" x14ac:dyDescent="0.3">
      <c r="A2120" s="54"/>
      <c r="B2120" s="54"/>
      <c r="C2120" s="54"/>
      <c r="D2120" s="54"/>
      <c r="E2120" s="55"/>
      <c r="F2120" s="57"/>
      <c r="G2120" s="57"/>
      <c r="H2120" s="54">
        <f t="shared" si="135"/>
        <v>0</v>
      </c>
      <c r="I2120" s="58"/>
      <c r="J2120" s="54">
        <f t="shared" si="136"/>
        <v>0</v>
      </c>
      <c r="K2120" s="57"/>
      <c r="L2120" s="54">
        <f t="shared" si="137"/>
        <v>0</v>
      </c>
    </row>
    <row r="2121" spans="1:12" x14ac:dyDescent="0.3">
      <c r="A2121" s="54"/>
      <c r="B2121" s="54"/>
      <c r="C2121" s="54"/>
      <c r="D2121" s="54"/>
      <c r="E2121" s="55"/>
      <c r="F2121" s="57"/>
      <c r="G2121" s="57"/>
      <c r="H2121" s="54">
        <f t="shared" si="135"/>
        <v>0</v>
      </c>
      <c r="I2121" s="58"/>
      <c r="J2121" s="54">
        <f t="shared" si="136"/>
        <v>0</v>
      </c>
      <c r="K2121" s="57"/>
      <c r="L2121" s="54">
        <f t="shared" si="137"/>
        <v>0</v>
      </c>
    </row>
    <row r="2122" spans="1:12" x14ac:dyDescent="0.3">
      <c r="A2122" s="54"/>
      <c r="B2122" s="54"/>
      <c r="C2122" s="54"/>
      <c r="D2122" s="54"/>
      <c r="E2122" s="55"/>
      <c r="F2122" s="57"/>
      <c r="G2122" s="57"/>
      <c r="H2122" s="54">
        <f t="shared" si="135"/>
        <v>0</v>
      </c>
      <c r="I2122" s="58"/>
      <c r="J2122" s="54">
        <f t="shared" si="136"/>
        <v>0</v>
      </c>
      <c r="K2122" s="57"/>
      <c r="L2122" s="54">
        <f t="shared" si="137"/>
        <v>0</v>
      </c>
    </row>
    <row r="2123" spans="1:12" x14ac:dyDescent="0.3">
      <c r="A2123" s="54"/>
      <c r="B2123" s="54"/>
      <c r="C2123" s="54"/>
      <c r="D2123" s="54"/>
      <c r="E2123" s="55"/>
      <c r="F2123" s="57"/>
      <c r="G2123" s="57"/>
      <c r="H2123" s="54">
        <f t="shared" si="135"/>
        <v>0</v>
      </c>
      <c r="I2123" s="58"/>
      <c r="J2123" s="54">
        <f t="shared" si="136"/>
        <v>0</v>
      </c>
      <c r="K2123" s="57"/>
      <c r="L2123" s="54">
        <f t="shared" si="137"/>
        <v>0</v>
      </c>
    </row>
    <row r="2124" spans="1:12" x14ac:dyDescent="0.3">
      <c r="A2124" s="54"/>
      <c r="B2124" s="54"/>
      <c r="C2124" s="54"/>
      <c r="D2124" s="54"/>
      <c r="E2124" s="55"/>
      <c r="F2124" s="57"/>
      <c r="G2124" s="57"/>
      <c r="H2124" s="54">
        <f t="shared" si="135"/>
        <v>0</v>
      </c>
      <c r="I2124" s="58"/>
      <c r="J2124" s="54">
        <f t="shared" si="136"/>
        <v>0</v>
      </c>
      <c r="K2124" s="57"/>
      <c r="L2124" s="54">
        <f t="shared" si="137"/>
        <v>0</v>
      </c>
    </row>
    <row r="2125" spans="1:12" x14ac:dyDescent="0.3">
      <c r="A2125" s="54"/>
      <c r="B2125" s="54"/>
      <c r="C2125" s="54"/>
      <c r="D2125" s="54"/>
      <c r="E2125" s="55"/>
      <c r="F2125" s="57"/>
      <c r="G2125" s="57"/>
      <c r="H2125" s="54">
        <f t="shared" si="135"/>
        <v>0</v>
      </c>
      <c r="I2125" s="58"/>
      <c r="J2125" s="54">
        <f t="shared" si="136"/>
        <v>0</v>
      </c>
      <c r="K2125" s="57"/>
      <c r="L2125" s="54">
        <f t="shared" si="137"/>
        <v>0</v>
      </c>
    </row>
    <row r="2126" spans="1:12" x14ac:dyDescent="0.3">
      <c r="A2126" s="54"/>
      <c r="B2126" s="54"/>
      <c r="C2126" s="54"/>
      <c r="D2126" s="54"/>
      <c r="E2126" s="55"/>
      <c r="F2126" s="57"/>
      <c r="G2126" s="57"/>
      <c r="H2126" s="54">
        <f t="shared" si="135"/>
        <v>0</v>
      </c>
      <c r="I2126" s="58"/>
      <c r="J2126" s="54">
        <f t="shared" si="136"/>
        <v>0</v>
      </c>
      <c r="K2126" s="57"/>
      <c r="L2126" s="54">
        <f t="shared" si="137"/>
        <v>0</v>
      </c>
    </row>
    <row r="2127" spans="1:12" x14ac:dyDescent="0.3">
      <c r="A2127" s="54"/>
      <c r="B2127" s="54"/>
      <c r="C2127" s="54"/>
      <c r="D2127" s="54"/>
      <c r="E2127" s="55"/>
      <c r="F2127" s="57"/>
      <c r="G2127" s="57"/>
      <c r="H2127" s="54">
        <f t="shared" si="135"/>
        <v>0</v>
      </c>
      <c r="I2127" s="58"/>
      <c r="J2127" s="54">
        <f t="shared" si="136"/>
        <v>0</v>
      </c>
      <c r="K2127" s="57"/>
      <c r="L2127" s="54">
        <f t="shared" si="137"/>
        <v>0</v>
      </c>
    </row>
    <row r="2128" spans="1:12" x14ac:dyDescent="0.3">
      <c r="A2128" s="54"/>
      <c r="B2128" s="54"/>
      <c r="C2128" s="54"/>
      <c r="D2128" s="54"/>
      <c r="E2128" s="55"/>
      <c r="F2128" s="57"/>
      <c r="G2128" s="57"/>
      <c r="H2128" s="54">
        <f t="shared" si="135"/>
        <v>0</v>
      </c>
      <c r="I2128" s="58"/>
      <c r="J2128" s="54">
        <f t="shared" si="136"/>
        <v>0</v>
      </c>
      <c r="K2128" s="57"/>
      <c r="L2128" s="54">
        <f t="shared" si="137"/>
        <v>0</v>
      </c>
    </row>
    <row r="2129" spans="1:12" x14ac:dyDescent="0.3">
      <c r="A2129" s="54"/>
      <c r="B2129" s="54"/>
      <c r="C2129" s="54"/>
      <c r="D2129" s="54"/>
      <c r="E2129" s="55"/>
      <c r="F2129" s="57"/>
      <c r="G2129" s="57"/>
      <c r="H2129" s="54">
        <f t="shared" si="135"/>
        <v>0</v>
      </c>
      <c r="I2129" s="58"/>
      <c r="J2129" s="54">
        <f t="shared" si="136"/>
        <v>0</v>
      </c>
      <c r="K2129" s="57"/>
      <c r="L2129" s="54">
        <f t="shared" si="137"/>
        <v>0</v>
      </c>
    </row>
    <row r="2130" spans="1:12" x14ac:dyDescent="0.3">
      <c r="A2130" s="54"/>
      <c r="B2130" s="54"/>
      <c r="C2130" s="54"/>
      <c r="D2130" s="54"/>
      <c r="E2130" s="55"/>
      <c r="F2130" s="57"/>
      <c r="G2130" s="57"/>
      <c r="H2130" s="54">
        <f t="shared" si="135"/>
        <v>0</v>
      </c>
      <c r="I2130" s="58"/>
      <c r="J2130" s="54">
        <f t="shared" si="136"/>
        <v>0</v>
      </c>
      <c r="K2130" s="57"/>
      <c r="L2130" s="54">
        <f t="shared" si="137"/>
        <v>0</v>
      </c>
    </row>
    <row r="2131" spans="1:12" x14ac:dyDescent="0.3">
      <c r="A2131" s="54"/>
      <c r="B2131" s="54"/>
      <c r="C2131" s="54"/>
      <c r="D2131" s="54"/>
      <c r="E2131" s="55"/>
      <c r="F2131" s="57"/>
      <c r="G2131" s="57"/>
      <c r="H2131" s="54">
        <f t="shared" si="135"/>
        <v>0</v>
      </c>
      <c r="I2131" s="58"/>
      <c r="J2131" s="54">
        <f t="shared" si="136"/>
        <v>0</v>
      </c>
      <c r="K2131" s="57"/>
      <c r="L2131" s="54">
        <f t="shared" si="137"/>
        <v>0</v>
      </c>
    </row>
    <row r="2132" spans="1:12" x14ac:dyDescent="0.3">
      <c r="A2132" s="54"/>
      <c r="B2132" s="54"/>
      <c r="C2132" s="54"/>
      <c r="D2132" s="54"/>
      <c r="E2132" s="55"/>
      <c r="F2132" s="57"/>
      <c r="G2132" s="57"/>
      <c r="H2132" s="54">
        <f t="shared" si="135"/>
        <v>0</v>
      </c>
      <c r="I2132" s="58"/>
      <c r="J2132" s="54">
        <f t="shared" si="136"/>
        <v>0</v>
      </c>
      <c r="K2132" s="57"/>
      <c r="L2132" s="54">
        <f t="shared" si="137"/>
        <v>0</v>
      </c>
    </row>
    <row r="2133" spans="1:12" x14ac:dyDescent="0.3">
      <c r="A2133" s="54"/>
      <c r="B2133" s="54"/>
      <c r="C2133" s="54"/>
      <c r="D2133" s="54"/>
      <c r="E2133" s="55"/>
      <c r="F2133" s="57"/>
      <c r="G2133" s="57"/>
      <c r="H2133" s="54">
        <f t="shared" si="135"/>
        <v>0</v>
      </c>
      <c r="I2133" s="58"/>
      <c r="J2133" s="54">
        <f t="shared" si="136"/>
        <v>0</v>
      </c>
      <c r="K2133" s="57"/>
      <c r="L2133" s="54">
        <f t="shared" si="137"/>
        <v>0</v>
      </c>
    </row>
    <row r="2134" spans="1:12" x14ac:dyDescent="0.3">
      <c r="A2134" s="54"/>
      <c r="B2134" s="54"/>
      <c r="C2134" s="54"/>
      <c r="D2134" s="54"/>
      <c r="E2134" s="55"/>
      <c r="F2134" s="57"/>
      <c r="G2134" s="57"/>
      <c r="H2134" s="54">
        <f t="shared" si="135"/>
        <v>0</v>
      </c>
      <c r="I2134" s="58"/>
      <c r="J2134" s="54">
        <f t="shared" si="136"/>
        <v>0</v>
      </c>
      <c r="K2134" s="57"/>
      <c r="L2134" s="54">
        <f t="shared" si="137"/>
        <v>0</v>
      </c>
    </row>
    <row r="2135" spans="1:12" x14ac:dyDescent="0.3">
      <c r="A2135" s="54"/>
      <c r="B2135" s="54"/>
      <c r="C2135" s="54"/>
      <c r="D2135" s="54"/>
      <c r="E2135" s="55"/>
      <c r="F2135" s="57"/>
      <c r="G2135" s="57"/>
      <c r="H2135" s="54">
        <f t="shared" si="135"/>
        <v>0</v>
      </c>
      <c r="I2135" s="58"/>
      <c r="J2135" s="54">
        <f t="shared" si="136"/>
        <v>0</v>
      </c>
      <c r="K2135" s="57"/>
      <c r="L2135" s="54">
        <f t="shared" si="137"/>
        <v>0</v>
      </c>
    </row>
    <row r="2136" spans="1:12" x14ac:dyDescent="0.3">
      <c r="A2136" s="54"/>
      <c r="B2136" s="54"/>
      <c r="C2136" s="54"/>
      <c r="D2136" s="54"/>
      <c r="E2136" s="55"/>
      <c r="F2136" s="57"/>
      <c r="G2136" s="57"/>
      <c r="H2136" s="54">
        <f t="shared" si="135"/>
        <v>0</v>
      </c>
      <c r="I2136" s="58"/>
      <c r="J2136" s="54">
        <f t="shared" si="136"/>
        <v>0</v>
      </c>
      <c r="K2136" s="57"/>
      <c r="L2136" s="54">
        <f t="shared" si="137"/>
        <v>0</v>
      </c>
    </row>
    <row r="2137" spans="1:12" x14ac:dyDescent="0.3">
      <c r="A2137" s="54"/>
      <c r="B2137" s="54"/>
      <c r="C2137" s="54"/>
      <c r="D2137" s="54"/>
      <c r="E2137" s="55"/>
      <c r="F2137" s="57"/>
      <c r="G2137" s="57"/>
      <c r="H2137" s="54">
        <f t="shared" si="135"/>
        <v>0</v>
      </c>
      <c r="I2137" s="58"/>
      <c r="J2137" s="54">
        <f t="shared" si="136"/>
        <v>0</v>
      </c>
      <c r="K2137" s="57"/>
      <c r="L2137" s="54">
        <f t="shared" si="137"/>
        <v>0</v>
      </c>
    </row>
    <row r="2138" spans="1:12" x14ac:dyDescent="0.3">
      <c r="A2138" s="54"/>
      <c r="B2138" s="54"/>
      <c r="C2138" s="54"/>
      <c r="D2138" s="54"/>
      <c r="E2138" s="55"/>
      <c r="F2138" s="57"/>
      <c r="G2138" s="57"/>
      <c r="H2138" s="54">
        <f t="shared" si="135"/>
        <v>0</v>
      </c>
      <c r="I2138" s="58"/>
      <c r="J2138" s="54">
        <f t="shared" si="136"/>
        <v>0</v>
      </c>
      <c r="K2138" s="57"/>
      <c r="L2138" s="54">
        <f t="shared" si="137"/>
        <v>0</v>
      </c>
    </row>
    <row r="2139" spans="1:12" x14ac:dyDescent="0.3">
      <c r="A2139" s="54"/>
      <c r="B2139" s="54"/>
      <c r="C2139" s="54"/>
      <c r="D2139" s="54"/>
      <c r="E2139" s="55"/>
      <c r="F2139" s="57"/>
      <c r="G2139" s="57"/>
      <c r="H2139" s="54">
        <f t="shared" ref="H2139:H2202" si="138">+F2139-G2139</f>
        <v>0</v>
      </c>
      <c r="I2139" s="58"/>
      <c r="J2139" s="54">
        <f t="shared" ref="J2139:J2202" si="139">+H2139-H2139*I2139/100</f>
        <v>0</v>
      </c>
      <c r="K2139" s="57"/>
      <c r="L2139" s="54">
        <f t="shared" ref="L2139:L2202" si="140">+J2139*K2139</f>
        <v>0</v>
      </c>
    </row>
    <row r="2140" spans="1:12" x14ac:dyDescent="0.3">
      <c r="A2140" s="54"/>
      <c r="B2140" s="54"/>
      <c r="C2140" s="54"/>
      <c r="D2140" s="54"/>
      <c r="E2140" s="55"/>
      <c r="F2140" s="57"/>
      <c r="G2140" s="57"/>
      <c r="H2140" s="54">
        <f t="shared" si="138"/>
        <v>0</v>
      </c>
      <c r="I2140" s="58"/>
      <c r="J2140" s="54">
        <f t="shared" si="139"/>
        <v>0</v>
      </c>
      <c r="K2140" s="57"/>
      <c r="L2140" s="54">
        <f t="shared" si="140"/>
        <v>0</v>
      </c>
    </row>
    <row r="2141" spans="1:12" x14ac:dyDescent="0.3">
      <c r="A2141" s="54"/>
      <c r="B2141" s="54"/>
      <c r="C2141" s="54"/>
      <c r="D2141" s="54"/>
      <c r="E2141" s="55"/>
      <c r="F2141" s="57"/>
      <c r="G2141" s="57"/>
      <c r="H2141" s="54">
        <f t="shared" si="138"/>
        <v>0</v>
      </c>
      <c r="I2141" s="58"/>
      <c r="J2141" s="54">
        <f t="shared" si="139"/>
        <v>0</v>
      </c>
      <c r="K2141" s="57"/>
      <c r="L2141" s="54">
        <f t="shared" si="140"/>
        <v>0</v>
      </c>
    </row>
    <row r="2142" spans="1:12" x14ac:dyDescent="0.3">
      <c r="A2142" s="54"/>
      <c r="B2142" s="54"/>
      <c r="C2142" s="54"/>
      <c r="D2142" s="54"/>
      <c r="E2142" s="55"/>
      <c r="F2142" s="57"/>
      <c r="G2142" s="57"/>
      <c r="H2142" s="54">
        <f t="shared" si="138"/>
        <v>0</v>
      </c>
      <c r="I2142" s="58"/>
      <c r="J2142" s="54">
        <f t="shared" si="139"/>
        <v>0</v>
      </c>
      <c r="K2142" s="57"/>
      <c r="L2142" s="54">
        <f t="shared" si="140"/>
        <v>0</v>
      </c>
    </row>
    <row r="2143" spans="1:12" x14ac:dyDescent="0.3">
      <c r="A2143" s="54"/>
      <c r="B2143" s="54"/>
      <c r="C2143" s="54"/>
      <c r="D2143" s="54"/>
      <c r="E2143" s="55"/>
      <c r="F2143" s="57"/>
      <c r="G2143" s="57"/>
      <c r="H2143" s="54">
        <f t="shared" si="138"/>
        <v>0</v>
      </c>
      <c r="I2143" s="58"/>
      <c r="J2143" s="54">
        <f t="shared" si="139"/>
        <v>0</v>
      </c>
      <c r="K2143" s="57"/>
      <c r="L2143" s="54">
        <f t="shared" si="140"/>
        <v>0</v>
      </c>
    </row>
    <row r="2144" spans="1:12" x14ac:dyDescent="0.3">
      <c r="A2144" s="54"/>
      <c r="B2144" s="54"/>
      <c r="C2144" s="54"/>
      <c r="D2144" s="54"/>
      <c r="E2144" s="55"/>
      <c r="F2144" s="57"/>
      <c r="G2144" s="57"/>
      <c r="H2144" s="54">
        <f t="shared" si="138"/>
        <v>0</v>
      </c>
      <c r="I2144" s="58"/>
      <c r="J2144" s="54">
        <f t="shared" si="139"/>
        <v>0</v>
      </c>
      <c r="K2144" s="57"/>
      <c r="L2144" s="54">
        <f t="shared" si="140"/>
        <v>0</v>
      </c>
    </row>
    <row r="2145" spans="1:12" x14ac:dyDescent="0.3">
      <c r="A2145" s="54"/>
      <c r="B2145" s="54"/>
      <c r="C2145" s="54"/>
      <c r="D2145" s="54"/>
      <c r="E2145" s="55"/>
      <c r="F2145" s="57"/>
      <c r="G2145" s="57"/>
      <c r="H2145" s="54">
        <f t="shared" si="138"/>
        <v>0</v>
      </c>
      <c r="I2145" s="58"/>
      <c r="J2145" s="54">
        <f t="shared" si="139"/>
        <v>0</v>
      </c>
      <c r="K2145" s="57"/>
      <c r="L2145" s="54">
        <f t="shared" si="140"/>
        <v>0</v>
      </c>
    </row>
    <row r="2146" spans="1:12" x14ac:dyDescent="0.3">
      <c r="A2146" s="54"/>
      <c r="B2146" s="54"/>
      <c r="C2146" s="54"/>
      <c r="D2146" s="54"/>
      <c r="E2146" s="55"/>
      <c r="F2146" s="57"/>
      <c r="G2146" s="57"/>
      <c r="H2146" s="54">
        <f t="shared" si="138"/>
        <v>0</v>
      </c>
      <c r="I2146" s="58"/>
      <c r="J2146" s="54">
        <f t="shared" si="139"/>
        <v>0</v>
      </c>
      <c r="K2146" s="57"/>
      <c r="L2146" s="54">
        <f t="shared" si="140"/>
        <v>0</v>
      </c>
    </row>
    <row r="2147" spans="1:12" x14ac:dyDescent="0.3">
      <c r="A2147" s="54"/>
      <c r="B2147" s="54"/>
      <c r="C2147" s="54"/>
      <c r="D2147" s="54"/>
      <c r="E2147" s="55"/>
      <c r="F2147" s="57"/>
      <c r="G2147" s="57"/>
      <c r="H2147" s="54">
        <f t="shared" si="138"/>
        <v>0</v>
      </c>
      <c r="I2147" s="58"/>
      <c r="J2147" s="54">
        <f t="shared" si="139"/>
        <v>0</v>
      </c>
      <c r="K2147" s="57"/>
      <c r="L2147" s="54">
        <f t="shared" si="140"/>
        <v>0</v>
      </c>
    </row>
    <row r="2148" spans="1:12" x14ac:dyDescent="0.3">
      <c r="A2148" s="54"/>
      <c r="B2148" s="54"/>
      <c r="C2148" s="54"/>
      <c r="D2148" s="54"/>
      <c r="E2148" s="55"/>
      <c r="F2148" s="57"/>
      <c r="G2148" s="57"/>
      <c r="H2148" s="54">
        <f t="shared" si="138"/>
        <v>0</v>
      </c>
      <c r="I2148" s="58"/>
      <c r="J2148" s="54">
        <f t="shared" si="139"/>
        <v>0</v>
      </c>
      <c r="K2148" s="57"/>
      <c r="L2148" s="54">
        <f t="shared" si="140"/>
        <v>0</v>
      </c>
    </row>
    <row r="2149" spans="1:12" x14ac:dyDescent="0.3">
      <c r="A2149" s="54"/>
      <c r="B2149" s="54"/>
      <c r="C2149" s="54"/>
      <c r="D2149" s="54"/>
      <c r="E2149" s="55"/>
      <c r="F2149" s="57"/>
      <c r="G2149" s="57"/>
      <c r="H2149" s="54">
        <f t="shared" si="138"/>
        <v>0</v>
      </c>
      <c r="I2149" s="58"/>
      <c r="J2149" s="54">
        <f t="shared" si="139"/>
        <v>0</v>
      </c>
      <c r="K2149" s="57"/>
      <c r="L2149" s="54">
        <f t="shared" si="140"/>
        <v>0</v>
      </c>
    </row>
    <row r="2150" spans="1:12" x14ac:dyDescent="0.3">
      <c r="A2150" s="54"/>
      <c r="B2150" s="54"/>
      <c r="C2150" s="54"/>
      <c r="D2150" s="54"/>
      <c r="E2150" s="55"/>
      <c r="F2150" s="57"/>
      <c r="G2150" s="57"/>
      <c r="H2150" s="54">
        <f t="shared" si="138"/>
        <v>0</v>
      </c>
      <c r="I2150" s="58"/>
      <c r="J2150" s="54">
        <f t="shared" si="139"/>
        <v>0</v>
      </c>
      <c r="K2150" s="57"/>
      <c r="L2150" s="54">
        <f t="shared" si="140"/>
        <v>0</v>
      </c>
    </row>
    <row r="2151" spans="1:12" x14ac:dyDescent="0.3">
      <c r="A2151" s="54"/>
      <c r="B2151" s="54"/>
      <c r="C2151" s="54"/>
      <c r="D2151" s="54"/>
      <c r="E2151" s="55"/>
      <c r="F2151" s="57"/>
      <c r="G2151" s="57"/>
      <c r="H2151" s="54">
        <f t="shared" si="138"/>
        <v>0</v>
      </c>
      <c r="I2151" s="58"/>
      <c r="J2151" s="54">
        <f t="shared" si="139"/>
        <v>0</v>
      </c>
      <c r="K2151" s="57"/>
      <c r="L2151" s="54">
        <f t="shared" si="140"/>
        <v>0</v>
      </c>
    </row>
    <row r="2152" spans="1:12" x14ac:dyDescent="0.3">
      <c r="A2152" s="54"/>
      <c r="B2152" s="54"/>
      <c r="C2152" s="54"/>
      <c r="D2152" s="54"/>
      <c r="E2152" s="55"/>
      <c r="F2152" s="57"/>
      <c r="G2152" s="57"/>
      <c r="H2152" s="54">
        <f t="shared" si="138"/>
        <v>0</v>
      </c>
      <c r="I2152" s="58"/>
      <c r="J2152" s="54">
        <f t="shared" si="139"/>
        <v>0</v>
      </c>
      <c r="K2152" s="57"/>
      <c r="L2152" s="54">
        <f t="shared" si="140"/>
        <v>0</v>
      </c>
    </row>
    <row r="2153" spans="1:12" x14ac:dyDescent="0.3">
      <c r="A2153" s="54"/>
      <c r="B2153" s="54"/>
      <c r="C2153" s="54"/>
      <c r="D2153" s="54"/>
      <c r="E2153" s="55"/>
      <c r="F2153" s="57"/>
      <c r="G2153" s="57"/>
      <c r="H2153" s="54">
        <f t="shared" si="138"/>
        <v>0</v>
      </c>
      <c r="I2153" s="58"/>
      <c r="J2153" s="54">
        <f t="shared" si="139"/>
        <v>0</v>
      </c>
      <c r="K2153" s="57"/>
      <c r="L2153" s="54">
        <f t="shared" si="140"/>
        <v>0</v>
      </c>
    </row>
    <row r="2154" spans="1:12" x14ac:dyDescent="0.3">
      <c r="A2154" s="54"/>
      <c r="B2154" s="54"/>
      <c r="C2154" s="54"/>
      <c r="D2154" s="54"/>
      <c r="E2154" s="55"/>
      <c r="F2154" s="57"/>
      <c r="G2154" s="57"/>
      <c r="H2154" s="54">
        <f t="shared" si="138"/>
        <v>0</v>
      </c>
      <c r="I2154" s="58"/>
      <c r="J2154" s="54">
        <f t="shared" si="139"/>
        <v>0</v>
      </c>
      <c r="K2154" s="57"/>
      <c r="L2154" s="54">
        <f t="shared" si="140"/>
        <v>0</v>
      </c>
    </row>
    <row r="2155" spans="1:12" x14ac:dyDescent="0.3">
      <c r="A2155" s="54"/>
      <c r="B2155" s="54"/>
      <c r="C2155" s="54"/>
      <c r="D2155" s="54"/>
      <c r="E2155" s="55"/>
      <c r="F2155" s="57"/>
      <c r="G2155" s="57"/>
      <c r="H2155" s="54">
        <f t="shared" si="138"/>
        <v>0</v>
      </c>
      <c r="I2155" s="58"/>
      <c r="J2155" s="54">
        <f t="shared" si="139"/>
        <v>0</v>
      </c>
      <c r="K2155" s="57"/>
      <c r="L2155" s="54">
        <f t="shared" si="140"/>
        <v>0</v>
      </c>
    </row>
    <row r="2156" spans="1:12" x14ac:dyDescent="0.3">
      <c r="A2156" s="54"/>
      <c r="B2156" s="54"/>
      <c r="C2156" s="54"/>
      <c r="D2156" s="54"/>
      <c r="E2156" s="55"/>
      <c r="F2156" s="57"/>
      <c r="G2156" s="57"/>
      <c r="H2156" s="54">
        <f t="shared" si="138"/>
        <v>0</v>
      </c>
      <c r="I2156" s="58"/>
      <c r="J2156" s="54">
        <f t="shared" si="139"/>
        <v>0</v>
      </c>
      <c r="K2156" s="57"/>
      <c r="L2156" s="54">
        <f t="shared" si="140"/>
        <v>0</v>
      </c>
    </row>
    <row r="2157" spans="1:12" x14ac:dyDescent="0.3">
      <c r="A2157" s="54"/>
      <c r="B2157" s="54"/>
      <c r="C2157" s="54"/>
      <c r="D2157" s="54"/>
      <c r="E2157" s="55"/>
      <c r="F2157" s="57"/>
      <c r="G2157" s="57"/>
      <c r="H2157" s="54">
        <f t="shared" si="138"/>
        <v>0</v>
      </c>
      <c r="I2157" s="58"/>
      <c r="J2157" s="54">
        <f t="shared" si="139"/>
        <v>0</v>
      </c>
      <c r="K2157" s="57"/>
      <c r="L2157" s="54">
        <f t="shared" si="140"/>
        <v>0</v>
      </c>
    </row>
    <row r="2158" spans="1:12" x14ac:dyDescent="0.3">
      <c r="A2158" s="54"/>
      <c r="B2158" s="54"/>
      <c r="C2158" s="54"/>
      <c r="D2158" s="54"/>
      <c r="E2158" s="55"/>
      <c r="F2158" s="57"/>
      <c r="G2158" s="57"/>
      <c r="H2158" s="54">
        <f t="shared" si="138"/>
        <v>0</v>
      </c>
      <c r="I2158" s="58"/>
      <c r="J2158" s="54">
        <f t="shared" si="139"/>
        <v>0</v>
      </c>
      <c r="K2158" s="57"/>
      <c r="L2158" s="54">
        <f t="shared" si="140"/>
        <v>0</v>
      </c>
    </row>
    <row r="2159" spans="1:12" x14ac:dyDescent="0.3">
      <c r="A2159" s="54"/>
      <c r="B2159" s="54"/>
      <c r="C2159" s="54"/>
      <c r="D2159" s="54"/>
      <c r="E2159" s="55"/>
      <c r="F2159" s="57"/>
      <c r="G2159" s="57"/>
      <c r="H2159" s="54">
        <f t="shared" si="138"/>
        <v>0</v>
      </c>
      <c r="I2159" s="58"/>
      <c r="J2159" s="54">
        <f t="shared" si="139"/>
        <v>0</v>
      </c>
      <c r="K2159" s="57"/>
      <c r="L2159" s="54">
        <f t="shared" si="140"/>
        <v>0</v>
      </c>
    </row>
    <row r="2160" spans="1:12" x14ac:dyDescent="0.3">
      <c r="A2160" s="54"/>
      <c r="B2160" s="54"/>
      <c r="C2160" s="54"/>
      <c r="D2160" s="54"/>
      <c r="E2160" s="55"/>
      <c r="F2160" s="57"/>
      <c r="G2160" s="57"/>
      <c r="H2160" s="54">
        <f t="shared" si="138"/>
        <v>0</v>
      </c>
      <c r="I2160" s="58"/>
      <c r="J2160" s="54">
        <f t="shared" si="139"/>
        <v>0</v>
      </c>
      <c r="K2160" s="57"/>
      <c r="L2160" s="54">
        <f t="shared" si="140"/>
        <v>0</v>
      </c>
    </row>
    <row r="2161" spans="1:12" x14ac:dyDescent="0.3">
      <c r="A2161" s="54"/>
      <c r="B2161" s="54"/>
      <c r="C2161" s="54"/>
      <c r="D2161" s="54"/>
      <c r="E2161" s="55"/>
      <c r="F2161" s="57"/>
      <c r="G2161" s="57"/>
      <c r="H2161" s="54">
        <f t="shared" si="138"/>
        <v>0</v>
      </c>
      <c r="I2161" s="58"/>
      <c r="J2161" s="54">
        <f t="shared" si="139"/>
        <v>0</v>
      </c>
      <c r="K2161" s="57"/>
      <c r="L2161" s="54">
        <f t="shared" si="140"/>
        <v>0</v>
      </c>
    </row>
    <row r="2162" spans="1:12" x14ac:dyDescent="0.3">
      <c r="A2162" s="54"/>
      <c r="B2162" s="54"/>
      <c r="C2162" s="54"/>
      <c r="D2162" s="54"/>
      <c r="E2162" s="55"/>
      <c r="F2162" s="57"/>
      <c r="G2162" s="57"/>
      <c r="H2162" s="54">
        <f t="shared" si="138"/>
        <v>0</v>
      </c>
      <c r="I2162" s="58"/>
      <c r="J2162" s="54">
        <f t="shared" si="139"/>
        <v>0</v>
      </c>
      <c r="K2162" s="57"/>
      <c r="L2162" s="54">
        <f t="shared" si="140"/>
        <v>0</v>
      </c>
    </row>
    <row r="2163" spans="1:12" x14ac:dyDescent="0.3">
      <c r="A2163" s="54"/>
      <c r="B2163" s="54"/>
      <c r="C2163" s="54"/>
      <c r="D2163" s="54"/>
      <c r="E2163" s="55"/>
      <c r="F2163" s="57"/>
      <c r="G2163" s="57"/>
      <c r="H2163" s="54">
        <f t="shared" si="138"/>
        <v>0</v>
      </c>
      <c r="I2163" s="58"/>
      <c r="J2163" s="54">
        <f t="shared" si="139"/>
        <v>0</v>
      </c>
      <c r="K2163" s="57"/>
      <c r="L2163" s="54">
        <f t="shared" si="140"/>
        <v>0</v>
      </c>
    </row>
    <row r="2164" spans="1:12" x14ac:dyDescent="0.3">
      <c r="A2164" s="54"/>
      <c r="B2164" s="54"/>
      <c r="C2164" s="54"/>
      <c r="D2164" s="54"/>
      <c r="E2164" s="55"/>
      <c r="F2164" s="57"/>
      <c r="G2164" s="57"/>
      <c r="H2164" s="54">
        <f t="shared" si="138"/>
        <v>0</v>
      </c>
      <c r="I2164" s="58"/>
      <c r="J2164" s="54">
        <f t="shared" si="139"/>
        <v>0</v>
      </c>
      <c r="K2164" s="57"/>
      <c r="L2164" s="54">
        <f t="shared" si="140"/>
        <v>0</v>
      </c>
    </row>
    <row r="2165" spans="1:12" x14ac:dyDescent="0.3">
      <c r="A2165" s="54"/>
      <c r="B2165" s="54"/>
      <c r="C2165" s="54"/>
      <c r="D2165" s="54"/>
      <c r="E2165" s="55"/>
      <c r="F2165" s="57"/>
      <c r="G2165" s="57"/>
      <c r="H2165" s="54">
        <f t="shared" si="138"/>
        <v>0</v>
      </c>
      <c r="I2165" s="58"/>
      <c r="J2165" s="54">
        <f t="shared" si="139"/>
        <v>0</v>
      </c>
      <c r="K2165" s="57"/>
      <c r="L2165" s="54">
        <f t="shared" si="140"/>
        <v>0</v>
      </c>
    </row>
    <row r="2166" spans="1:12" x14ac:dyDescent="0.3">
      <c r="A2166" s="54"/>
      <c r="B2166" s="54"/>
      <c r="C2166" s="54"/>
      <c r="D2166" s="54"/>
      <c r="E2166" s="55"/>
      <c r="F2166" s="57"/>
      <c r="G2166" s="57"/>
      <c r="H2166" s="54">
        <f t="shared" si="138"/>
        <v>0</v>
      </c>
      <c r="I2166" s="58"/>
      <c r="J2166" s="54">
        <f t="shared" si="139"/>
        <v>0</v>
      </c>
      <c r="K2166" s="57"/>
      <c r="L2166" s="54">
        <f t="shared" si="140"/>
        <v>0</v>
      </c>
    </row>
    <row r="2167" spans="1:12" x14ac:dyDescent="0.3">
      <c r="A2167" s="54"/>
      <c r="B2167" s="54"/>
      <c r="C2167" s="54"/>
      <c r="D2167" s="54"/>
      <c r="E2167" s="55"/>
      <c r="F2167" s="57"/>
      <c r="G2167" s="57"/>
      <c r="H2167" s="54">
        <f t="shared" si="138"/>
        <v>0</v>
      </c>
      <c r="I2167" s="58"/>
      <c r="J2167" s="54">
        <f t="shared" si="139"/>
        <v>0</v>
      </c>
      <c r="K2167" s="57"/>
      <c r="L2167" s="54">
        <f t="shared" si="140"/>
        <v>0</v>
      </c>
    </row>
    <row r="2168" spans="1:12" x14ac:dyDescent="0.3">
      <c r="A2168" s="54"/>
      <c r="B2168" s="54"/>
      <c r="C2168" s="54"/>
      <c r="D2168" s="54"/>
      <c r="E2168" s="55"/>
      <c r="F2168" s="57"/>
      <c r="G2168" s="57"/>
      <c r="H2168" s="54">
        <f t="shared" si="138"/>
        <v>0</v>
      </c>
      <c r="I2168" s="58"/>
      <c r="J2168" s="54">
        <f t="shared" si="139"/>
        <v>0</v>
      </c>
      <c r="K2168" s="57"/>
      <c r="L2168" s="54">
        <f t="shared" si="140"/>
        <v>0</v>
      </c>
    </row>
    <row r="2169" spans="1:12" x14ac:dyDescent="0.3">
      <c r="A2169" s="54"/>
      <c r="B2169" s="54"/>
      <c r="C2169" s="54"/>
      <c r="D2169" s="54"/>
      <c r="E2169" s="55"/>
      <c r="F2169" s="57"/>
      <c r="G2169" s="57"/>
      <c r="H2169" s="54">
        <f t="shared" si="138"/>
        <v>0</v>
      </c>
      <c r="I2169" s="58"/>
      <c r="J2169" s="54">
        <f t="shared" si="139"/>
        <v>0</v>
      </c>
      <c r="K2169" s="57"/>
      <c r="L2169" s="54">
        <f t="shared" si="140"/>
        <v>0</v>
      </c>
    </row>
    <row r="2170" spans="1:12" x14ac:dyDescent="0.3">
      <c r="A2170" s="54"/>
      <c r="B2170" s="54"/>
      <c r="C2170" s="54"/>
      <c r="D2170" s="54"/>
      <c r="E2170" s="55"/>
      <c r="F2170" s="57"/>
      <c r="G2170" s="57"/>
      <c r="H2170" s="54">
        <f t="shared" si="138"/>
        <v>0</v>
      </c>
      <c r="I2170" s="58"/>
      <c r="J2170" s="54">
        <f t="shared" si="139"/>
        <v>0</v>
      </c>
      <c r="K2170" s="57"/>
      <c r="L2170" s="54">
        <f t="shared" si="140"/>
        <v>0</v>
      </c>
    </row>
    <row r="2171" spans="1:12" x14ac:dyDescent="0.3">
      <c r="A2171" s="54"/>
      <c r="B2171" s="54"/>
      <c r="C2171" s="54"/>
      <c r="D2171" s="54"/>
      <c r="E2171" s="55"/>
      <c r="F2171" s="57"/>
      <c r="G2171" s="57"/>
      <c r="H2171" s="54">
        <f t="shared" si="138"/>
        <v>0</v>
      </c>
      <c r="I2171" s="58"/>
      <c r="J2171" s="54">
        <f t="shared" si="139"/>
        <v>0</v>
      </c>
      <c r="K2171" s="57"/>
      <c r="L2171" s="54">
        <f t="shared" si="140"/>
        <v>0</v>
      </c>
    </row>
    <row r="2172" spans="1:12" x14ac:dyDescent="0.3">
      <c r="A2172" s="54"/>
      <c r="B2172" s="54"/>
      <c r="C2172" s="54"/>
      <c r="D2172" s="54"/>
      <c r="E2172" s="55"/>
      <c r="F2172" s="57"/>
      <c r="G2172" s="57"/>
      <c r="H2172" s="54">
        <f t="shared" si="138"/>
        <v>0</v>
      </c>
      <c r="I2172" s="58"/>
      <c r="J2172" s="54">
        <f t="shared" si="139"/>
        <v>0</v>
      </c>
      <c r="K2172" s="57"/>
      <c r="L2172" s="54">
        <f t="shared" si="140"/>
        <v>0</v>
      </c>
    </row>
    <row r="2173" spans="1:12" x14ac:dyDescent="0.3">
      <c r="A2173" s="54"/>
      <c r="B2173" s="54"/>
      <c r="C2173" s="54"/>
      <c r="D2173" s="54"/>
      <c r="E2173" s="55"/>
      <c r="F2173" s="57"/>
      <c r="G2173" s="57"/>
      <c r="H2173" s="54">
        <f t="shared" si="138"/>
        <v>0</v>
      </c>
      <c r="I2173" s="58"/>
      <c r="J2173" s="54">
        <f t="shared" si="139"/>
        <v>0</v>
      </c>
      <c r="K2173" s="57"/>
      <c r="L2173" s="54">
        <f t="shared" si="140"/>
        <v>0</v>
      </c>
    </row>
    <row r="2174" spans="1:12" x14ac:dyDescent="0.3">
      <c r="A2174" s="54"/>
      <c r="B2174" s="54"/>
      <c r="C2174" s="54"/>
      <c r="D2174" s="54"/>
      <c r="E2174" s="55"/>
      <c r="F2174" s="57"/>
      <c r="G2174" s="57"/>
      <c r="H2174" s="54">
        <f t="shared" si="138"/>
        <v>0</v>
      </c>
      <c r="I2174" s="58"/>
      <c r="J2174" s="54">
        <f t="shared" si="139"/>
        <v>0</v>
      </c>
      <c r="K2174" s="57"/>
      <c r="L2174" s="54">
        <f t="shared" si="140"/>
        <v>0</v>
      </c>
    </row>
    <row r="2175" spans="1:12" x14ac:dyDescent="0.3">
      <c r="A2175" s="54"/>
      <c r="B2175" s="54"/>
      <c r="C2175" s="54"/>
      <c r="D2175" s="54"/>
      <c r="E2175" s="55"/>
      <c r="F2175" s="57"/>
      <c r="G2175" s="57"/>
      <c r="H2175" s="54">
        <f t="shared" si="138"/>
        <v>0</v>
      </c>
      <c r="I2175" s="58"/>
      <c r="J2175" s="54">
        <f t="shared" si="139"/>
        <v>0</v>
      </c>
      <c r="K2175" s="57"/>
      <c r="L2175" s="54">
        <f t="shared" si="140"/>
        <v>0</v>
      </c>
    </row>
    <row r="2176" spans="1:12" x14ac:dyDescent="0.3">
      <c r="A2176" s="54"/>
      <c r="B2176" s="54"/>
      <c r="C2176" s="54"/>
      <c r="D2176" s="54"/>
      <c r="E2176" s="55"/>
      <c r="F2176" s="57"/>
      <c r="G2176" s="57"/>
      <c r="H2176" s="54">
        <f t="shared" si="138"/>
        <v>0</v>
      </c>
      <c r="I2176" s="58"/>
      <c r="J2176" s="54">
        <f t="shared" si="139"/>
        <v>0</v>
      </c>
      <c r="K2176" s="57"/>
      <c r="L2176" s="54">
        <f t="shared" si="140"/>
        <v>0</v>
      </c>
    </row>
    <row r="2177" spans="1:12" x14ac:dyDescent="0.3">
      <c r="A2177" s="54"/>
      <c r="B2177" s="54"/>
      <c r="C2177" s="54"/>
      <c r="D2177" s="54"/>
      <c r="E2177" s="55"/>
      <c r="F2177" s="57"/>
      <c r="G2177" s="57"/>
      <c r="H2177" s="54">
        <f t="shared" si="138"/>
        <v>0</v>
      </c>
      <c r="I2177" s="58"/>
      <c r="J2177" s="54">
        <f t="shared" si="139"/>
        <v>0</v>
      </c>
      <c r="K2177" s="57"/>
      <c r="L2177" s="54">
        <f t="shared" si="140"/>
        <v>0</v>
      </c>
    </row>
    <row r="2178" spans="1:12" x14ac:dyDescent="0.3">
      <c r="A2178" s="54"/>
      <c r="B2178" s="54"/>
      <c r="C2178" s="54"/>
      <c r="D2178" s="54"/>
      <c r="E2178" s="55"/>
      <c r="F2178" s="57"/>
      <c r="G2178" s="57"/>
      <c r="H2178" s="54">
        <f t="shared" si="138"/>
        <v>0</v>
      </c>
      <c r="I2178" s="58"/>
      <c r="J2178" s="54">
        <f t="shared" si="139"/>
        <v>0</v>
      </c>
      <c r="K2178" s="57"/>
      <c r="L2178" s="54">
        <f t="shared" si="140"/>
        <v>0</v>
      </c>
    </row>
    <row r="2179" spans="1:12" x14ac:dyDescent="0.3">
      <c r="A2179" s="54"/>
      <c r="B2179" s="54"/>
      <c r="C2179" s="54"/>
      <c r="D2179" s="54"/>
      <c r="E2179" s="55"/>
      <c r="F2179" s="57"/>
      <c r="G2179" s="57"/>
      <c r="H2179" s="54">
        <f t="shared" si="138"/>
        <v>0</v>
      </c>
      <c r="I2179" s="58"/>
      <c r="J2179" s="54">
        <f t="shared" si="139"/>
        <v>0</v>
      </c>
      <c r="K2179" s="57"/>
      <c r="L2179" s="54">
        <f t="shared" si="140"/>
        <v>0</v>
      </c>
    </row>
    <row r="2180" spans="1:12" x14ac:dyDescent="0.3">
      <c r="A2180" s="54"/>
      <c r="B2180" s="54"/>
      <c r="C2180" s="54"/>
      <c r="D2180" s="54"/>
      <c r="E2180" s="55"/>
      <c r="F2180" s="57"/>
      <c r="G2180" s="57"/>
      <c r="H2180" s="54">
        <f t="shared" si="138"/>
        <v>0</v>
      </c>
      <c r="I2180" s="58"/>
      <c r="J2180" s="54">
        <f t="shared" si="139"/>
        <v>0</v>
      </c>
      <c r="K2180" s="57"/>
      <c r="L2180" s="54">
        <f t="shared" si="140"/>
        <v>0</v>
      </c>
    </row>
    <row r="2181" spans="1:12" x14ac:dyDescent="0.3">
      <c r="A2181" s="54"/>
      <c r="B2181" s="54"/>
      <c r="C2181" s="54"/>
      <c r="D2181" s="54"/>
      <c r="E2181" s="55"/>
      <c r="F2181" s="57"/>
      <c r="G2181" s="57"/>
      <c r="H2181" s="54">
        <f t="shared" si="138"/>
        <v>0</v>
      </c>
      <c r="I2181" s="58"/>
      <c r="J2181" s="54">
        <f t="shared" si="139"/>
        <v>0</v>
      </c>
      <c r="K2181" s="57"/>
      <c r="L2181" s="54">
        <f t="shared" si="140"/>
        <v>0</v>
      </c>
    </row>
    <row r="2182" spans="1:12" x14ac:dyDescent="0.3">
      <c r="A2182" s="54"/>
      <c r="B2182" s="54"/>
      <c r="C2182" s="54"/>
      <c r="D2182" s="54"/>
      <c r="E2182" s="55"/>
      <c r="F2182" s="57"/>
      <c r="G2182" s="57"/>
      <c r="H2182" s="54">
        <f t="shared" si="138"/>
        <v>0</v>
      </c>
      <c r="I2182" s="58"/>
      <c r="J2182" s="54">
        <f t="shared" si="139"/>
        <v>0</v>
      </c>
      <c r="K2182" s="57"/>
      <c r="L2182" s="54">
        <f t="shared" si="140"/>
        <v>0</v>
      </c>
    </row>
    <row r="2183" spans="1:12" x14ac:dyDescent="0.3">
      <c r="A2183" s="54"/>
      <c r="B2183" s="54"/>
      <c r="C2183" s="54"/>
      <c r="D2183" s="54"/>
      <c r="E2183" s="55"/>
      <c r="F2183" s="57"/>
      <c r="G2183" s="57"/>
      <c r="H2183" s="54">
        <f t="shared" si="138"/>
        <v>0</v>
      </c>
      <c r="I2183" s="58"/>
      <c r="J2183" s="54">
        <f t="shared" si="139"/>
        <v>0</v>
      </c>
      <c r="K2183" s="57"/>
      <c r="L2183" s="54">
        <f t="shared" si="140"/>
        <v>0</v>
      </c>
    </row>
    <row r="2184" spans="1:12" x14ac:dyDescent="0.3">
      <c r="A2184" s="54"/>
      <c r="B2184" s="54"/>
      <c r="C2184" s="54"/>
      <c r="D2184" s="54"/>
      <c r="E2184" s="55"/>
      <c r="F2184" s="57"/>
      <c r="G2184" s="57"/>
      <c r="H2184" s="54">
        <f t="shared" si="138"/>
        <v>0</v>
      </c>
      <c r="I2184" s="58"/>
      <c r="J2184" s="54">
        <f t="shared" si="139"/>
        <v>0</v>
      </c>
      <c r="K2184" s="57"/>
      <c r="L2184" s="54">
        <f t="shared" si="140"/>
        <v>0</v>
      </c>
    </row>
    <row r="2185" spans="1:12" x14ac:dyDescent="0.3">
      <c r="A2185" s="54"/>
      <c r="B2185" s="54"/>
      <c r="C2185" s="54"/>
      <c r="D2185" s="54"/>
      <c r="E2185" s="55"/>
      <c r="F2185" s="57"/>
      <c r="G2185" s="57"/>
      <c r="H2185" s="54">
        <f t="shared" si="138"/>
        <v>0</v>
      </c>
      <c r="I2185" s="58"/>
      <c r="J2185" s="54">
        <f t="shared" si="139"/>
        <v>0</v>
      </c>
      <c r="K2185" s="57"/>
      <c r="L2185" s="54">
        <f t="shared" si="140"/>
        <v>0</v>
      </c>
    </row>
    <row r="2186" spans="1:12" x14ac:dyDescent="0.3">
      <c r="A2186" s="54"/>
      <c r="B2186" s="54"/>
      <c r="C2186" s="54"/>
      <c r="D2186" s="54"/>
      <c r="E2186" s="55"/>
      <c r="F2186" s="57"/>
      <c r="G2186" s="57"/>
      <c r="H2186" s="54">
        <f t="shared" si="138"/>
        <v>0</v>
      </c>
      <c r="I2186" s="58"/>
      <c r="J2186" s="54">
        <f t="shared" si="139"/>
        <v>0</v>
      </c>
      <c r="K2186" s="57"/>
      <c r="L2186" s="54">
        <f t="shared" si="140"/>
        <v>0</v>
      </c>
    </row>
    <row r="2187" spans="1:12" x14ac:dyDescent="0.3">
      <c r="A2187" s="54"/>
      <c r="B2187" s="54"/>
      <c r="C2187" s="54"/>
      <c r="D2187" s="54"/>
      <c r="E2187" s="55"/>
      <c r="F2187" s="57"/>
      <c r="G2187" s="57"/>
      <c r="H2187" s="54">
        <f t="shared" si="138"/>
        <v>0</v>
      </c>
      <c r="I2187" s="58"/>
      <c r="J2187" s="54">
        <f t="shared" si="139"/>
        <v>0</v>
      </c>
      <c r="K2187" s="57"/>
      <c r="L2187" s="54">
        <f t="shared" si="140"/>
        <v>0</v>
      </c>
    </row>
    <row r="2188" spans="1:12" x14ac:dyDescent="0.3">
      <c r="A2188" s="54"/>
      <c r="B2188" s="54"/>
      <c r="C2188" s="54"/>
      <c r="D2188" s="54"/>
      <c r="E2188" s="55"/>
      <c r="F2188" s="57"/>
      <c r="G2188" s="57"/>
      <c r="H2188" s="54">
        <f t="shared" si="138"/>
        <v>0</v>
      </c>
      <c r="I2188" s="58"/>
      <c r="J2188" s="54">
        <f t="shared" si="139"/>
        <v>0</v>
      </c>
      <c r="K2188" s="57"/>
      <c r="L2188" s="54">
        <f t="shared" si="140"/>
        <v>0</v>
      </c>
    </row>
    <row r="2189" spans="1:12" x14ac:dyDescent="0.3">
      <c r="A2189" s="54"/>
      <c r="B2189" s="54"/>
      <c r="C2189" s="54"/>
      <c r="D2189" s="54"/>
      <c r="E2189" s="55"/>
      <c r="F2189" s="57"/>
      <c r="G2189" s="57"/>
      <c r="H2189" s="54">
        <f t="shared" si="138"/>
        <v>0</v>
      </c>
      <c r="I2189" s="58"/>
      <c r="J2189" s="54">
        <f t="shared" si="139"/>
        <v>0</v>
      </c>
      <c r="K2189" s="57"/>
      <c r="L2189" s="54">
        <f t="shared" si="140"/>
        <v>0</v>
      </c>
    </row>
    <row r="2190" spans="1:12" x14ac:dyDescent="0.3">
      <c r="A2190" s="54"/>
      <c r="B2190" s="54"/>
      <c r="C2190" s="54"/>
      <c r="D2190" s="54"/>
      <c r="E2190" s="55"/>
      <c r="F2190" s="57"/>
      <c r="G2190" s="57"/>
      <c r="H2190" s="54">
        <f t="shared" si="138"/>
        <v>0</v>
      </c>
      <c r="I2190" s="58"/>
      <c r="J2190" s="54">
        <f t="shared" si="139"/>
        <v>0</v>
      </c>
      <c r="K2190" s="57"/>
      <c r="L2190" s="54">
        <f t="shared" si="140"/>
        <v>0</v>
      </c>
    </row>
    <row r="2191" spans="1:12" x14ac:dyDescent="0.3">
      <c r="A2191" s="54"/>
      <c r="B2191" s="54"/>
      <c r="C2191" s="54"/>
      <c r="D2191" s="54"/>
      <c r="E2191" s="55"/>
      <c r="F2191" s="57"/>
      <c r="G2191" s="57"/>
      <c r="H2191" s="54">
        <f t="shared" si="138"/>
        <v>0</v>
      </c>
      <c r="I2191" s="58"/>
      <c r="J2191" s="54">
        <f t="shared" si="139"/>
        <v>0</v>
      </c>
      <c r="K2191" s="57"/>
      <c r="L2191" s="54">
        <f t="shared" si="140"/>
        <v>0</v>
      </c>
    </row>
    <row r="2192" spans="1:12" x14ac:dyDescent="0.3">
      <c r="A2192" s="54"/>
      <c r="B2192" s="54"/>
      <c r="C2192" s="54"/>
      <c r="D2192" s="54"/>
      <c r="E2192" s="55"/>
      <c r="F2192" s="57"/>
      <c r="G2192" s="57"/>
      <c r="H2192" s="54">
        <f t="shared" si="138"/>
        <v>0</v>
      </c>
      <c r="I2192" s="58"/>
      <c r="J2192" s="54">
        <f t="shared" si="139"/>
        <v>0</v>
      </c>
      <c r="K2192" s="57"/>
      <c r="L2192" s="54">
        <f t="shared" si="140"/>
        <v>0</v>
      </c>
    </row>
    <row r="2193" spans="1:12" x14ac:dyDescent="0.3">
      <c r="A2193" s="54"/>
      <c r="B2193" s="54"/>
      <c r="C2193" s="54"/>
      <c r="D2193" s="54"/>
      <c r="E2193" s="55"/>
      <c r="F2193" s="57"/>
      <c r="G2193" s="57"/>
      <c r="H2193" s="54">
        <f t="shared" si="138"/>
        <v>0</v>
      </c>
      <c r="I2193" s="58"/>
      <c r="J2193" s="54">
        <f t="shared" si="139"/>
        <v>0</v>
      </c>
      <c r="K2193" s="57"/>
      <c r="L2193" s="54">
        <f t="shared" si="140"/>
        <v>0</v>
      </c>
    </row>
    <row r="2194" spans="1:12" x14ac:dyDescent="0.3">
      <c r="A2194" s="54"/>
      <c r="B2194" s="54"/>
      <c r="C2194" s="54"/>
      <c r="D2194" s="54"/>
      <c r="E2194" s="55"/>
      <c r="F2194" s="57"/>
      <c r="G2194" s="57"/>
      <c r="H2194" s="54">
        <f t="shared" si="138"/>
        <v>0</v>
      </c>
      <c r="I2194" s="58"/>
      <c r="J2194" s="54">
        <f t="shared" si="139"/>
        <v>0</v>
      </c>
      <c r="K2194" s="57"/>
      <c r="L2194" s="54">
        <f t="shared" si="140"/>
        <v>0</v>
      </c>
    </row>
    <row r="2195" spans="1:12" x14ac:dyDescent="0.3">
      <c r="A2195" s="54"/>
      <c r="B2195" s="54"/>
      <c r="C2195" s="54"/>
      <c r="D2195" s="54"/>
      <c r="E2195" s="55"/>
      <c r="F2195" s="57"/>
      <c r="G2195" s="57"/>
      <c r="H2195" s="54">
        <f t="shared" si="138"/>
        <v>0</v>
      </c>
      <c r="I2195" s="58"/>
      <c r="J2195" s="54">
        <f t="shared" si="139"/>
        <v>0</v>
      </c>
      <c r="K2195" s="57"/>
      <c r="L2195" s="54">
        <f t="shared" si="140"/>
        <v>0</v>
      </c>
    </row>
    <row r="2196" spans="1:12" x14ac:dyDescent="0.3">
      <c r="A2196" s="54"/>
      <c r="B2196" s="54"/>
      <c r="C2196" s="54"/>
      <c r="D2196" s="54"/>
      <c r="E2196" s="55"/>
      <c r="F2196" s="57"/>
      <c r="G2196" s="57"/>
      <c r="H2196" s="54">
        <f t="shared" si="138"/>
        <v>0</v>
      </c>
      <c r="I2196" s="58"/>
      <c r="J2196" s="54">
        <f t="shared" si="139"/>
        <v>0</v>
      </c>
      <c r="K2196" s="57"/>
      <c r="L2196" s="54">
        <f t="shared" si="140"/>
        <v>0</v>
      </c>
    </row>
    <row r="2197" spans="1:12" x14ac:dyDescent="0.3">
      <c r="A2197" s="54"/>
      <c r="B2197" s="54"/>
      <c r="C2197" s="54"/>
      <c r="D2197" s="54"/>
      <c r="E2197" s="55"/>
      <c r="F2197" s="57"/>
      <c r="G2197" s="57"/>
      <c r="H2197" s="54">
        <f t="shared" si="138"/>
        <v>0</v>
      </c>
      <c r="I2197" s="58"/>
      <c r="J2197" s="54">
        <f t="shared" si="139"/>
        <v>0</v>
      </c>
      <c r="K2197" s="57"/>
      <c r="L2197" s="54">
        <f t="shared" si="140"/>
        <v>0</v>
      </c>
    </row>
    <row r="2198" spans="1:12" x14ac:dyDescent="0.3">
      <c r="A2198" s="54"/>
      <c r="B2198" s="54"/>
      <c r="C2198" s="54"/>
      <c r="D2198" s="54"/>
      <c r="E2198" s="55"/>
      <c r="F2198" s="57"/>
      <c r="G2198" s="57"/>
      <c r="H2198" s="54">
        <f t="shared" si="138"/>
        <v>0</v>
      </c>
      <c r="I2198" s="58"/>
      <c r="J2198" s="54">
        <f t="shared" si="139"/>
        <v>0</v>
      </c>
      <c r="K2198" s="57"/>
      <c r="L2198" s="54">
        <f t="shared" si="140"/>
        <v>0</v>
      </c>
    </row>
    <row r="2199" spans="1:12" x14ac:dyDescent="0.3">
      <c r="A2199" s="54"/>
      <c r="B2199" s="54"/>
      <c r="C2199" s="54"/>
      <c r="D2199" s="54"/>
      <c r="E2199" s="55"/>
      <c r="F2199" s="57"/>
      <c r="G2199" s="57"/>
      <c r="H2199" s="54">
        <f t="shared" si="138"/>
        <v>0</v>
      </c>
      <c r="I2199" s="58"/>
      <c r="J2199" s="54">
        <f t="shared" si="139"/>
        <v>0</v>
      </c>
      <c r="K2199" s="57"/>
      <c r="L2199" s="54">
        <f t="shared" si="140"/>
        <v>0</v>
      </c>
    </row>
    <row r="2200" spans="1:12" x14ac:dyDescent="0.3">
      <c r="A2200" s="54"/>
      <c r="B2200" s="54"/>
      <c r="C2200" s="54"/>
      <c r="D2200" s="54"/>
      <c r="E2200" s="55"/>
      <c r="F2200" s="57"/>
      <c r="G2200" s="57"/>
      <c r="H2200" s="54">
        <f t="shared" si="138"/>
        <v>0</v>
      </c>
      <c r="I2200" s="58"/>
      <c r="J2200" s="54">
        <f t="shared" si="139"/>
        <v>0</v>
      </c>
      <c r="K2200" s="57"/>
      <c r="L2200" s="54">
        <f t="shared" si="140"/>
        <v>0</v>
      </c>
    </row>
    <row r="2201" spans="1:12" x14ac:dyDescent="0.3">
      <c r="A2201" s="54"/>
      <c r="B2201" s="54"/>
      <c r="C2201" s="54"/>
      <c r="D2201" s="54"/>
      <c r="E2201" s="55"/>
      <c r="F2201" s="57"/>
      <c r="G2201" s="57"/>
      <c r="H2201" s="54">
        <f t="shared" si="138"/>
        <v>0</v>
      </c>
      <c r="I2201" s="58"/>
      <c r="J2201" s="54">
        <f t="shared" si="139"/>
        <v>0</v>
      </c>
      <c r="K2201" s="57"/>
      <c r="L2201" s="54">
        <f t="shared" si="140"/>
        <v>0</v>
      </c>
    </row>
    <row r="2202" spans="1:12" x14ac:dyDescent="0.3">
      <c r="A2202" s="54"/>
      <c r="B2202" s="54"/>
      <c r="C2202" s="54"/>
      <c r="D2202" s="54"/>
      <c r="E2202" s="55"/>
      <c r="F2202" s="57"/>
      <c r="G2202" s="57"/>
      <c r="H2202" s="54">
        <f t="shared" si="138"/>
        <v>0</v>
      </c>
      <c r="I2202" s="58"/>
      <c r="J2202" s="54">
        <f t="shared" si="139"/>
        <v>0</v>
      </c>
      <c r="K2202" s="57"/>
      <c r="L2202" s="54">
        <f t="shared" si="140"/>
        <v>0</v>
      </c>
    </row>
    <row r="2203" spans="1:12" x14ac:dyDescent="0.3">
      <c r="A2203" s="54"/>
      <c r="B2203" s="54"/>
      <c r="C2203" s="54"/>
      <c r="D2203" s="54"/>
      <c r="E2203" s="55"/>
      <c r="F2203" s="57"/>
      <c r="G2203" s="57"/>
      <c r="H2203" s="54">
        <f t="shared" ref="H2203:H2266" si="141">+F2203-G2203</f>
        <v>0</v>
      </c>
      <c r="I2203" s="58"/>
      <c r="J2203" s="54">
        <f t="shared" ref="J2203:J2266" si="142">+H2203-H2203*I2203/100</f>
        <v>0</v>
      </c>
      <c r="K2203" s="57"/>
      <c r="L2203" s="54">
        <f t="shared" ref="L2203:L2266" si="143">+J2203*K2203</f>
        <v>0</v>
      </c>
    </row>
    <row r="2204" spans="1:12" x14ac:dyDescent="0.3">
      <c r="A2204" s="54"/>
      <c r="B2204" s="54"/>
      <c r="C2204" s="54"/>
      <c r="D2204" s="54"/>
      <c r="E2204" s="55"/>
      <c r="F2204" s="57"/>
      <c r="G2204" s="57"/>
      <c r="H2204" s="54">
        <f t="shared" si="141"/>
        <v>0</v>
      </c>
      <c r="I2204" s="58"/>
      <c r="J2204" s="54">
        <f t="shared" si="142"/>
        <v>0</v>
      </c>
      <c r="K2204" s="57"/>
      <c r="L2204" s="54">
        <f t="shared" si="143"/>
        <v>0</v>
      </c>
    </row>
    <row r="2205" spans="1:12" x14ac:dyDescent="0.3">
      <c r="A2205" s="54"/>
      <c r="B2205" s="54"/>
      <c r="C2205" s="54"/>
      <c r="D2205" s="54"/>
      <c r="E2205" s="55"/>
      <c r="F2205" s="57"/>
      <c r="G2205" s="57"/>
      <c r="H2205" s="54">
        <f t="shared" si="141"/>
        <v>0</v>
      </c>
      <c r="I2205" s="58"/>
      <c r="J2205" s="54">
        <f t="shared" si="142"/>
        <v>0</v>
      </c>
      <c r="K2205" s="57"/>
      <c r="L2205" s="54">
        <f t="shared" si="143"/>
        <v>0</v>
      </c>
    </row>
    <row r="2206" spans="1:12" x14ac:dyDescent="0.3">
      <c r="A2206" s="54"/>
      <c r="B2206" s="54"/>
      <c r="C2206" s="54"/>
      <c r="D2206" s="54"/>
      <c r="E2206" s="55"/>
      <c r="F2206" s="57"/>
      <c r="G2206" s="57"/>
      <c r="H2206" s="54">
        <f t="shared" si="141"/>
        <v>0</v>
      </c>
      <c r="I2206" s="58"/>
      <c r="J2206" s="54">
        <f t="shared" si="142"/>
        <v>0</v>
      </c>
      <c r="K2206" s="57"/>
      <c r="L2206" s="54">
        <f t="shared" si="143"/>
        <v>0</v>
      </c>
    </row>
    <row r="2207" spans="1:12" x14ac:dyDescent="0.3">
      <c r="A2207" s="54"/>
      <c r="B2207" s="54"/>
      <c r="C2207" s="54"/>
      <c r="D2207" s="54"/>
      <c r="E2207" s="55"/>
      <c r="F2207" s="57"/>
      <c r="G2207" s="57"/>
      <c r="H2207" s="54">
        <f t="shared" si="141"/>
        <v>0</v>
      </c>
      <c r="I2207" s="58"/>
      <c r="J2207" s="54">
        <f t="shared" si="142"/>
        <v>0</v>
      </c>
      <c r="K2207" s="57"/>
      <c r="L2207" s="54">
        <f t="shared" si="143"/>
        <v>0</v>
      </c>
    </row>
    <row r="2208" spans="1:12" x14ac:dyDescent="0.3">
      <c r="A2208" s="54"/>
      <c r="B2208" s="54"/>
      <c r="C2208" s="54"/>
      <c r="D2208" s="54"/>
      <c r="E2208" s="55"/>
      <c r="F2208" s="57"/>
      <c r="G2208" s="57"/>
      <c r="H2208" s="54">
        <f t="shared" si="141"/>
        <v>0</v>
      </c>
      <c r="I2208" s="58"/>
      <c r="J2208" s="54">
        <f t="shared" si="142"/>
        <v>0</v>
      </c>
      <c r="K2208" s="57"/>
      <c r="L2208" s="54">
        <f t="shared" si="143"/>
        <v>0</v>
      </c>
    </row>
    <row r="2209" spans="1:12" x14ac:dyDescent="0.3">
      <c r="A2209" s="54"/>
      <c r="B2209" s="54"/>
      <c r="C2209" s="54"/>
      <c r="D2209" s="54"/>
      <c r="E2209" s="55"/>
      <c r="F2209" s="57"/>
      <c r="G2209" s="57"/>
      <c r="H2209" s="54">
        <f t="shared" si="141"/>
        <v>0</v>
      </c>
      <c r="I2209" s="58"/>
      <c r="J2209" s="54">
        <f t="shared" si="142"/>
        <v>0</v>
      </c>
      <c r="K2209" s="57"/>
      <c r="L2209" s="54">
        <f t="shared" si="143"/>
        <v>0</v>
      </c>
    </row>
    <row r="2210" spans="1:12" x14ac:dyDescent="0.3">
      <c r="A2210" s="54"/>
      <c r="B2210" s="54"/>
      <c r="C2210" s="54"/>
      <c r="D2210" s="54"/>
      <c r="E2210" s="55"/>
      <c r="F2210" s="57"/>
      <c r="G2210" s="57"/>
      <c r="H2210" s="54">
        <f t="shared" si="141"/>
        <v>0</v>
      </c>
      <c r="I2210" s="58"/>
      <c r="J2210" s="54">
        <f t="shared" si="142"/>
        <v>0</v>
      </c>
      <c r="K2210" s="57"/>
      <c r="L2210" s="54">
        <f t="shared" si="143"/>
        <v>0</v>
      </c>
    </row>
    <row r="2211" spans="1:12" x14ac:dyDescent="0.3">
      <c r="A2211" s="54"/>
      <c r="B2211" s="54"/>
      <c r="C2211" s="54"/>
      <c r="D2211" s="54"/>
      <c r="E2211" s="55"/>
      <c r="F2211" s="57"/>
      <c r="G2211" s="57"/>
      <c r="H2211" s="54">
        <f t="shared" si="141"/>
        <v>0</v>
      </c>
      <c r="I2211" s="58"/>
      <c r="J2211" s="54">
        <f t="shared" si="142"/>
        <v>0</v>
      </c>
      <c r="K2211" s="57"/>
      <c r="L2211" s="54">
        <f t="shared" si="143"/>
        <v>0</v>
      </c>
    </row>
    <row r="2212" spans="1:12" x14ac:dyDescent="0.3">
      <c r="A2212" s="54"/>
      <c r="B2212" s="54"/>
      <c r="C2212" s="54"/>
      <c r="D2212" s="54"/>
      <c r="E2212" s="55"/>
      <c r="F2212" s="57"/>
      <c r="G2212" s="57"/>
      <c r="H2212" s="54">
        <f t="shared" si="141"/>
        <v>0</v>
      </c>
      <c r="I2212" s="58"/>
      <c r="J2212" s="54">
        <f t="shared" si="142"/>
        <v>0</v>
      </c>
      <c r="K2212" s="57"/>
      <c r="L2212" s="54">
        <f t="shared" si="143"/>
        <v>0</v>
      </c>
    </row>
    <row r="2213" spans="1:12" x14ac:dyDescent="0.3">
      <c r="A2213" s="54"/>
      <c r="B2213" s="54"/>
      <c r="C2213" s="54"/>
      <c r="D2213" s="54"/>
      <c r="E2213" s="55"/>
      <c r="F2213" s="57"/>
      <c r="G2213" s="57"/>
      <c r="H2213" s="54">
        <f t="shared" si="141"/>
        <v>0</v>
      </c>
      <c r="I2213" s="58"/>
      <c r="J2213" s="54">
        <f t="shared" si="142"/>
        <v>0</v>
      </c>
      <c r="K2213" s="57"/>
      <c r="L2213" s="54">
        <f t="shared" si="143"/>
        <v>0</v>
      </c>
    </row>
    <row r="2214" spans="1:12" x14ac:dyDescent="0.3">
      <c r="A2214" s="54"/>
      <c r="B2214" s="54"/>
      <c r="C2214" s="54"/>
      <c r="D2214" s="54"/>
      <c r="E2214" s="55"/>
      <c r="F2214" s="57"/>
      <c r="G2214" s="57"/>
      <c r="H2214" s="54">
        <f t="shared" si="141"/>
        <v>0</v>
      </c>
      <c r="I2214" s="58"/>
      <c r="J2214" s="54">
        <f t="shared" si="142"/>
        <v>0</v>
      </c>
      <c r="K2214" s="57"/>
      <c r="L2214" s="54">
        <f t="shared" si="143"/>
        <v>0</v>
      </c>
    </row>
    <row r="2215" spans="1:12" x14ac:dyDescent="0.3">
      <c r="A2215" s="54"/>
      <c r="B2215" s="54"/>
      <c r="C2215" s="54"/>
      <c r="D2215" s="54"/>
      <c r="E2215" s="55"/>
      <c r="F2215" s="57"/>
      <c r="G2215" s="57"/>
      <c r="H2215" s="54">
        <f t="shared" si="141"/>
        <v>0</v>
      </c>
      <c r="I2215" s="58"/>
      <c r="J2215" s="54">
        <f t="shared" si="142"/>
        <v>0</v>
      </c>
      <c r="K2215" s="57"/>
      <c r="L2215" s="54">
        <f t="shared" si="143"/>
        <v>0</v>
      </c>
    </row>
    <row r="2216" spans="1:12" x14ac:dyDescent="0.3">
      <c r="A2216" s="54"/>
      <c r="B2216" s="54"/>
      <c r="C2216" s="54"/>
      <c r="D2216" s="54"/>
      <c r="E2216" s="55"/>
      <c r="F2216" s="57"/>
      <c r="G2216" s="57"/>
      <c r="H2216" s="54">
        <f t="shared" si="141"/>
        <v>0</v>
      </c>
      <c r="I2216" s="58"/>
      <c r="J2216" s="54">
        <f t="shared" si="142"/>
        <v>0</v>
      </c>
      <c r="K2216" s="57"/>
      <c r="L2216" s="54">
        <f t="shared" si="143"/>
        <v>0</v>
      </c>
    </row>
    <row r="2217" spans="1:12" x14ac:dyDescent="0.3">
      <c r="A2217" s="54"/>
      <c r="B2217" s="54"/>
      <c r="C2217" s="54"/>
      <c r="D2217" s="54"/>
      <c r="E2217" s="55"/>
      <c r="F2217" s="57"/>
      <c r="G2217" s="57"/>
      <c r="H2217" s="54">
        <f t="shared" si="141"/>
        <v>0</v>
      </c>
      <c r="I2217" s="58"/>
      <c r="J2217" s="54">
        <f t="shared" si="142"/>
        <v>0</v>
      </c>
      <c r="K2217" s="57"/>
      <c r="L2217" s="54">
        <f t="shared" si="143"/>
        <v>0</v>
      </c>
    </row>
    <row r="2218" spans="1:12" x14ac:dyDescent="0.3">
      <c r="A2218" s="54"/>
      <c r="B2218" s="54"/>
      <c r="C2218" s="54"/>
      <c r="D2218" s="54"/>
      <c r="E2218" s="55"/>
      <c r="F2218" s="57"/>
      <c r="G2218" s="57"/>
      <c r="H2218" s="54">
        <f t="shared" si="141"/>
        <v>0</v>
      </c>
      <c r="I2218" s="58"/>
      <c r="J2218" s="54">
        <f t="shared" si="142"/>
        <v>0</v>
      </c>
      <c r="K2218" s="57"/>
      <c r="L2218" s="54">
        <f t="shared" si="143"/>
        <v>0</v>
      </c>
    </row>
    <row r="2219" spans="1:12" x14ac:dyDescent="0.3">
      <c r="A2219" s="54"/>
      <c r="B2219" s="54"/>
      <c r="C2219" s="54"/>
      <c r="D2219" s="54"/>
      <c r="E2219" s="55"/>
      <c r="F2219" s="57"/>
      <c r="G2219" s="57"/>
      <c r="H2219" s="54">
        <f t="shared" si="141"/>
        <v>0</v>
      </c>
      <c r="I2219" s="58"/>
      <c r="J2219" s="54">
        <f t="shared" si="142"/>
        <v>0</v>
      </c>
      <c r="K2219" s="57"/>
      <c r="L2219" s="54">
        <f t="shared" si="143"/>
        <v>0</v>
      </c>
    </row>
    <row r="2220" spans="1:12" x14ac:dyDescent="0.3">
      <c r="A2220" s="54"/>
      <c r="B2220" s="54"/>
      <c r="C2220" s="54"/>
      <c r="D2220" s="54"/>
      <c r="E2220" s="55"/>
      <c r="F2220" s="57"/>
      <c r="G2220" s="57"/>
      <c r="H2220" s="54">
        <f t="shared" si="141"/>
        <v>0</v>
      </c>
      <c r="I2220" s="58"/>
      <c r="J2220" s="54">
        <f t="shared" si="142"/>
        <v>0</v>
      </c>
      <c r="K2220" s="57"/>
      <c r="L2220" s="54">
        <f t="shared" si="143"/>
        <v>0</v>
      </c>
    </row>
    <row r="2221" spans="1:12" x14ac:dyDescent="0.3">
      <c r="A2221" s="54"/>
      <c r="B2221" s="54"/>
      <c r="C2221" s="54"/>
      <c r="D2221" s="54"/>
      <c r="E2221" s="55"/>
      <c r="F2221" s="57"/>
      <c r="G2221" s="57"/>
      <c r="H2221" s="54">
        <f t="shared" si="141"/>
        <v>0</v>
      </c>
      <c r="I2221" s="58"/>
      <c r="J2221" s="54">
        <f t="shared" si="142"/>
        <v>0</v>
      </c>
      <c r="K2221" s="57"/>
      <c r="L2221" s="54">
        <f t="shared" si="143"/>
        <v>0</v>
      </c>
    </row>
    <row r="2222" spans="1:12" x14ac:dyDescent="0.3">
      <c r="A2222" s="54"/>
      <c r="B2222" s="54"/>
      <c r="C2222" s="54"/>
      <c r="D2222" s="54"/>
      <c r="E2222" s="55"/>
      <c r="F2222" s="57"/>
      <c r="G2222" s="57"/>
      <c r="H2222" s="54">
        <f t="shared" si="141"/>
        <v>0</v>
      </c>
      <c r="I2222" s="58"/>
      <c r="J2222" s="54">
        <f t="shared" si="142"/>
        <v>0</v>
      </c>
      <c r="K2222" s="57"/>
      <c r="L2222" s="54">
        <f t="shared" si="143"/>
        <v>0</v>
      </c>
    </row>
    <row r="2223" spans="1:12" x14ac:dyDescent="0.3">
      <c r="A2223" s="54"/>
      <c r="B2223" s="54"/>
      <c r="C2223" s="54"/>
      <c r="D2223" s="54"/>
      <c r="E2223" s="55"/>
      <c r="F2223" s="57"/>
      <c r="G2223" s="57"/>
      <c r="H2223" s="54">
        <f t="shared" si="141"/>
        <v>0</v>
      </c>
      <c r="I2223" s="58"/>
      <c r="J2223" s="54">
        <f t="shared" si="142"/>
        <v>0</v>
      </c>
      <c r="K2223" s="57"/>
      <c r="L2223" s="54">
        <f t="shared" si="143"/>
        <v>0</v>
      </c>
    </row>
    <row r="2224" spans="1:12" x14ac:dyDescent="0.3">
      <c r="A2224" s="54"/>
      <c r="B2224" s="54"/>
      <c r="C2224" s="54"/>
      <c r="D2224" s="54"/>
      <c r="E2224" s="55"/>
      <c r="F2224" s="57"/>
      <c r="G2224" s="57"/>
      <c r="H2224" s="54">
        <f t="shared" si="141"/>
        <v>0</v>
      </c>
      <c r="I2224" s="58"/>
      <c r="J2224" s="54">
        <f t="shared" si="142"/>
        <v>0</v>
      </c>
      <c r="K2224" s="57"/>
      <c r="L2224" s="54">
        <f t="shared" si="143"/>
        <v>0</v>
      </c>
    </row>
    <row r="2225" spans="1:12" x14ac:dyDescent="0.3">
      <c r="A2225" s="54"/>
      <c r="B2225" s="54"/>
      <c r="C2225" s="54"/>
      <c r="D2225" s="54"/>
      <c r="E2225" s="55"/>
      <c r="F2225" s="57"/>
      <c r="G2225" s="57"/>
      <c r="H2225" s="54">
        <f t="shared" si="141"/>
        <v>0</v>
      </c>
      <c r="I2225" s="58"/>
      <c r="J2225" s="54">
        <f t="shared" si="142"/>
        <v>0</v>
      </c>
      <c r="K2225" s="57"/>
      <c r="L2225" s="54">
        <f t="shared" si="143"/>
        <v>0</v>
      </c>
    </row>
    <row r="2226" spans="1:12" x14ac:dyDescent="0.3">
      <c r="A2226" s="54"/>
      <c r="B2226" s="54"/>
      <c r="C2226" s="54"/>
      <c r="D2226" s="54"/>
      <c r="E2226" s="55"/>
      <c r="F2226" s="57"/>
      <c r="G2226" s="57"/>
      <c r="H2226" s="54">
        <f t="shared" si="141"/>
        <v>0</v>
      </c>
      <c r="I2226" s="58"/>
      <c r="J2226" s="54">
        <f t="shared" si="142"/>
        <v>0</v>
      </c>
      <c r="K2226" s="57"/>
      <c r="L2226" s="54">
        <f t="shared" si="143"/>
        <v>0</v>
      </c>
    </row>
    <row r="2227" spans="1:12" x14ac:dyDescent="0.3">
      <c r="A2227" s="54"/>
      <c r="B2227" s="54"/>
      <c r="C2227" s="54"/>
      <c r="D2227" s="54"/>
      <c r="E2227" s="55"/>
      <c r="F2227" s="57"/>
      <c r="G2227" s="57"/>
      <c r="H2227" s="54">
        <f t="shared" si="141"/>
        <v>0</v>
      </c>
      <c r="I2227" s="58"/>
      <c r="J2227" s="54">
        <f t="shared" si="142"/>
        <v>0</v>
      </c>
      <c r="K2227" s="57"/>
      <c r="L2227" s="54">
        <f t="shared" si="143"/>
        <v>0</v>
      </c>
    </row>
    <row r="2228" spans="1:12" x14ac:dyDescent="0.3">
      <c r="A2228" s="54"/>
      <c r="B2228" s="54"/>
      <c r="C2228" s="54"/>
      <c r="D2228" s="54"/>
      <c r="E2228" s="55"/>
      <c r="F2228" s="57"/>
      <c r="G2228" s="57"/>
      <c r="H2228" s="54">
        <f t="shared" si="141"/>
        <v>0</v>
      </c>
      <c r="I2228" s="58"/>
      <c r="J2228" s="54">
        <f t="shared" si="142"/>
        <v>0</v>
      </c>
      <c r="K2228" s="57"/>
      <c r="L2228" s="54">
        <f t="shared" si="143"/>
        <v>0</v>
      </c>
    </row>
    <row r="2229" spans="1:12" x14ac:dyDescent="0.3">
      <c r="A2229" s="54"/>
      <c r="B2229" s="54"/>
      <c r="C2229" s="54"/>
      <c r="D2229" s="54"/>
      <c r="E2229" s="55"/>
      <c r="F2229" s="57"/>
      <c r="G2229" s="57"/>
      <c r="H2229" s="54">
        <f t="shared" si="141"/>
        <v>0</v>
      </c>
      <c r="I2229" s="58"/>
      <c r="J2229" s="54">
        <f t="shared" si="142"/>
        <v>0</v>
      </c>
      <c r="K2229" s="57"/>
      <c r="L2229" s="54">
        <f t="shared" si="143"/>
        <v>0</v>
      </c>
    </row>
    <row r="2230" spans="1:12" x14ac:dyDescent="0.3">
      <c r="A2230" s="54"/>
      <c r="B2230" s="54"/>
      <c r="C2230" s="54"/>
      <c r="D2230" s="54"/>
      <c r="E2230" s="55"/>
      <c r="F2230" s="57"/>
      <c r="G2230" s="57"/>
      <c r="H2230" s="54">
        <f t="shared" si="141"/>
        <v>0</v>
      </c>
      <c r="I2230" s="58"/>
      <c r="J2230" s="54">
        <f t="shared" si="142"/>
        <v>0</v>
      </c>
      <c r="K2230" s="57"/>
      <c r="L2230" s="54">
        <f t="shared" si="143"/>
        <v>0</v>
      </c>
    </row>
    <row r="2231" spans="1:12" x14ac:dyDescent="0.3">
      <c r="A2231" s="54"/>
      <c r="B2231" s="54"/>
      <c r="C2231" s="54"/>
      <c r="D2231" s="54"/>
      <c r="E2231" s="55"/>
      <c r="F2231" s="57"/>
      <c r="G2231" s="57"/>
      <c r="H2231" s="54">
        <f t="shared" si="141"/>
        <v>0</v>
      </c>
      <c r="I2231" s="58"/>
      <c r="J2231" s="54">
        <f t="shared" si="142"/>
        <v>0</v>
      </c>
      <c r="K2231" s="57"/>
      <c r="L2231" s="54">
        <f t="shared" si="143"/>
        <v>0</v>
      </c>
    </row>
    <row r="2232" spans="1:12" x14ac:dyDescent="0.3">
      <c r="A2232" s="54"/>
      <c r="B2232" s="54"/>
      <c r="C2232" s="54"/>
      <c r="D2232" s="54"/>
      <c r="E2232" s="55"/>
      <c r="F2232" s="57"/>
      <c r="G2232" s="57"/>
      <c r="H2232" s="54">
        <f t="shared" si="141"/>
        <v>0</v>
      </c>
      <c r="I2232" s="58"/>
      <c r="J2232" s="54">
        <f t="shared" si="142"/>
        <v>0</v>
      </c>
      <c r="K2232" s="57"/>
      <c r="L2232" s="54">
        <f t="shared" si="143"/>
        <v>0</v>
      </c>
    </row>
    <row r="2233" spans="1:12" x14ac:dyDescent="0.3">
      <c r="A2233" s="54"/>
      <c r="B2233" s="54"/>
      <c r="C2233" s="54"/>
      <c r="D2233" s="54"/>
      <c r="E2233" s="55"/>
      <c r="F2233" s="57"/>
      <c r="G2233" s="57"/>
      <c r="H2233" s="54">
        <f t="shared" si="141"/>
        <v>0</v>
      </c>
      <c r="I2233" s="58"/>
      <c r="J2233" s="54">
        <f t="shared" si="142"/>
        <v>0</v>
      </c>
      <c r="K2233" s="57"/>
      <c r="L2233" s="54">
        <f t="shared" si="143"/>
        <v>0</v>
      </c>
    </row>
    <row r="2234" spans="1:12" x14ac:dyDescent="0.3">
      <c r="A2234" s="54"/>
      <c r="B2234" s="54"/>
      <c r="C2234" s="54"/>
      <c r="D2234" s="54"/>
      <c r="E2234" s="55"/>
      <c r="F2234" s="57"/>
      <c r="G2234" s="57"/>
      <c r="H2234" s="54">
        <f t="shared" si="141"/>
        <v>0</v>
      </c>
      <c r="I2234" s="58"/>
      <c r="J2234" s="54">
        <f t="shared" si="142"/>
        <v>0</v>
      </c>
      <c r="K2234" s="57"/>
      <c r="L2234" s="54">
        <f t="shared" si="143"/>
        <v>0</v>
      </c>
    </row>
    <row r="2235" spans="1:12" x14ac:dyDescent="0.3">
      <c r="A2235" s="54"/>
      <c r="B2235" s="54"/>
      <c r="C2235" s="54"/>
      <c r="D2235" s="54"/>
      <c r="E2235" s="55"/>
      <c r="F2235" s="57"/>
      <c r="G2235" s="57"/>
      <c r="H2235" s="54">
        <f t="shared" si="141"/>
        <v>0</v>
      </c>
      <c r="I2235" s="58"/>
      <c r="J2235" s="54">
        <f t="shared" si="142"/>
        <v>0</v>
      </c>
      <c r="K2235" s="57"/>
      <c r="L2235" s="54">
        <f t="shared" si="143"/>
        <v>0</v>
      </c>
    </row>
    <row r="2236" spans="1:12" x14ac:dyDescent="0.3">
      <c r="A2236" s="54"/>
      <c r="B2236" s="54"/>
      <c r="C2236" s="54"/>
      <c r="D2236" s="54"/>
      <c r="E2236" s="55"/>
      <c r="F2236" s="57"/>
      <c r="G2236" s="57"/>
      <c r="H2236" s="54">
        <f t="shared" si="141"/>
        <v>0</v>
      </c>
      <c r="I2236" s="58"/>
      <c r="J2236" s="54">
        <f t="shared" si="142"/>
        <v>0</v>
      </c>
      <c r="K2236" s="57"/>
      <c r="L2236" s="54">
        <f t="shared" si="143"/>
        <v>0</v>
      </c>
    </row>
    <row r="2237" spans="1:12" x14ac:dyDescent="0.3">
      <c r="A2237" s="54"/>
      <c r="B2237" s="54"/>
      <c r="C2237" s="54"/>
      <c r="D2237" s="54"/>
      <c r="E2237" s="55"/>
      <c r="F2237" s="57"/>
      <c r="G2237" s="57"/>
      <c r="H2237" s="54">
        <f t="shared" si="141"/>
        <v>0</v>
      </c>
      <c r="I2237" s="58"/>
      <c r="J2237" s="54">
        <f t="shared" si="142"/>
        <v>0</v>
      </c>
      <c r="K2237" s="57"/>
      <c r="L2237" s="54">
        <f t="shared" si="143"/>
        <v>0</v>
      </c>
    </row>
    <row r="2238" spans="1:12" x14ac:dyDescent="0.3">
      <c r="A2238" s="54"/>
      <c r="B2238" s="54"/>
      <c r="C2238" s="54"/>
      <c r="D2238" s="54"/>
      <c r="E2238" s="55"/>
      <c r="F2238" s="57"/>
      <c r="G2238" s="57"/>
      <c r="H2238" s="54">
        <f t="shared" si="141"/>
        <v>0</v>
      </c>
      <c r="I2238" s="58"/>
      <c r="J2238" s="54">
        <f t="shared" si="142"/>
        <v>0</v>
      </c>
      <c r="K2238" s="57"/>
      <c r="L2238" s="54">
        <f t="shared" si="143"/>
        <v>0</v>
      </c>
    </row>
    <row r="2239" spans="1:12" x14ac:dyDescent="0.3">
      <c r="A2239" s="54"/>
      <c r="B2239" s="54"/>
      <c r="C2239" s="54"/>
      <c r="D2239" s="54"/>
      <c r="E2239" s="55"/>
      <c r="F2239" s="57"/>
      <c r="G2239" s="57"/>
      <c r="H2239" s="54">
        <f t="shared" si="141"/>
        <v>0</v>
      </c>
      <c r="I2239" s="58"/>
      <c r="J2239" s="54">
        <f t="shared" si="142"/>
        <v>0</v>
      </c>
      <c r="K2239" s="57"/>
      <c r="L2239" s="54">
        <f t="shared" si="143"/>
        <v>0</v>
      </c>
    </row>
    <row r="2240" spans="1:12" x14ac:dyDescent="0.3">
      <c r="A2240" s="54"/>
      <c r="B2240" s="54"/>
      <c r="C2240" s="54"/>
      <c r="D2240" s="54"/>
      <c r="E2240" s="55"/>
      <c r="F2240" s="57"/>
      <c r="G2240" s="57"/>
      <c r="H2240" s="54">
        <f t="shared" si="141"/>
        <v>0</v>
      </c>
      <c r="I2240" s="58"/>
      <c r="J2240" s="54">
        <f t="shared" si="142"/>
        <v>0</v>
      </c>
      <c r="K2240" s="57"/>
      <c r="L2240" s="54">
        <f t="shared" si="143"/>
        <v>0</v>
      </c>
    </row>
    <row r="2241" spans="1:12" x14ac:dyDescent="0.3">
      <c r="A2241" s="54"/>
      <c r="B2241" s="54"/>
      <c r="C2241" s="54"/>
      <c r="D2241" s="54"/>
      <c r="E2241" s="55"/>
      <c r="F2241" s="57"/>
      <c r="G2241" s="57"/>
      <c r="H2241" s="54">
        <f t="shared" si="141"/>
        <v>0</v>
      </c>
      <c r="I2241" s="58"/>
      <c r="J2241" s="54">
        <f t="shared" si="142"/>
        <v>0</v>
      </c>
      <c r="K2241" s="57"/>
      <c r="L2241" s="54">
        <f t="shared" si="143"/>
        <v>0</v>
      </c>
    </row>
    <row r="2242" spans="1:12" x14ac:dyDescent="0.3">
      <c r="A2242" s="54"/>
      <c r="B2242" s="54"/>
      <c r="C2242" s="54"/>
      <c r="D2242" s="54"/>
      <c r="E2242" s="55"/>
      <c r="F2242" s="57"/>
      <c r="G2242" s="57"/>
      <c r="H2242" s="54">
        <f t="shared" si="141"/>
        <v>0</v>
      </c>
      <c r="I2242" s="58"/>
      <c r="J2242" s="54">
        <f t="shared" si="142"/>
        <v>0</v>
      </c>
      <c r="K2242" s="57"/>
      <c r="L2242" s="54">
        <f t="shared" si="143"/>
        <v>0</v>
      </c>
    </row>
    <row r="2243" spans="1:12" x14ac:dyDescent="0.3">
      <c r="A2243" s="54"/>
      <c r="B2243" s="54"/>
      <c r="C2243" s="54"/>
      <c r="D2243" s="54"/>
      <c r="E2243" s="55"/>
      <c r="F2243" s="57"/>
      <c r="G2243" s="57"/>
      <c r="H2243" s="54">
        <f t="shared" si="141"/>
        <v>0</v>
      </c>
      <c r="I2243" s="58"/>
      <c r="J2243" s="54">
        <f t="shared" si="142"/>
        <v>0</v>
      </c>
      <c r="K2243" s="57"/>
      <c r="L2243" s="54">
        <f t="shared" si="143"/>
        <v>0</v>
      </c>
    </row>
    <row r="2244" spans="1:12" x14ac:dyDescent="0.3">
      <c r="A2244" s="54"/>
      <c r="B2244" s="54"/>
      <c r="C2244" s="54"/>
      <c r="D2244" s="54"/>
      <c r="E2244" s="55"/>
      <c r="F2244" s="57"/>
      <c r="G2244" s="57"/>
      <c r="H2244" s="54">
        <f t="shared" si="141"/>
        <v>0</v>
      </c>
      <c r="I2244" s="58"/>
      <c r="J2244" s="54">
        <f t="shared" si="142"/>
        <v>0</v>
      </c>
      <c r="K2244" s="57"/>
      <c r="L2244" s="54">
        <f t="shared" si="143"/>
        <v>0</v>
      </c>
    </row>
    <row r="2245" spans="1:12" x14ac:dyDescent="0.3">
      <c r="A2245" s="54"/>
      <c r="B2245" s="54"/>
      <c r="C2245" s="54"/>
      <c r="D2245" s="54"/>
      <c r="E2245" s="55"/>
      <c r="F2245" s="57"/>
      <c r="G2245" s="57"/>
      <c r="H2245" s="54">
        <f t="shared" si="141"/>
        <v>0</v>
      </c>
      <c r="I2245" s="58"/>
      <c r="J2245" s="54">
        <f t="shared" si="142"/>
        <v>0</v>
      </c>
      <c r="K2245" s="57"/>
      <c r="L2245" s="54">
        <f t="shared" si="143"/>
        <v>0</v>
      </c>
    </row>
    <row r="2246" spans="1:12" x14ac:dyDescent="0.3">
      <c r="A2246" s="54"/>
      <c r="B2246" s="54"/>
      <c r="C2246" s="54"/>
      <c r="D2246" s="54"/>
      <c r="E2246" s="55"/>
      <c r="F2246" s="57"/>
      <c r="G2246" s="57"/>
      <c r="H2246" s="54">
        <f t="shared" si="141"/>
        <v>0</v>
      </c>
      <c r="I2246" s="58"/>
      <c r="J2246" s="54">
        <f t="shared" si="142"/>
        <v>0</v>
      </c>
      <c r="K2246" s="57"/>
      <c r="L2246" s="54">
        <f t="shared" si="143"/>
        <v>0</v>
      </c>
    </row>
    <row r="2247" spans="1:12" x14ac:dyDescent="0.3">
      <c r="A2247" s="54"/>
      <c r="B2247" s="54"/>
      <c r="C2247" s="54"/>
      <c r="D2247" s="54"/>
      <c r="E2247" s="55"/>
      <c r="F2247" s="57"/>
      <c r="G2247" s="57"/>
      <c r="H2247" s="54">
        <f t="shared" si="141"/>
        <v>0</v>
      </c>
      <c r="I2247" s="58"/>
      <c r="J2247" s="54">
        <f t="shared" si="142"/>
        <v>0</v>
      </c>
      <c r="K2247" s="57"/>
      <c r="L2247" s="54">
        <f t="shared" si="143"/>
        <v>0</v>
      </c>
    </row>
    <row r="2248" spans="1:12" x14ac:dyDescent="0.3">
      <c r="A2248" s="54"/>
      <c r="B2248" s="54"/>
      <c r="C2248" s="54"/>
      <c r="D2248" s="54"/>
      <c r="E2248" s="55"/>
      <c r="F2248" s="57"/>
      <c r="G2248" s="57"/>
      <c r="H2248" s="54">
        <f t="shared" si="141"/>
        <v>0</v>
      </c>
      <c r="I2248" s="58"/>
      <c r="J2248" s="54">
        <f t="shared" si="142"/>
        <v>0</v>
      </c>
      <c r="K2248" s="57"/>
      <c r="L2248" s="54">
        <f t="shared" si="143"/>
        <v>0</v>
      </c>
    </row>
    <row r="2249" spans="1:12" x14ac:dyDescent="0.3">
      <c r="A2249" s="54"/>
      <c r="B2249" s="54"/>
      <c r="C2249" s="54"/>
      <c r="D2249" s="54"/>
      <c r="E2249" s="55"/>
      <c r="F2249" s="57"/>
      <c r="G2249" s="57"/>
      <c r="H2249" s="54">
        <f t="shared" si="141"/>
        <v>0</v>
      </c>
      <c r="I2249" s="58"/>
      <c r="J2249" s="54">
        <f t="shared" si="142"/>
        <v>0</v>
      </c>
      <c r="K2249" s="57"/>
      <c r="L2249" s="54">
        <f t="shared" si="143"/>
        <v>0</v>
      </c>
    </row>
    <row r="2250" spans="1:12" x14ac:dyDescent="0.3">
      <c r="A2250" s="54"/>
      <c r="B2250" s="54"/>
      <c r="C2250" s="54"/>
      <c r="D2250" s="54"/>
      <c r="E2250" s="55"/>
      <c r="F2250" s="57"/>
      <c r="G2250" s="57"/>
      <c r="H2250" s="54">
        <f t="shared" si="141"/>
        <v>0</v>
      </c>
      <c r="I2250" s="58"/>
      <c r="J2250" s="54">
        <f t="shared" si="142"/>
        <v>0</v>
      </c>
      <c r="K2250" s="57"/>
      <c r="L2250" s="54">
        <f t="shared" si="143"/>
        <v>0</v>
      </c>
    </row>
    <row r="2251" spans="1:12" x14ac:dyDescent="0.3">
      <c r="A2251" s="54"/>
      <c r="B2251" s="54"/>
      <c r="C2251" s="54"/>
      <c r="D2251" s="54"/>
      <c r="E2251" s="55"/>
      <c r="F2251" s="57"/>
      <c r="G2251" s="57"/>
      <c r="H2251" s="54">
        <f t="shared" si="141"/>
        <v>0</v>
      </c>
      <c r="I2251" s="58"/>
      <c r="J2251" s="54">
        <f t="shared" si="142"/>
        <v>0</v>
      </c>
      <c r="K2251" s="57"/>
      <c r="L2251" s="54">
        <f t="shared" si="143"/>
        <v>0</v>
      </c>
    </row>
    <row r="2252" spans="1:12" x14ac:dyDescent="0.3">
      <c r="A2252" s="54"/>
      <c r="B2252" s="54"/>
      <c r="C2252" s="54"/>
      <c r="D2252" s="54"/>
      <c r="E2252" s="55"/>
      <c r="F2252" s="57"/>
      <c r="G2252" s="57"/>
      <c r="H2252" s="54">
        <f t="shared" si="141"/>
        <v>0</v>
      </c>
      <c r="I2252" s="58"/>
      <c r="J2252" s="54">
        <f t="shared" si="142"/>
        <v>0</v>
      </c>
      <c r="K2252" s="57"/>
      <c r="L2252" s="54">
        <f t="shared" si="143"/>
        <v>0</v>
      </c>
    </row>
    <row r="2253" spans="1:12" x14ac:dyDescent="0.3">
      <c r="A2253" s="54"/>
      <c r="B2253" s="54"/>
      <c r="C2253" s="54"/>
      <c r="D2253" s="54"/>
      <c r="E2253" s="55"/>
      <c r="F2253" s="57"/>
      <c r="G2253" s="57"/>
      <c r="H2253" s="54">
        <f t="shared" si="141"/>
        <v>0</v>
      </c>
      <c r="I2253" s="58"/>
      <c r="J2253" s="54">
        <f t="shared" si="142"/>
        <v>0</v>
      </c>
      <c r="K2253" s="57"/>
      <c r="L2253" s="54">
        <f t="shared" si="143"/>
        <v>0</v>
      </c>
    </row>
    <row r="2254" spans="1:12" x14ac:dyDescent="0.3">
      <c r="A2254" s="54"/>
      <c r="B2254" s="54"/>
      <c r="C2254" s="54"/>
      <c r="D2254" s="54"/>
      <c r="E2254" s="55"/>
      <c r="F2254" s="57"/>
      <c r="G2254" s="57"/>
      <c r="H2254" s="54">
        <f t="shared" si="141"/>
        <v>0</v>
      </c>
      <c r="I2254" s="58"/>
      <c r="J2254" s="54">
        <f t="shared" si="142"/>
        <v>0</v>
      </c>
      <c r="K2254" s="57"/>
      <c r="L2254" s="54">
        <f t="shared" si="143"/>
        <v>0</v>
      </c>
    </row>
    <row r="2255" spans="1:12" x14ac:dyDescent="0.3">
      <c r="A2255" s="54"/>
      <c r="B2255" s="54"/>
      <c r="C2255" s="54"/>
      <c r="D2255" s="54"/>
      <c r="E2255" s="55"/>
      <c r="F2255" s="57"/>
      <c r="G2255" s="57"/>
      <c r="H2255" s="54">
        <f t="shared" si="141"/>
        <v>0</v>
      </c>
      <c r="I2255" s="58"/>
      <c r="J2255" s="54">
        <f t="shared" si="142"/>
        <v>0</v>
      </c>
      <c r="K2255" s="57"/>
      <c r="L2255" s="54">
        <f t="shared" si="143"/>
        <v>0</v>
      </c>
    </row>
    <row r="2256" spans="1:12" x14ac:dyDescent="0.3">
      <c r="A2256" s="54"/>
      <c r="B2256" s="54"/>
      <c r="C2256" s="54"/>
      <c r="D2256" s="54"/>
      <c r="E2256" s="55"/>
      <c r="F2256" s="57"/>
      <c r="G2256" s="57"/>
      <c r="H2256" s="54">
        <f t="shared" si="141"/>
        <v>0</v>
      </c>
      <c r="I2256" s="58"/>
      <c r="J2256" s="54">
        <f t="shared" si="142"/>
        <v>0</v>
      </c>
      <c r="K2256" s="57"/>
      <c r="L2256" s="54">
        <f t="shared" si="143"/>
        <v>0</v>
      </c>
    </row>
    <row r="2257" spans="1:12" x14ac:dyDescent="0.3">
      <c r="A2257" s="54"/>
      <c r="B2257" s="54"/>
      <c r="C2257" s="54"/>
      <c r="D2257" s="54"/>
      <c r="E2257" s="55"/>
      <c r="F2257" s="57"/>
      <c r="G2257" s="57"/>
      <c r="H2257" s="54">
        <f t="shared" si="141"/>
        <v>0</v>
      </c>
      <c r="I2257" s="58"/>
      <c r="J2257" s="54">
        <f t="shared" si="142"/>
        <v>0</v>
      </c>
      <c r="K2257" s="57"/>
      <c r="L2257" s="54">
        <f t="shared" si="143"/>
        <v>0</v>
      </c>
    </row>
    <row r="2258" spans="1:12" x14ac:dyDescent="0.3">
      <c r="A2258" s="54"/>
      <c r="B2258" s="54"/>
      <c r="C2258" s="54"/>
      <c r="D2258" s="54"/>
      <c r="E2258" s="55"/>
      <c r="F2258" s="57"/>
      <c r="G2258" s="57"/>
      <c r="H2258" s="54">
        <f t="shared" si="141"/>
        <v>0</v>
      </c>
      <c r="I2258" s="58"/>
      <c r="J2258" s="54">
        <f t="shared" si="142"/>
        <v>0</v>
      </c>
      <c r="K2258" s="57"/>
      <c r="L2258" s="54">
        <f t="shared" si="143"/>
        <v>0</v>
      </c>
    </row>
    <row r="2259" spans="1:12" x14ac:dyDescent="0.3">
      <c r="A2259" s="54"/>
      <c r="B2259" s="54"/>
      <c r="C2259" s="54"/>
      <c r="D2259" s="54"/>
      <c r="E2259" s="55"/>
      <c r="F2259" s="57"/>
      <c r="G2259" s="57"/>
      <c r="H2259" s="54">
        <f t="shared" si="141"/>
        <v>0</v>
      </c>
      <c r="I2259" s="58"/>
      <c r="J2259" s="54">
        <f t="shared" si="142"/>
        <v>0</v>
      </c>
      <c r="K2259" s="57"/>
      <c r="L2259" s="54">
        <f t="shared" si="143"/>
        <v>0</v>
      </c>
    </row>
    <row r="2260" spans="1:12" x14ac:dyDescent="0.3">
      <c r="A2260" s="54"/>
      <c r="B2260" s="54"/>
      <c r="C2260" s="54"/>
      <c r="D2260" s="54"/>
      <c r="E2260" s="55"/>
      <c r="F2260" s="57"/>
      <c r="G2260" s="57"/>
      <c r="H2260" s="54">
        <f t="shared" si="141"/>
        <v>0</v>
      </c>
      <c r="I2260" s="58"/>
      <c r="J2260" s="54">
        <f t="shared" si="142"/>
        <v>0</v>
      </c>
      <c r="K2260" s="57"/>
      <c r="L2260" s="54">
        <f t="shared" si="143"/>
        <v>0</v>
      </c>
    </row>
    <row r="2261" spans="1:12" x14ac:dyDescent="0.3">
      <c r="A2261" s="54"/>
      <c r="B2261" s="54"/>
      <c r="C2261" s="54"/>
      <c r="D2261" s="54"/>
      <c r="E2261" s="55"/>
      <c r="F2261" s="57"/>
      <c r="G2261" s="57"/>
      <c r="H2261" s="54">
        <f t="shared" si="141"/>
        <v>0</v>
      </c>
      <c r="I2261" s="58"/>
      <c r="J2261" s="54">
        <f t="shared" si="142"/>
        <v>0</v>
      </c>
      <c r="K2261" s="57"/>
      <c r="L2261" s="54">
        <f t="shared" si="143"/>
        <v>0</v>
      </c>
    </row>
    <row r="2262" spans="1:12" x14ac:dyDescent="0.3">
      <c r="A2262" s="54"/>
      <c r="B2262" s="54"/>
      <c r="C2262" s="54"/>
      <c r="D2262" s="54"/>
      <c r="E2262" s="55"/>
      <c r="F2262" s="57"/>
      <c r="G2262" s="57"/>
      <c r="H2262" s="54">
        <f t="shared" si="141"/>
        <v>0</v>
      </c>
      <c r="I2262" s="58"/>
      <c r="J2262" s="54">
        <f t="shared" si="142"/>
        <v>0</v>
      </c>
      <c r="K2262" s="57"/>
      <c r="L2262" s="54">
        <f t="shared" si="143"/>
        <v>0</v>
      </c>
    </row>
    <row r="2263" spans="1:12" x14ac:dyDescent="0.3">
      <c r="A2263" s="54"/>
      <c r="B2263" s="54"/>
      <c r="C2263" s="54"/>
      <c r="D2263" s="54"/>
      <c r="E2263" s="55"/>
      <c r="F2263" s="57"/>
      <c r="G2263" s="57"/>
      <c r="H2263" s="54">
        <f t="shared" si="141"/>
        <v>0</v>
      </c>
      <c r="I2263" s="58"/>
      <c r="J2263" s="54">
        <f t="shared" si="142"/>
        <v>0</v>
      </c>
      <c r="K2263" s="57"/>
      <c r="L2263" s="54">
        <f t="shared" si="143"/>
        <v>0</v>
      </c>
    </row>
    <row r="2264" spans="1:12" x14ac:dyDescent="0.3">
      <c r="A2264" s="54"/>
      <c r="B2264" s="54"/>
      <c r="C2264" s="54"/>
      <c r="D2264" s="54"/>
      <c r="E2264" s="55"/>
      <c r="F2264" s="57"/>
      <c r="G2264" s="57"/>
      <c r="H2264" s="54">
        <f t="shared" si="141"/>
        <v>0</v>
      </c>
      <c r="I2264" s="58"/>
      <c r="J2264" s="54">
        <f t="shared" si="142"/>
        <v>0</v>
      </c>
      <c r="K2264" s="57"/>
      <c r="L2264" s="54">
        <f t="shared" si="143"/>
        <v>0</v>
      </c>
    </row>
    <row r="2265" spans="1:12" x14ac:dyDescent="0.3">
      <c r="A2265" s="54"/>
      <c r="B2265" s="54"/>
      <c r="C2265" s="54"/>
      <c r="D2265" s="54"/>
      <c r="E2265" s="55"/>
      <c r="F2265" s="57"/>
      <c r="G2265" s="57"/>
      <c r="H2265" s="54">
        <f t="shared" si="141"/>
        <v>0</v>
      </c>
      <c r="I2265" s="58"/>
      <c r="J2265" s="54">
        <f t="shared" si="142"/>
        <v>0</v>
      </c>
      <c r="K2265" s="57"/>
      <c r="L2265" s="54">
        <f t="shared" si="143"/>
        <v>0</v>
      </c>
    </row>
    <row r="2266" spans="1:12" x14ac:dyDescent="0.3">
      <c r="A2266" s="54"/>
      <c r="B2266" s="54"/>
      <c r="C2266" s="54"/>
      <c r="D2266" s="54"/>
      <c r="E2266" s="55"/>
      <c r="F2266" s="57"/>
      <c r="G2266" s="57"/>
      <c r="H2266" s="54">
        <f t="shared" si="141"/>
        <v>0</v>
      </c>
      <c r="I2266" s="58"/>
      <c r="J2266" s="54">
        <f t="shared" si="142"/>
        <v>0</v>
      </c>
      <c r="K2266" s="57"/>
      <c r="L2266" s="54">
        <f t="shared" si="143"/>
        <v>0</v>
      </c>
    </row>
    <row r="2267" spans="1:12" x14ac:dyDescent="0.3">
      <c r="A2267" s="54"/>
      <c r="B2267" s="54"/>
      <c r="C2267" s="54"/>
      <c r="D2267" s="54"/>
      <c r="E2267" s="55"/>
      <c r="F2267" s="57"/>
      <c r="G2267" s="57"/>
      <c r="H2267" s="54">
        <f t="shared" ref="H2267:H2330" si="144">+F2267-G2267</f>
        <v>0</v>
      </c>
      <c r="I2267" s="58"/>
      <c r="J2267" s="54">
        <f t="shared" ref="J2267:J2330" si="145">+H2267-H2267*I2267/100</f>
        <v>0</v>
      </c>
      <c r="K2267" s="57"/>
      <c r="L2267" s="54">
        <f t="shared" ref="L2267:L2330" si="146">+J2267*K2267</f>
        <v>0</v>
      </c>
    </row>
    <row r="2268" spans="1:12" x14ac:dyDescent="0.3">
      <c r="A2268" s="54"/>
      <c r="B2268" s="54"/>
      <c r="C2268" s="54"/>
      <c r="D2268" s="54"/>
      <c r="E2268" s="55"/>
      <c r="F2268" s="57"/>
      <c r="G2268" s="57"/>
      <c r="H2268" s="54">
        <f t="shared" si="144"/>
        <v>0</v>
      </c>
      <c r="I2268" s="58"/>
      <c r="J2268" s="54">
        <f t="shared" si="145"/>
        <v>0</v>
      </c>
      <c r="K2268" s="57"/>
      <c r="L2268" s="54">
        <f t="shared" si="146"/>
        <v>0</v>
      </c>
    </row>
    <row r="2269" spans="1:12" x14ac:dyDescent="0.3">
      <c r="A2269" s="54"/>
      <c r="B2269" s="54"/>
      <c r="C2269" s="54"/>
      <c r="D2269" s="54"/>
      <c r="E2269" s="55"/>
      <c r="F2269" s="57"/>
      <c r="G2269" s="57"/>
      <c r="H2269" s="54">
        <f t="shared" si="144"/>
        <v>0</v>
      </c>
      <c r="I2269" s="58"/>
      <c r="J2269" s="54">
        <f t="shared" si="145"/>
        <v>0</v>
      </c>
      <c r="K2269" s="57"/>
      <c r="L2269" s="54">
        <f t="shared" si="146"/>
        <v>0</v>
      </c>
    </row>
    <row r="2270" spans="1:12" x14ac:dyDescent="0.3">
      <c r="A2270" s="54"/>
      <c r="B2270" s="54"/>
      <c r="C2270" s="54"/>
      <c r="D2270" s="54"/>
      <c r="E2270" s="55"/>
      <c r="F2270" s="57"/>
      <c r="G2270" s="57"/>
      <c r="H2270" s="54">
        <f t="shared" si="144"/>
        <v>0</v>
      </c>
      <c r="I2270" s="58"/>
      <c r="J2270" s="54">
        <f t="shared" si="145"/>
        <v>0</v>
      </c>
      <c r="K2270" s="57"/>
      <c r="L2270" s="54">
        <f t="shared" si="146"/>
        <v>0</v>
      </c>
    </row>
    <row r="2271" spans="1:12" x14ac:dyDescent="0.3">
      <c r="A2271" s="54"/>
      <c r="B2271" s="54"/>
      <c r="C2271" s="54"/>
      <c r="D2271" s="54"/>
      <c r="E2271" s="55"/>
      <c r="F2271" s="57"/>
      <c r="G2271" s="57"/>
      <c r="H2271" s="54">
        <f t="shared" si="144"/>
        <v>0</v>
      </c>
      <c r="I2271" s="58"/>
      <c r="J2271" s="54">
        <f t="shared" si="145"/>
        <v>0</v>
      </c>
      <c r="K2271" s="57"/>
      <c r="L2271" s="54">
        <f t="shared" si="146"/>
        <v>0</v>
      </c>
    </row>
    <row r="2272" spans="1:12" x14ac:dyDescent="0.3">
      <c r="A2272" s="54"/>
      <c r="B2272" s="54"/>
      <c r="C2272" s="54"/>
      <c r="D2272" s="54"/>
      <c r="E2272" s="55"/>
      <c r="F2272" s="57"/>
      <c r="G2272" s="57"/>
      <c r="H2272" s="54">
        <f t="shared" si="144"/>
        <v>0</v>
      </c>
      <c r="I2272" s="58"/>
      <c r="J2272" s="54">
        <f t="shared" si="145"/>
        <v>0</v>
      </c>
      <c r="K2272" s="57"/>
      <c r="L2272" s="54">
        <f t="shared" si="146"/>
        <v>0</v>
      </c>
    </row>
    <row r="2273" spans="1:12" x14ac:dyDescent="0.3">
      <c r="A2273" s="54"/>
      <c r="B2273" s="54"/>
      <c r="C2273" s="54"/>
      <c r="D2273" s="54"/>
      <c r="E2273" s="55"/>
      <c r="F2273" s="57"/>
      <c r="G2273" s="57"/>
      <c r="H2273" s="54">
        <f t="shared" si="144"/>
        <v>0</v>
      </c>
      <c r="I2273" s="58"/>
      <c r="J2273" s="54">
        <f t="shared" si="145"/>
        <v>0</v>
      </c>
      <c r="K2273" s="57"/>
      <c r="L2273" s="54">
        <f t="shared" si="146"/>
        <v>0</v>
      </c>
    </row>
    <row r="2274" spans="1:12" x14ac:dyDescent="0.3">
      <c r="A2274" s="54"/>
      <c r="B2274" s="54"/>
      <c r="C2274" s="54"/>
      <c r="D2274" s="54"/>
      <c r="E2274" s="55"/>
      <c r="F2274" s="57"/>
      <c r="G2274" s="57"/>
      <c r="H2274" s="54">
        <f t="shared" si="144"/>
        <v>0</v>
      </c>
      <c r="I2274" s="58"/>
      <c r="J2274" s="54">
        <f t="shared" si="145"/>
        <v>0</v>
      </c>
      <c r="K2274" s="57"/>
      <c r="L2274" s="54">
        <f t="shared" si="146"/>
        <v>0</v>
      </c>
    </row>
    <row r="2275" spans="1:12" x14ac:dyDescent="0.3">
      <c r="A2275" s="54"/>
      <c r="B2275" s="54"/>
      <c r="C2275" s="54"/>
      <c r="D2275" s="54"/>
      <c r="E2275" s="55"/>
      <c r="F2275" s="57"/>
      <c r="G2275" s="57"/>
      <c r="H2275" s="54">
        <f t="shared" si="144"/>
        <v>0</v>
      </c>
      <c r="I2275" s="58"/>
      <c r="J2275" s="54">
        <f t="shared" si="145"/>
        <v>0</v>
      </c>
      <c r="K2275" s="57"/>
      <c r="L2275" s="54">
        <f t="shared" si="146"/>
        <v>0</v>
      </c>
    </row>
    <row r="2276" spans="1:12" x14ac:dyDescent="0.3">
      <c r="A2276" s="54"/>
      <c r="B2276" s="54"/>
      <c r="C2276" s="54"/>
      <c r="D2276" s="54"/>
      <c r="E2276" s="55"/>
      <c r="F2276" s="57"/>
      <c r="G2276" s="57"/>
      <c r="H2276" s="54">
        <f t="shared" si="144"/>
        <v>0</v>
      </c>
      <c r="I2276" s="58"/>
      <c r="J2276" s="54">
        <f t="shared" si="145"/>
        <v>0</v>
      </c>
      <c r="K2276" s="57"/>
      <c r="L2276" s="54">
        <f t="shared" si="146"/>
        <v>0</v>
      </c>
    </row>
    <row r="2277" spans="1:12" x14ac:dyDescent="0.3">
      <c r="A2277" s="54"/>
      <c r="B2277" s="54"/>
      <c r="C2277" s="54"/>
      <c r="D2277" s="54"/>
      <c r="E2277" s="55"/>
      <c r="F2277" s="57"/>
      <c r="G2277" s="57"/>
      <c r="H2277" s="54">
        <f t="shared" si="144"/>
        <v>0</v>
      </c>
      <c r="I2277" s="58"/>
      <c r="J2277" s="54">
        <f t="shared" si="145"/>
        <v>0</v>
      </c>
      <c r="K2277" s="57"/>
      <c r="L2277" s="54">
        <f t="shared" si="146"/>
        <v>0</v>
      </c>
    </row>
    <row r="2278" spans="1:12" x14ac:dyDescent="0.3">
      <c r="A2278" s="54"/>
      <c r="B2278" s="54"/>
      <c r="C2278" s="54"/>
      <c r="D2278" s="54"/>
      <c r="E2278" s="55"/>
      <c r="F2278" s="57"/>
      <c r="G2278" s="57"/>
      <c r="H2278" s="54">
        <f t="shared" si="144"/>
        <v>0</v>
      </c>
      <c r="I2278" s="58"/>
      <c r="J2278" s="54">
        <f t="shared" si="145"/>
        <v>0</v>
      </c>
      <c r="K2278" s="57"/>
      <c r="L2278" s="54">
        <f t="shared" si="146"/>
        <v>0</v>
      </c>
    </row>
    <row r="2279" spans="1:12" x14ac:dyDescent="0.3">
      <c r="A2279" s="54"/>
      <c r="B2279" s="54"/>
      <c r="C2279" s="54"/>
      <c r="D2279" s="54"/>
      <c r="E2279" s="55"/>
      <c r="F2279" s="57"/>
      <c r="G2279" s="57"/>
      <c r="H2279" s="54">
        <f t="shared" si="144"/>
        <v>0</v>
      </c>
      <c r="I2279" s="58"/>
      <c r="J2279" s="54">
        <f t="shared" si="145"/>
        <v>0</v>
      </c>
      <c r="K2279" s="57"/>
      <c r="L2279" s="54">
        <f t="shared" si="146"/>
        <v>0</v>
      </c>
    </row>
    <row r="2280" spans="1:12" x14ac:dyDescent="0.3">
      <c r="A2280" s="54"/>
      <c r="B2280" s="54"/>
      <c r="C2280" s="54"/>
      <c r="D2280" s="54"/>
      <c r="E2280" s="55"/>
      <c r="F2280" s="57"/>
      <c r="G2280" s="57"/>
      <c r="H2280" s="54">
        <f t="shared" si="144"/>
        <v>0</v>
      </c>
      <c r="I2280" s="58"/>
      <c r="J2280" s="54">
        <f t="shared" si="145"/>
        <v>0</v>
      </c>
      <c r="K2280" s="57"/>
      <c r="L2280" s="54">
        <f t="shared" si="146"/>
        <v>0</v>
      </c>
    </row>
    <row r="2281" spans="1:12" x14ac:dyDescent="0.3">
      <c r="A2281" s="54"/>
      <c r="B2281" s="54"/>
      <c r="C2281" s="54"/>
      <c r="D2281" s="54"/>
      <c r="E2281" s="55"/>
      <c r="F2281" s="57"/>
      <c r="G2281" s="57"/>
      <c r="H2281" s="54">
        <f t="shared" si="144"/>
        <v>0</v>
      </c>
      <c r="I2281" s="58"/>
      <c r="J2281" s="54">
        <f t="shared" si="145"/>
        <v>0</v>
      </c>
      <c r="K2281" s="57"/>
      <c r="L2281" s="54">
        <f t="shared" si="146"/>
        <v>0</v>
      </c>
    </row>
    <row r="2282" spans="1:12" x14ac:dyDescent="0.3">
      <c r="A2282" s="54"/>
      <c r="B2282" s="54"/>
      <c r="C2282" s="54"/>
      <c r="D2282" s="54"/>
      <c r="E2282" s="55"/>
      <c r="F2282" s="57"/>
      <c r="G2282" s="57"/>
      <c r="H2282" s="54">
        <f t="shared" si="144"/>
        <v>0</v>
      </c>
      <c r="I2282" s="58"/>
      <c r="J2282" s="54">
        <f t="shared" si="145"/>
        <v>0</v>
      </c>
      <c r="K2282" s="57"/>
      <c r="L2282" s="54">
        <f t="shared" si="146"/>
        <v>0</v>
      </c>
    </row>
    <row r="2283" spans="1:12" x14ac:dyDescent="0.3">
      <c r="A2283" s="54"/>
      <c r="B2283" s="54"/>
      <c r="C2283" s="54"/>
      <c r="D2283" s="54"/>
      <c r="E2283" s="55"/>
      <c r="F2283" s="57"/>
      <c r="G2283" s="57"/>
      <c r="H2283" s="54">
        <f t="shared" si="144"/>
        <v>0</v>
      </c>
      <c r="I2283" s="58"/>
      <c r="J2283" s="54">
        <f t="shared" si="145"/>
        <v>0</v>
      </c>
      <c r="K2283" s="57"/>
      <c r="L2283" s="54">
        <f t="shared" si="146"/>
        <v>0</v>
      </c>
    </row>
    <row r="2284" spans="1:12" x14ac:dyDescent="0.3">
      <c r="A2284" s="54"/>
      <c r="B2284" s="54"/>
      <c r="C2284" s="54"/>
      <c r="D2284" s="54"/>
      <c r="E2284" s="55"/>
      <c r="F2284" s="57"/>
      <c r="G2284" s="57"/>
      <c r="H2284" s="54">
        <f t="shared" si="144"/>
        <v>0</v>
      </c>
      <c r="I2284" s="58"/>
      <c r="J2284" s="54">
        <f t="shared" si="145"/>
        <v>0</v>
      </c>
      <c r="K2284" s="57"/>
      <c r="L2284" s="54">
        <f t="shared" si="146"/>
        <v>0</v>
      </c>
    </row>
    <row r="2285" spans="1:12" x14ac:dyDescent="0.3">
      <c r="A2285" s="54"/>
      <c r="B2285" s="54"/>
      <c r="C2285" s="54"/>
      <c r="D2285" s="54"/>
      <c r="E2285" s="55"/>
      <c r="F2285" s="57"/>
      <c r="G2285" s="57"/>
      <c r="H2285" s="54">
        <f t="shared" si="144"/>
        <v>0</v>
      </c>
      <c r="I2285" s="58"/>
      <c r="J2285" s="54">
        <f t="shared" si="145"/>
        <v>0</v>
      </c>
      <c r="K2285" s="57"/>
      <c r="L2285" s="54">
        <f t="shared" si="146"/>
        <v>0</v>
      </c>
    </row>
    <row r="2286" spans="1:12" x14ac:dyDescent="0.3">
      <c r="A2286" s="54"/>
      <c r="B2286" s="54"/>
      <c r="C2286" s="54"/>
      <c r="D2286" s="54"/>
      <c r="E2286" s="55"/>
      <c r="F2286" s="57"/>
      <c r="G2286" s="57"/>
      <c r="H2286" s="54">
        <f t="shared" si="144"/>
        <v>0</v>
      </c>
      <c r="I2286" s="58"/>
      <c r="J2286" s="54">
        <f t="shared" si="145"/>
        <v>0</v>
      </c>
      <c r="K2286" s="57"/>
      <c r="L2286" s="54">
        <f t="shared" si="146"/>
        <v>0</v>
      </c>
    </row>
    <row r="2287" spans="1:12" x14ac:dyDescent="0.3">
      <c r="A2287" s="54"/>
      <c r="B2287" s="54"/>
      <c r="C2287" s="54"/>
      <c r="D2287" s="54"/>
      <c r="E2287" s="55"/>
      <c r="F2287" s="57"/>
      <c r="G2287" s="57"/>
      <c r="H2287" s="54">
        <f t="shared" si="144"/>
        <v>0</v>
      </c>
      <c r="I2287" s="58"/>
      <c r="J2287" s="54">
        <f t="shared" si="145"/>
        <v>0</v>
      </c>
      <c r="K2287" s="57"/>
      <c r="L2287" s="54">
        <f t="shared" si="146"/>
        <v>0</v>
      </c>
    </row>
    <row r="2288" spans="1:12" x14ac:dyDescent="0.3">
      <c r="A2288" s="54"/>
      <c r="B2288" s="54"/>
      <c r="C2288" s="54"/>
      <c r="D2288" s="54"/>
      <c r="E2288" s="55"/>
      <c r="F2288" s="57"/>
      <c r="G2288" s="57"/>
      <c r="H2288" s="54">
        <f t="shared" si="144"/>
        <v>0</v>
      </c>
      <c r="I2288" s="58"/>
      <c r="J2288" s="54">
        <f t="shared" si="145"/>
        <v>0</v>
      </c>
      <c r="K2288" s="57"/>
      <c r="L2288" s="54">
        <f t="shared" si="146"/>
        <v>0</v>
      </c>
    </row>
    <row r="2289" spans="1:12" x14ac:dyDescent="0.3">
      <c r="A2289" s="54"/>
      <c r="B2289" s="54"/>
      <c r="C2289" s="54"/>
      <c r="D2289" s="54"/>
      <c r="E2289" s="55"/>
      <c r="F2289" s="57"/>
      <c r="G2289" s="57"/>
      <c r="H2289" s="54">
        <f t="shared" si="144"/>
        <v>0</v>
      </c>
      <c r="I2289" s="58"/>
      <c r="J2289" s="54">
        <f t="shared" si="145"/>
        <v>0</v>
      </c>
      <c r="K2289" s="57"/>
      <c r="L2289" s="54">
        <f t="shared" si="146"/>
        <v>0</v>
      </c>
    </row>
    <row r="2290" spans="1:12" x14ac:dyDescent="0.3">
      <c r="A2290" s="54"/>
      <c r="B2290" s="54"/>
      <c r="C2290" s="54"/>
      <c r="D2290" s="54"/>
      <c r="E2290" s="55"/>
      <c r="F2290" s="57"/>
      <c r="G2290" s="57"/>
      <c r="H2290" s="54">
        <f t="shared" si="144"/>
        <v>0</v>
      </c>
      <c r="I2290" s="58"/>
      <c r="J2290" s="54">
        <f t="shared" si="145"/>
        <v>0</v>
      </c>
      <c r="K2290" s="57"/>
      <c r="L2290" s="54">
        <f t="shared" si="146"/>
        <v>0</v>
      </c>
    </row>
    <row r="2291" spans="1:12" x14ac:dyDescent="0.3">
      <c r="A2291" s="54"/>
      <c r="B2291" s="54"/>
      <c r="C2291" s="54"/>
      <c r="D2291" s="54"/>
      <c r="E2291" s="55"/>
      <c r="F2291" s="57"/>
      <c r="G2291" s="57"/>
      <c r="H2291" s="54">
        <f t="shared" si="144"/>
        <v>0</v>
      </c>
      <c r="I2291" s="58"/>
      <c r="J2291" s="54">
        <f t="shared" si="145"/>
        <v>0</v>
      </c>
      <c r="K2291" s="57"/>
      <c r="L2291" s="54">
        <f t="shared" si="146"/>
        <v>0</v>
      </c>
    </row>
    <row r="2292" spans="1:12" x14ac:dyDescent="0.3">
      <c r="A2292" s="54"/>
      <c r="B2292" s="54"/>
      <c r="C2292" s="54"/>
      <c r="D2292" s="54"/>
      <c r="E2292" s="55"/>
      <c r="F2292" s="57"/>
      <c r="G2292" s="57"/>
      <c r="H2292" s="54">
        <f t="shared" si="144"/>
        <v>0</v>
      </c>
      <c r="I2292" s="58"/>
      <c r="J2292" s="54">
        <f t="shared" si="145"/>
        <v>0</v>
      </c>
      <c r="K2292" s="57"/>
      <c r="L2292" s="54">
        <f t="shared" si="146"/>
        <v>0</v>
      </c>
    </row>
    <row r="2293" spans="1:12" x14ac:dyDescent="0.3">
      <c r="A2293" s="54"/>
      <c r="B2293" s="54"/>
      <c r="C2293" s="54"/>
      <c r="D2293" s="54"/>
      <c r="E2293" s="55"/>
      <c r="F2293" s="57"/>
      <c r="G2293" s="57"/>
      <c r="H2293" s="54">
        <f t="shared" si="144"/>
        <v>0</v>
      </c>
      <c r="I2293" s="58"/>
      <c r="J2293" s="54">
        <f t="shared" si="145"/>
        <v>0</v>
      </c>
      <c r="K2293" s="57"/>
      <c r="L2293" s="54">
        <f t="shared" si="146"/>
        <v>0</v>
      </c>
    </row>
    <row r="2294" spans="1:12" x14ac:dyDescent="0.3">
      <c r="A2294" s="54"/>
      <c r="B2294" s="54"/>
      <c r="C2294" s="54"/>
      <c r="D2294" s="54"/>
      <c r="E2294" s="55"/>
      <c r="F2294" s="57"/>
      <c r="G2294" s="57"/>
      <c r="H2294" s="54">
        <f t="shared" si="144"/>
        <v>0</v>
      </c>
      <c r="I2294" s="58"/>
      <c r="J2294" s="54">
        <f t="shared" si="145"/>
        <v>0</v>
      </c>
      <c r="K2294" s="57"/>
      <c r="L2294" s="54">
        <f t="shared" si="146"/>
        <v>0</v>
      </c>
    </row>
    <row r="2295" spans="1:12" x14ac:dyDescent="0.3">
      <c r="A2295" s="54"/>
      <c r="B2295" s="54"/>
      <c r="C2295" s="54"/>
      <c r="D2295" s="54"/>
      <c r="E2295" s="55"/>
      <c r="F2295" s="57"/>
      <c r="G2295" s="57"/>
      <c r="H2295" s="54">
        <f t="shared" si="144"/>
        <v>0</v>
      </c>
      <c r="I2295" s="58"/>
      <c r="J2295" s="54">
        <f t="shared" si="145"/>
        <v>0</v>
      </c>
      <c r="K2295" s="57"/>
      <c r="L2295" s="54">
        <f t="shared" si="146"/>
        <v>0</v>
      </c>
    </row>
    <row r="2296" spans="1:12" x14ac:dyDescent="0.3">
      <c r="A2296" s="54"/>
      <c r="B2296" s="54"/>
      <c r="C2296" s="54"/>
      <c r="D2296" s="54"/>
      <c r="E2296" s="55"/>
      <c r="F2296" s="57"/>
      <c r="G2296" s="57"/>
      <c r="H2296" s="54">
        <f t="shared" si="144"/>
        <v>0</v>
      </c>
      <c r="I2296" s="58"/>
      <c r="J2296" s="54">
        <f t="shared" si="145"/>
        <v>0</v>
      </c>
      <c r="K2296" s="57"/>
      <c r="L2296" s="54">
        <f t="shared" si="146"/>
        <v>0</v>
      </c>
    </row>
    <row r="2297" spans="1:12" x14ac:dyDescent="0.3">
      <c r="A2297" s="54"/>
      <c r="B2297" s="54"/>
      <c r="C2297" s="54"/>
      <c r="D2297" s="54"/>
      <c r="E2297" s="55"/>
      <c r="F2297" s="57"/>
      <c r="G2297" s="57"/>
      <c r="H2297" s="54">
        <f t="shared" si="144"/>
        <v>0</v>
      </c>
      <c r="I2297" s="58"/>
      <c r="J2297" s="54">
        <f t="shared" si="145"/>
        <v>0</v>
      </c>
      <c r="K2297" s="57"/>
      <c r="L2297" s="54">
        <f t="shared" si="146"/>
        <v>0</v>
      </c>
    </row>
    <row r="2298" spans="1:12" x14ac:dyDescent="0.3">
      <c r="A2298" s="54"/>
      <c r="B2298" s="54"/>
      <c r="C2298" s="54"/>
      <c r="D2298" s="54"/>
      <c r="E2298" s="55"/>
      <c r="F2298" s="57"/>
      <c r="G2298" s="57"/>
      <c r="H2298" s="54">
        <f t="shared" si="144"/>
        <v>0</v>
      </c>
      <c r="I2298" s="58"/>
      <c r="J2298" s="54">
        <f t="shared" si="145"/>
        <v>0</v>
      </c>
      <c r="K2298" s="57"/>
      <c r="L2298" s="54">
        <f t="shared" si="146"/>
        <v>0</v>
      </c>
    </row>
    <row r="2299" spans="1:12" x14ac:dyDescent="0.3">
      <c r="A2299" s="54"/>
      <c r="B2299" s="54"/>
      <c r="C2299" s="54"/>
      <c r="D2299" s="54"/>
      <c r="E2299" s="55"/>
      <c r="F2299" s="57"/>
      <c r="G2299" s="57"/>
      <c r="H2299" s="54">
        <f t="shared" si="144"/>
        <v>0</v>
      </c>
      <c r="I2299" s="58"/>
      <c r="J2299" s="54">
        <f t="shared" si="145"/>
        <v>0</v>
      </c>
      <c r="K2299" s="57"/>
      <c r="L2299" s="54">
        <f t="shared" si="146"/>
        <v>0</v>
      </c>
    </row>
    <row r="2300" spans="1:12" x14ac:dyDescent="0.3">
      <c r="A2300" s="54"/>
      <c r="B2300" s="54"/>
      <c r="C2300" s="54"/>
      <c r="D2300" s="54"/>
      <c r="E2300" s="55"/>
      <c r="F2300" s="57"/>
      <c r="G2300" s="57"/>
      <c r="H2300" s="54">
        <f t="shared" si="144"/>
        <v>0</v>
      </c>
      <c r="I2300" s="58"/>
      <c r="J2300" s="54">
        <f t="shared" si="145"/>
        <v>0</v>
      </c>
      <c r="K2300" s="57"/>
      <c r="L2300" s="54">
        <f t="shared" si="146"/>
        <v>0</v>
      </c>
    </row>
    <row r="2301" spans="1:12" x14ac:dyDescent="0.3">
      <c r="A2301" s="54"/>
      <c r="B2301" s="54"/>
      <c r="C2301" s="54"/>
      <c r="D2301" s="54"/>
      <c r="E2301" s="55"/>
      <c r="F2301" s="57"/>
      <c r="G2301" s="57"/>
      <c r="H2301" s="54">
        <f t="shared" si="144"/>
        <v>0</v>
      </c>
      <c r="I2301" s="58"/>
      <c r="J2301" s="54">
        <f t="shared" si="145"/>
        <v>0</v>
      </c>
      <c r="K2301" s="57"/>
      <c r="L2301" s="54">
        <f t="shared" si="146"/>
        <v>0</v>
      </c>
    </row>
    <row r="2302" spans="1:12" x14ac:dyDescent="0.3">
      <c r="A2302" s="54"/>
      <c r="B2302" s="54"/>
      <c r="C2302" s="54"/>
      <c r="D2302" s="54"/>
      <c r="E2302" s="55"/>
      <c r="F2302" s="57"/>
      <c r="G2302" s="57"/>
      <c r="H2302" s="54">
        <f t="shared" si="144"/>
        <v>0</v>
      </c>
      <c r="I2302" s="58"/>
      <c r="J2302" s="54">
        <f t="shared" si="145"/>
        <v>0</v>
      </c>
      <c r="K2302" s="57"/>
      <c r="L2302" s="54">
        <f t="shared" si="146"/>
        <v>0</v>
      </c>
    </row>
    <row r="2303" spans="1:12" x14ac:dyDescent="0.3">
      <c r="A2303" s="54"/>
      <c r="B2303" s="54"/>
      <c r="C2303" s="54"/>
      <c r="D2303" s="54"/>
      <c r="E2303" s="55"/>
      <c r="F2303" s="57"/>
      <c r="G2303" s="57"/>
      <c r="H2303" s="54">
        <f t="shared" si="144"/>
        <v>0</v>
      </c>
      <c r="I2303" s="58"/>
      <c r="J2303" s="54">
        <f t="shared" si="145"/>
        <v>0</v>
      </c>
      <c r="K2303" s="57"/>
      <c r="L2303" s="54">
        <f t="shared" si="146"/>
        <v>0</v>
      </c>
    </row>
    <row r="2304" spans="1:12" x14ac:dyDescent="0.3">
      <c r="A2304" s="54"/>
      <c r="B2304" s="54"/>
      <c r="C2304" s="54"/>
      <c r="D2304" s="54"/>
      <c r="E2304" s="55"/>
      <c r="F2304" s="57"/>
      <c r="G2304" s="57"/>
      <c r="H2304" s="54">
        <f t="shared" si="144"/>
        <v>0</v>
      </c>
      <c r="I2304" s="58"/>
      <c r="J2304" s="54">
        <f t="shared" si="145"/>
        <v>0</v>
      </c>
      <c r="K2304" s="57"/>
      <c r="L2304" s="54">
        <f t="shared" si="146"/>
        <v>0</v>
      </c>
    </row>
    <row r="2305" spans="1:12" x14ac:dyDescent="0.3">
      <c r="A2305" s="54"/>
      <c r="B2305" s="54"/>
      <c r="C2305" s="54"/>
      <c r="D2305" s="54"/>
      <c r="E2305" s="55"/>
      <c r="F2305" s="57"/>
      <c r="G2305" s="57"/>
      <c r="H2305" s="54">
        <f t="shared" si="144"/>
        <v>0</v>
      </c>
      <c r="I2305" s="58"/>
      <c r="J2305" s="54">
        <f t="shared" si="145"/>
        <v>0</v>
      </c>
      <c r="K2305" s="57"/>
      <c r="L2305" s="54">
        <f t="shared" si="146"/>
        <v>0</v>
      </c>
    </row>
    <row r="2306" spans="1:12" x14ac:dyDescent="0.3">
      <c r="A2306" s="54"/>
      <c r="B2306" s="54"/>
      <c r="C2306" s="54"/>
      <c r="D2306" s="54"/>
      <c r="E2306" s="55"/>
      <c r="F2306" s="57"/>
      <c r="G2306" s="57"/>
      <c r="H2306" s="54">
        <f t="shared" si="144"/>
        <v>0</v>
      </c>
      <c r="I2306" s="58"/>
      <c r="J2306" s="54">
        <f t="shared" si="145"/>
        <v>0</v>
      </c>
      <c r="K2306" s="57"/>
      <c r="L2306" s="54">
        <f t="shared" si="146"/>
        <v>0</v>
      </c>
    </row>
    <row r="2307" spans="1:12" x14ac:dyDescent="0.3">
      <c r="A2307" s="54"/>
      <c r="B2307" s="54"/>
      <c r="C2307" s="54"/>
      <c r="D2307" s="54"/>
      <c r="E2307" s="55"/>
      <c r="F2307" s="57"/>
      <c r="G2307" s="57"/>
      <c r="H2307" s="54">
        <f t="shared" si="144"/>
        <v>0</v>
      </c>
      <c r="I2307" s="58"/>
      <c r="J2307" s="54">
        <f t="shared" si="145"/>
        <v>0</v>
      </c>
      <c r="K2307" s="57"/>
      <c r="L2307" s="54">
        <f t="shared" si="146"/>
        <v>0</v>
      </c>
    </row>
    <row r="2308" spans="1:12" x14ac:dyDescent="0.3">
      <c r="A2308" s="54"/>
      <c r="B2308" s="54"/>
      <c r="C2308" s="54"/>
      <c r="D2308" s="54"/>
      <c r="E2308" s="55"/>
      <c r="F2308" s="57"/>
      <c r="G2308" s="57"/>
      <c r="H2308" s="54">
        <f t="shared" si="144"/>
        <v>0</v>
      </c>
      <c r="I2308" s="58"/>
      <c r="J2308" s="54">
        <f t="shared" si="145"/>
        <v>0</v>
      </c>
      <c r="K2308" s="57"/>
      <c r="L2308" s="54">
        <f t="shared" si="146"/>
        <v>0</v>
      </c>
    </row>
    <row r="2309" spans="1:12" x14ac:dyDescent="0.3">
      <c r="A2309" s="54"/>
      <c r="B2309" s="54"/>
      <c r="C2309" s="54"/>
      <c r="D2309" s="54"/>
      <c r="E2309" s="55"/>
      <c r="F2309" s="57"/>
      <c r="G2309" s="57"/>
      <c r="H2309" s="54">
        <f t="shared" si="144"/>
        <v>0</v>
      </c>
      <c r="I2309" s="58"/>
      <c r="J2309" s="54">
        <f t="shared" si="145"/>
        <v>0</v>
      </c>
      <c r="K2309" s="57"/>
      <c r="L2309" s="54">
        <f t="shared" si="146"/>
        <v>0</v>
      </c>
    </row>
    <row r="2310" spans="1:12" x14ac:dyDescent="0.3">
      <c r="A2310" s="54"/>
      <c r="B2310" s="54"/>
      <c r="C2310" s="54"/>
      <c r="D2310" s="54"/>
      <c r="E2310" s="55"/>
      <c r="F2310" s="57"/>
      <c r="G2310" s="57"/>
      <c r="H2310" s="54">
        <f t="shared" si="144"/>
        <v>0</v>
      </c>
      <c r="I2310" s="58"/>
      <c r="J2310" s="54">
        <f t="shared" si="145"/>
        <v>0</v>
      </c>
      <c r="K2310" s="57"/>
      <c r="L2310" s="54">
        <f t="shared" si="146"/>
        <v>0</v>
      </c>
    </row>
    <row r="2311" spans="1:12" x14ac:dyDescent="0.3">
      <c r="A2311" s="54"/>
      <c r="B2311" s="54"/>
      <c r="C2311" s="54"/>
      <c r="D2311" s="54"/>
      <c r="E2311" s="55"/>
      <c r="F2311" s="57"/>
      <c r="G2311" s="57"/>
      <c r="H2311" s="54">
        <f t="shared" si="144"/>
        <v>0</v>
      </c>
      <c r="I2311" s="58"/>
      <c r="J2311" s="54">
        <f t="shared" si="145"/>
        <v>0</v>
      </c>
      <c r="K2311" s="57"/>
      <c r="L2311" s="54">
        <f t="shared" si="146"/>
        <v>0</v>
      </c>
    </row>
    <row r="2312" spans="1:12" x14ac:dyDescent="0.3">
      <c r="A2312" s="54"/>
      <c r="B2312" s="54"/>
      <c r="C2312" s="54"/>
      <c r="D2312" s="54"/>
      <c r="E2312" s="55"/>
      <c r="F2312" s="57"/>
      <c r="G2312" s="57"/>
      <c r="H2312" s="54">
        <f t="shared" si="144"/>
        <v>0</v>
      </c>
      <c r="I2312" s="58"/>
      <c r="J2312" s="54">
        <f t="shared" si="145"/>
        <v>0</v>
      </c>
      <c r="K2312" s="57"/>
      <c r="L2312" s="54">
        <f t="shared" si="146"/>
        <v>0</v>
      </c>
    </row>
    <row r="2313" spans="1:12" x14ac:dyDescent="0.3">
      <c r="A2313" s="54"/>
      <c r="B2313" s="54"/>
      <c r="C2313" s="54"/>
      <c r="D2313" s="54"/>
      <c r="E2313" s="55"/>
      <c r="F2313" s="57"/>
      <c r="G2313" s="57"/>
      <c r="H2313" s="54">
        <f t="shared" si="144"/>
        <v>0</v>
      </c>
      <c r="I2313" s="58"/>
      <c r="J2313" s="54">
        <f t="shared" si="145"/>
        <v>0</v>
      </c>
      <c r="K2313" s="57"/>
      <c r="L2313" s="54">
        <f t="shared" si="146"/>
        <v>0</v>
      </c>
    </row>
    <row r="2314" spans="1:12" x14ac:dyDescent="0.3">
      <c r="A2314" s="54"/>
      <c r="B2314" s="54"/>
      <c r="C2314" s="54"/>
      <c r="D2314" s="54"/>
      <c r="E2314" s="55"/>
      <c r="F2314" s="57"/>
      <c r="G2314" s="57"/>
      <c r="H2314" s="54">
        <f t="shared" si="144"/>
        <v>0</v>
      </c>
      <c r="I2314" s="58"/>
      <c r="J2314" s="54">
        <f t="shared" si="145"/>
        <v>0</v>
      </c>
      <c r="K2314" s="57"/>
      <c r="L2314" s="54">
        <f t="shared" si="146"/>
        <v>0</v>
      </c>
    </row>
    <row r="2315" spans="1:12" x14ac:dyDescent="0.3">
      <c r="A2315" s="54"/>
      <c r="B2315" s="54"/>
      <c r="C2315" s="54"/>
      <c r="D2315" s="54"/>
      <c r="E2315" s="55"/>
      <c r="F2315" s="57"/>
      <c r="G2315" s="57"/>
      <c r="H2315" s="54">
        <f t="shared" si="144"/>
        <v>0</v>
      </c>
      <c r="I2315" s="58"/>
      <c r="J2315" s="54">
        <f t="shared" si="145"/>
        <v>0</v>
      </c>
      <c r="K2315" s="57"/>
      <c r="L2315" s="54">
        <f t="shared" si="146"/>
        <v>0</v>
      </c>
    </row>
    <row r="2316" spans="1:12" x14ac:dyDescent="0.3">
      <c r="A2316" s="54"/>
      <c r="B2316" s="54"/>
      <c r="C2316" s="54"/>
      <c r="D2316" s="54"/>
      <c r="E2316" s="55"/>
      <c r="F2316" s="57"/>
      <c r="G2316" s="57"/>
      <c r="H2316" s="54">
        <f t="shared" si="144"/>
        <v>0</v>
      </c>
      <c r="I2316" s="58"/>
      <c r="J2316" s="54">
        <f t="shared" si="145"/>
        <v>0</v>
      </c>
      <c r="K2316" s="57"/>
      <c r="L2316" s="54">
        <f t="shared" si="146"/>
        <v>0</v>
      </c>
    </row>
    <row r="2317" spans="1:12" x14ac:dyDescent="0.3">
      <c r="A2317" s="54"/>
      <c r="B2317" s="54"/>
      <c r="C2317" s="54"/>
      <c r="D2317" s="54"/>
      <c r="E2317" s="55"/>
      <c r="F2317" s="57"/>
      <c r="G2317" s="57"/>
      <c r="H2317" s="54">
        <f t="shared" si="144"/>
        <v>0</v>
      </c>
      <c r="I2317" s="58"/>
      <c r="J2317" s="54">
        <f t="shared" si="145"/>
        <v>0</v>
      </c>
      <c r="K2317" s="57"/>
      <c r="L2317" s="54">
        <f t="shared" si="146"/>
        <v>0</v>
      </c>
    </row>
    <row r="2318" spans="1:12" x14ac:dyDescent="0.3">
      <c r="A2318" s="54"/>
      <c r="B2318" s="54"/>
      <c r="C2318" s="54"/>
      <c r="D2318" s="54"/>
      <c r="E2318" s="55"/>
      <c r="F2318" s="57"/>
      <c r="G2318" s="57"/>
      <c r="H2318" s="54">
        <f t="shared" si="144"/>
        <v>0</v>
      </c>
      <c r="I2318" s="58"/>
      <c r="J2318" s="54">
        <f t="shared" si="145"/>
        <v>0</v>
      </c>
      <c r="K2318" s="57"/>
      <c r="L2318" s="54">
        <f t="shared" si="146"/>
        <v>0</v>
      </c>
    </row>
    <row r="2319" spans="1:12" x14ac:dyDescent="0.3">
      <c r="A2319" s="54"/>
      <c r="B2319" s="54"/>
      <c r="C2319" s="54"/>
      <c r="D2319" s="54"/>
      <c r="E2319" s="55"/>
      <c r="F2319" s="57"/>
      <c r="G2319" s="57"/>
      <c r="H2319" s="54">
        <f t="shared" si="144"/>
        <v>0</v>
      </c>
      <c r="I2319" s="58"/>
      <c r="J2319" s="54">
        <f t="shared" si="145"/>
        <v>0</v>
      </c>
      <c r="K2319" s="57"/>
      <c r="L2319" s="54">
        <f t="shared" si="146"/>
        <v>0</v>
      </c>
    </row>
    <row r="2320" spans="1:12" x14ac:dyDescent="0.3">
      <c r="A2320" s="54"/>
      <c r="B2320" s="54"/>
      <c r="C2320" s="54"/>
      <c r="D2320" s="54"/>
      <c r="E2320" s="55"/>
      <c r="F2320" s="57"/>
      <c r="G2320" s="57"/>
      <c r="H2320" s="54">
        <f t="shared" si="144"/>
        <v>0</v>
      </c>
      <c r="I2320" s="58"/>
      <c r="J2320" s="54">
        <f t="shared" si="145"/>
        <v>0</v>
      </c>
      <c r="K2320" s="57"/>
      <c r="L2320" s="54">
        <f t="shared" si="146"/>
        <v>0</v>
      </c>
    </row>
    <row r="2321" spans="1:12" x14ac:dyDescent="0.3">
      <c r="A2321" s="54"/>
      <c r="B2321" s="54"/>
      <c r="C2321" s="54"/>
      <c r="D2321" s="54"/>
      <c r="E2321" s="55"/>
      <c r="F2321" s="57"/>
      <c r="G2321" s="57"/>
      <c r="H2321" s="54">
        <f t="shared" si="144"/>
        <v>0</v>
      </c>
      <c r="I2321" s="58"/>
      <c r="J2321" s="54">
        <f t="shared" si="145"/>
        <v>0</v>
      </c>
      <c r="K2321" s="57"/>
      <c r="L2321" s="54">
        <f t="shared" si="146"/>
        <v>0</v>
      </c>
    </row>
    <row r="2322" spans="1:12" x14ac:dyDescent="0.3">
      <c r="A2322" s="54"/>
      <c r="B2322" s="54"/>
      <c r="C2322" s="54"/>
      <c r="D2322" s="54"/>
      <c r="E2322" s="55"/>
      <c r="F2322" s="57"/>
      <c r="G2322" s="57"/>
      <c r="H2322" s="54">
        <f t="shared" si="144"/>
        <v>0</v>
      </c>
      <c r="I2322" s="58"/>
      <c r="J2322" s="54">
        <f t="shared" si="145"/>
        <v>0</v>
      </c>
      <c r="K2322" s="57"/>
      <c r="L2322" s="54">
        <f t="shared" si="146"/>
        <v>0</v>
      </c>
    </row>
    <row r="2323" spans="1:12" x14ac:dyDescent="0.3">
      <c r="A2323" s="54"/>
      <c r="B2323" s="54"/>
      <c r="C2323" s="54"/>
      <c r="D2323" s="54"/>
      <c r="E2323" s="55"/>
      <c r="F2323" s="57"/>
      <c r="G2323" s="57"/>
      <c r="H2323" s="54">
        <f t="shared" si="144"/>
        <v>0</v>
      </c>
      <c r="I2323" s="58"/>
      <c r="J2323" s="54">
        <f t="shared" si="145"/>
        <v>0</v>
      </c>
      <c r="K2323" s="57"/>
      <c r="L2323" s="54">
        <f t="shared" si="146"/>
        <v>0</v>
      </c>
    </row>
    <row r="2324" spans="1:12" x14ac:dyDescent="0.3">
      <c r="A2324" s="54"/>
      <c r="B2324" s="54"/>
      <c r="C2324" s="54"/>
      <c r="D2324" s="54"/>
      <c r="E2324" s="55"/>
      <c r="F2324" s="57"/>
      <c r="G2324" s="57"/>
      <c r="H2324" s="54">
        <f t="shared" si="144"/>
        <v>0</v>
      </c>
      <c r="I2324" s="58"/>
      <c r="J2324" s="54">
        <f t="shared" si="145"/>
        <v>0</v>
      </c>
      <c r="K2324" s="57"/>
      <c r="L2324" s="54">
        <f t="shared" si="146"/>
        <v>0</v>
      </c>
    </row>
    <row r="2325" spans="1:12" x14ac:dyDescent="0.3">
      <c r="A2325" s="54"/>
      <c r="B2325" s="54"/>
      <c r="C2325" s="54"/>
      <c r="D2325" s="54"/>
      <c r="E2325" s="55"/>
      <c r="F2325" s="57"/>
      <c r="G2325" s="57"/>
      <c r="H2325" s="54">
        <f t="shared" si="144"/>
        <v>0</v>
      </c>
      <c r="I2325" s="58"/>
      <c r="J2325" s="54">
        <f t="shared" si="145"/>
        <v>0</v>
      </c>
      <c r="K2325" s="57"/>
      <c r="L2325" s="54">
        <f t="shared" si="146"/>
        <v>0</v>
      </c>
    </row>
    <row r="2326" spans="1:12" x14ac:dyDescent="0.3">
      <c r="A2326" s="54"/>
      <c r="B2326" s="54"/>
      <c r="C2326" s="54"/>
      <c r="D2326" s="54"/>
      <c r="E2326" s="55"/>
      <c r="F2326" s="57"/>
      <c r="G2326" s="57"/>
      <c r="H2326" s="54">
        <f t="shared" si="144"/>
        <v>0</v>
      </c>
      <c r="I2326" s="58"/>
      <c r="J2326" s="54">
        <f t="shared" si="145"/>
        <v>0</v>
      </c>
      <c r="K2326" s="57"/>
      <c r="L2326" s="54">
        <f t="shared" si="146"/>
        <v>0</v>
      </c>
    </row>
    <row r="2327" spans="1:12" x14ac:dyDescent="0.3">
      <c r="A2327" s="54"/>
      <c r="B2327" s="54"/>
      <c r="C2327" s="54"/>
      <c r="D2327" s="54"/>
      <c r="E2327" s="55"/>
      <c r="F2327" s="57"/>
      <c r="G2327" s="57"/>
      <c r="H2327" s="54">
        <f t="shared" si="144"/>
        <v>0</v>
      </c>
      <c r="I2327" s="58"/>
      <c r="J2327" s="54">
        <f t="shared" si="145"/>
        <v>0</v>
      </c>
      <c r="K2327" s="57"/>
      <c r="L2327" s="54">
        <f t="shared" si="146"/>
        <v>0</v>
      </c>
    </row>
    <row r="2328" spans="1:12" x14ac:dyDescent="0.3">
      <c r="A2328" s="54"/>
      <c r="B2328" s="54"/>
      <c r="C2328" s="54"/>
      <c r="D2328" s="54"/>
      <c r="E2328" s="55"/>
      <c r="F2328" s="57"/>
      <c r="G2328" s="57"/>
      <c r="H2328" s="54">
        <f t="shared" si="144"/>
        <v>0</v>
      </c>
      <c r="I2328" s="58"/>
      <c r="J2328" s="54">
        <f t="shared" si="145"/>
        <v>0</v>
      </c>
      <c r="K2328" s="57"/>
      <c r="L2328" s="54">
        <f t="shared" si="146"/>
        <v>0</v>
      </c>
    </row>
    <row r="2329" spans="1:12" x14ac:dyDescent="0.3">
      <c r="A2329" s="54"/>
      <c r="B2329" s="54"/>
      <c r="C2329" s="54"/>
      <c r="D2329" s="54"/>
      <c r="E2329" s="55"/>
      <c r="F2329" s="57"/>
      <c r="G2329" s="57"/>
      <c r="H2329" s="54">
        <f t="shared" si="144"/>
        <v>0</v>
      </c>
      <c r="I2329" s="58"/>
      <c r="J2329" s="54">
        <f t="shared" si="145"/>
        <v>0</v>
      </c>
      <c r="K2329" s="57"/>
      <c r="L2329" s="54">
        <f t="shared" si="146"/>
        <v>0</v>
      </c>
    </row>
    <row r="2330" spans="1:12" x14ac:dyDescent="0.3">
      <c r="A2330" s="54"/>
      <c r="B2330" s="54"/>
      <c r="C2330" s="54"/>
      <c r="D2330" s="54"/>
      <c r="E2330" s="55"/>
      <c r="F2330" s="57"/>
      <c r="G2330" s="57"/>
      <c r="H2330" s="54">
        <f t="shared" si="144"/>
        <v>0</v>
      </c>
      <c r="I2330" s="58"/>
      <c r="J2330" s="54">
        <f t="shared" si="145"/>
        <v>0</v>
      </c>
      <c r="K2330" s="57"/>
      <c r="L2330" s="54">
        <f t="shared" si="146"/>
        <v>0</v>
      </c>
    </row>
    <row r="2331" spans="1:12" x14ac:dyDescent="0.3">
      <c r="A2331" s="54"/>
      <c r="B2331" s="54"/>
      <c r="C2331" s="54"/>
      <c r="D2331" s="54"/>
      <c r="E2331" s="55"/>
      <c r="F2331" s="57"/>
      <c r="G2331" s="57"/>
      <c r="H2331" s="54">
        <f t="shared" ref="H2331:H2394" si="147">+F2331-G2331</f>
        <v>0</v>
      </c>
      <c r="I2331" s="58"/>
      <c r="J2331" s="54">
        <f t="shared" ref="J2331:J2394" si="148">+H2331-H2331*I2331/100</f>
        <v>0</v>
      </c>
      <c r="K2331" s="57"/>
      <c r="L2331" s="54">
        <f t="shared" ref="L2331:L2394" si="149">+J2331*K2331</f>
        <v>0</v>
      </c>
    </row>
    <row r="2332" spans="1:12" x14ac:dyDescent="0.3">
      <c r="A2332" s="54"/>
      <c r="B2332" s="54"/>
      <c r="C2332" s="54"/>
      <c r="D2332" s="54"/>
      <c r="E2332" s="55"/>
      <c r="F2332" s="57"/>
      <c r="G2332" s="57"/>
      <c r="H2332" s="54">
        <f t="shared" si="147"/>
        <v>0</v>
      </c>
      <c r="I2332" s="58"/>
      <c r="J2332" s="54">
        <f t="shared" si="148"/>
        <v>0</v>
      </c>
      <c r="K2332" s="57"/>
      <c r="L2332" s="54">
        <f t="shared" si="149"/>
        <v>0</v>
      </c>
    </row>
    <row r="2333" spans="1:12" x14ac:dyDescent="0.3">
      <c r="A2333" s="54"/>
      <c r="B2333" s="54"/>
      <c r="C2333" s="54"/>
      <c r="D2333" s="54"/>
      <c r="E2333" s="55"/>
      <c r="F2333" s="57"/>
      <c r="G2333" s="57"/>
      <c r="H2333" s="54">
        <f t="shared" si="147"/>
        <v>0</v>
      </c>
      <c r="I2333" s="58"/>
      <c r="J2333" s="54">
        <f t="shared" si="148"/>
        <v>0</v>
      </c>
      <c r="K2333" s="57"/>
      <c r="L2333" s="54">
        <f t="shared" si="149"/>
        <v>0</v>
      </c>
    </row>
    <row r="2334" spans="1:12" x14ac:dyDescent="0.3">
      <c r="A2334" s="54"/>
      <c r="B2334" s="54"/>
      <c r="C2334" s="54"/>
      <c r="D2334" s="54"/>
      <c r="E2334" s="55"/>
      <c r="F2334" s="57"/>
      <c r="G2334" s="57"/>
      <c r="H2334" s="54">
        <f t="shared" si="147"/>
        <v>0</v>
      </c>
      <c r="I2334" s="58"/>
      <c r="J2334" s="54">
        <f t="shared" si="148"/>
        <v>0</v>
      </c>
      <c r="K2334" s="57"/>
      <c r="L2334" s="54">
        <f t="shared" si="149"/>
        <v>0</v>
      </c>
    </row>
    <row r="2335" spans="1:12" x14ac:dyDescent="0.3">
      <c r="A2335" s="54"/>
      <c r="B2335" s="54"/>
      <c r="C2335" s="54"/>
      <c r="D2335" s="54"/>
      <c r="E2335" s="55"/>
      <c r="F2335" s="57"/>
      <c r="G2335" s="57"/>
      <c r="H2335" s="54">
        <f t="shared" si="147"/>
        <v>0</v>
      </c>
      <c r="I2335" s="58"/>
      <c r="J2335" s="54">
        <f t="shared" si="148"/>
        <v>0</v>
      </c>
      <c r="K2335" s="57"/>
      <c r="L2335" s="54">
        <f t="shared" si="149"/>
        <v>0</v>
      </c>
    </row>
    <row r="2336" spans="1:12" x14ac:dyDescent="0.3">
      <c r="A2336" s="54"/>
      <c r="B2336" s="54"/>
      <c r="C2336" s="54"/>
      <c r="D2336" s="54"/>
      <c r="E2336" s="55"/>
      <c r="F2336" s="57"/>
      <c r="G2336" s="57"/>
      <c r="H2336" s="54">
        <f t="shared" si="147"/>
        <v>0</v>
      </c>
      <c r="I2336" s="58"/>
      <c r="J2336" s="54">
        <f t="shared" si="148"/>
        <v>0</v>
      </c>
      <c r="K2336" s="57"/>
      <c r="L2336" s="54">
        <f t="shared" si="149"/>
        <v>0</v>
      </c>
    </row>
    <row r="2337" spans="1:12" x14ac:dyDescent="0.3">
      <c r="A2337" s="54"/>
      <c r="B2337" s="54"/>
      <c r="C2337" s="54"/>
      <c r="D2337" s="54"/>
      <c r="E2337" s="55"/>
      <c r="F2337" s="57"/>
      <c r="G2337" s="57"/>
      <c r="H2337" s="54">
        <f t="shared" si="147"/>
        <v>0</v>
      </c>
      <c r="I2337" s="58"/>
      <c r="J2337" s="54">
        <f t="shared" si="148"/>
        <v>0</v>
      </c>
      <c r="K2337" s="57"/>
      <c r="L2337" s="54">
        <f t="shared" si="149"/>
        <v>0</v>
      </c>
    </row>
    <row r="2338" spans="1:12" x14ac:dyDescent="0.3">
      <c r="A2338" s="54"/>
      <c r="B2338" s="54"/>
      <c r="C2338" s="54"/>
      <c r="D2338" s="54"/>
      <c r="E2338" s="55"/>
      <c r="F2338" s="57"/>
      <c r="G2338" s="57"/>
      <c r="H2338" s="54">
        <f t="shared" si="147"/>
        <v>0</v>
      </c>
      <c r="I2338" s="58"/>
      <c r="J2338" s="54">
        <f t="shared" si="148"/>
        <v>0</v>
      </c>
      <c r="K2338" s="57"/>
      <c r="L2338" s="54">
        <f t="shared" si="149"/>
        <v>0</v>
      </c>
    </row>
    <row r="2339" spans="1:12" x14ac:dyDescent="0.3">
      <c r="A2339" s="54"/>
      <c r="B2339" s="54"/>
      <c r="C2339" s="54"/>
      <c r="D2339" s="54"/>
      <c r="E2339" s="55"/>
      <c r="F2339" s="57"/>
      <c r="G2339" s="57"/>
      <c r="H2339" s="54">
        <f t="shared" si="147"/>
        <v>0</v>
      </c>
      <c r="I2339" s="58"/>
      <c r="J2339" s="54">
        <f t="shared" si="148"/>
        <v>0</v>
      </c>
      <c r="K2339" s="57"/>
      <c r="L2339" s="54">
        <f t="shared" si="149"/>
        <v>0</v>
      </c>
    </row>
    <row r="2340" spans="1:12" x14ac:dyDescent="0.3">
      <c r="A2340" s="54"/>
      <c r="B2340" s="54"/>
      <c r="C2340" s="54"/>
      <c r="D2340" s="54"/>
      <c r="E2340" s="55"/>
      <c r="F2340" s="57"/>
      <c r="G2340" s="57"/>
      <c r="H2340" s="54">
        <f t="shared" si="147"/>
        <v>0</v>
      </c>
      <c r="I2340" s="58"/>
      <c r="J2340" s="54">
        <f t="shared" si="148"/>
        <v>0</v>
      </c>
      <c r="K2340" s="57"/>
      <c r="L2340" s="54">
        <f t="shared" si="149"/>
        <v>0</v>
      </c>
    </row>
    <row r="2341" spans="1:12" x14ac:dyDescent="0.3">
      <c r="A2341" s="54"/>
      <c r="B2341" s="54"/>
      <c r="C2341" s="54"/>
      <c r="D2341" s="54"/>
      <c r="E2341" s="55"/>
      <c r="F2341" s="57"/>
      <c r="G2341" s="57"/>
      <c r="H2341" s="54">
        <f t="shared" si="147"/>
        <v>0</v>
      </c>
      <c r="I2341" s="58"/>
      <c r="J2341" s="54">
        <f t="shared" si="148"/>
        <v>0</v>
      </c>
      <c r="K2341" s="57"/>
      <c r="L2341" s="54">
        <f t="shared" si="149"/>
        <v>0</v>
      </c>
    </row>
    <row r="2342" spans="1:12" x14ac:dyDescent="0.3">
      <c r="A2342" s="54"/>
      <c r="B2342" s="54"/>
      <c r="C2342" s="54"/>
      <c r="D2342" s="54"/>
      <c r="E2342" s="55"/>
      <c r="F2342" s="57"/>
      <c r="G2342" s="57"/>
      <c r="H2342" s="54">
        <f t="shared" si="147"/>
        <v>0</v>
      </c>
      <c r="I2342" s="58"/>
      <c r="J2342" s="54">
        <f t="shared" si="148"/>
        <v>0</v>
      </c>
      <c r="K2342" s="57"/>
      <c r="L2342" s="54">
        <f t="shared" si="149"/>
        <v>0</v>
      </c>
    </row>
    <row r="2343" spans="1:12" x14ac:dyDescent="0.3">
      <c r="A2343" s="54"/>
      <c r="B2343" s="54"/>
      <c r="C2343" s="54"/>
      <c r="D2343" s="54"/>
      <c r="E2343" s="55"/>
      <c r="F2343" s="57"/>
      <c r="G2343" s="57"/>
      <c r="H2343" s="54">
        <f t="shared" si="147"/>
        <v>0</v>
      </c>
      <c r="I2343" s="58"/>
      <c r="J2343" s="54">
        <f t="shared" si="148"/>
        <v>0</v>
      </c>
      <c r="K2343" s="57"/>
      <c r="L2343" s="54">
        <f t="shared" si="149"/>
        <v>0</v>
      </c>
    </row>
    <row r="2344" spans="1:12" x14ac:dyDescent="0.3">
      <c r="A2344" s="54"/>
      <c r="B2344" s="54"/>
      <c r="C2344" s="54"/>
      <c r="D2344" s="54"/>
      <c r="E2344" s="55"/>
      <c r="F2344" s="57"/>
      <c r="G2344" s="57"/>
      <c r="H2344" s="54">
        <f t="shared" si="147"/>
        <v>0</v>
      </c>
      <c r="I2344" s="58"/>
      <c r="J2344" s="54">
        <f t="shared" si="148"/>
        <v>0</v>
      </c>
      <c r="K2344" s="57"/>
      <c r="L2344" s="54">
        <f t="shared" si="149"/>
        <v>0</v>
      </c>
    </row>
    <row r="2345" spans="1:12" x14ac:dyDescent="0.3">
      <c r="A2345" s="54"/>
      <c r="B2345" s="54"/>
      <c r="C2345" s="54"/>
      <c r="D2345" s="54"/>
      <c r="E2345" s="55"/>
      <c r="F2345" s="57"/>
      <c r="G2345" s="57"/>
      <c r="H2345" s="54">
        <f t="shared" si="147"/>
        <v>0</v>
      </c>
      <c r="I2345" s="58"/>
      <c r="J2345" s="54">
        <f t="shared" si="148"/>
        <v>0</v>
      </c>
      <c r="K2345" s="57"/>
      <c r="L2345" s="54">
        <f t="shared" si="149"/>
        <v>0</v>
      </c>
    </row>
    <row r="2346" spans="1:12" x14ac:dyDescent="0.3">
      <c r="A2346" s="54"/>
      <c r="B2346" s="54"/>
      <c r="C2346" s="54"/>
      <c r="D2346" s="54"/>
      <c r="E2346" s="55"/>
      <c r="F2346" s="57"/>
      <c r="G2346" s="57"/>
      <c r="H2346" s="54">
        <f t="shared" si="147"/>
        <v>0</v>
      </c>
      <c r="I2346" s="58"/>
      <c r="J2346" s="54">
        <f t="shared" si="148"/>
        <v>0</v>
      </c>
      <c r="K2346" s="57"/>
      <c r="L2346" s="54">
        <f t="shared" si="149"/>
        <v>0</v>
      </c>
    </row>
    <row r="2347" spans="1:12" x14ac:dyDescent="0.3">
      <c r="A2347" s="54"/>
      <c r="B2347" s="54"/>
      <c r="C2347" s="54"/>
      <c r="D2347" s="54"/>
      <c r="E2347" s="55"/>
      <c r="F2347" s="57"/>
      <c r="G2347" s="57"/>
      <c r="H2347" s="54">
        <f t="shared" si="147"/>
        <v>0</v>
      </c>
      <c r="I2347" s="58"/>
      <c r="J2347" s="54">
        <f t="shared" si="148"/>
        <v>0</v>
      </c>
      <c r="K2347" s="57"/>
      <c r="L2347" s="54">
        <f t="shared" si="149"/>
        <v>0</v>
      </c>
    </row>
    <row r="2348" spans="1:12" x14ac:dyDescent="0.3">
      <c r="A2348" s="54"/>
      <c r="B2348" s="54"/>
      <c r="C2348" s="54"/>
      <c r="D2348" s="54"/>
      <c r="E2348" s="55"/>
      <c r="F2348" s="57"/>
      <c r="G2348" s="57"/>
      <c r="H2348" s="54">
        <f t="shared" si="147"/>
        <v>0</v>
      </c>
      <c r="I2348" s="58"/>
      <c r="J2348" s="54">
        <f t="shared" si="148"/>
        <v>0</v>
      </c>
      <c r="K2348" s="57"/>
      <c r="L2348" s="54">
        <f t="shared" si="149"/>
        <v>0</v>
      </c>
    </row>
    <row r="2349" spans="1:12" x14ac:dyDescent="0.3">
      <c r="A2349" s="54"/>
      <c r="B2349" s="54"/>
      <c r="C2349" s="54"/>
      <c r="D2349" s="54"/>
      <c r="E2349" s="55"/>
      <c r="F2349" s="57"/>
      <c r="G2349" s="57"/>
      <c r="H2349" s="54">
        <f t="shared" si="147"/>
        <v>0</v>
      </c>
      <c r="I2349" s="58"/>
      <c r="J2349" s="54">
        <f t="shared" si="148"/>
        <v>0</v>
      </c>
      <c r="K2349" s="57"/>
      <c r="L2349" s="54">
        <f t="shared" si="149"/>
        <v>0</v>
      </c>
    </row>
    <row r="2350" spans="1:12" x14ac:dyDescent="0.3">
      <c r="A2350" s="54"/>
      <c r="B2350" s="54"/>
      <c r="C2350" s="54"/>
      <c r="D2350" s="54"/>
      <c r="E2350" s="55"/>
      <c r="F2350" s="57"/>
      <c r="G2350" s="57"/>
      <c r="H2350" s="54">
        <f t="shared" si="147"/>
        <v>0</v>
      </c>
      <c r="I2350" s="58"/>
      <c r="J2350" s="54">
        <f t="shared" si="148"/>
        <v>0</v>
      </c>
      <c r="K2350" s="57"/>
      <c r="L2350" s="54">
        <f t="shared" si="149"/>
        <v>0</v>
      </c>
    </row>
    <row r="2351" spans="1:12" x14ac:dyDescent="0.3">
      <c r="A2351" s="54"/>
      <c r="B2351" s="54"/>
      <c r="C2351" s="54"/>
      <c r="D2351" s="54"/>
      <c r="E2351" s="55"/>
      <c r="F2351" s="57"/>
      <c r="G2351" s="57"/>
      <c r="H2351" s="54">
        <f t="shared" si="147"/>
        <v>0</v>
      </c>
      <c r="I2351" s="58"/>
      <c r="J2351" s="54">
        <f t="shared" si="148"/>
        <v>0</v>
      </c>
      <c r="K2351" s="57"/>
      <c r="L2351" s="54">
        <f t="shared" si="149"/>
        <v>0</v>
      </c>
    </row>
    <row r="2352" spans="1:12" x14ac:dyDescent="0.3">
      <c r="A2352" s="54"/>
      <c r="B2352" s="54"/>
      <c r="C2352" s="54"/>
      <c r="D2352" s="54"/>
      <c r="E2352" s="55"/>
      <c r="F2352" s="57"/>
      <c r="G2352" s="57"/>
      <c r="H2352" s="54">
        <f t="shared" si="147"/>
        <v>0</v>
      </c>
      <c r="I2352" s="58"/>
      <c r="J2352" s="54">
        <f t="shared" si="148"/>
        <v>0</v>
      </c>
      <c r="K2352" s="57"/>
      <c r="L2352" s="54">
        <f t="shared" si="149"/>
        <v>0</v>
      </c>
    </row>
    <row r="2353" spans="1:12" x14ac:dyDescent="0.3">
      <c r="A2353" s="54"/>
      <c r="B2353" s="54"/>
      <c r="C2353" s="54"/>
      <c r="D2353" s="54"/>
      <c r="E2353" s="55"/>
      <c r="F2353" s="57"/>
      <c r="G2353" s="57"/>
      <c r="H2353" s="54">
        <f t="shared" si="147"/>
        <v>0</v>
      </c>
      <c r="I2353" s="58"/>
      <c r="J2353" s="54">
        <f t="shared" si="148"/>
        <v>0</v>
      </c>
      <c r="K2353" s="57"/>
      <c r="L2353" s="54">
        <f t="shared" si="149"/>
        <v>0</v>
      </c>
    </row>
    <row r="2354" spans="1:12" x14ac:dyDescent="0.3">
      <c r="A2354" s="54"/>
      <c r="B2354" s="54"/>
      <c r="C2354" s="54"/>
      <c r="D2354" s="54"/>
      <c r="E2354" s="55"/>
      <c r="F2354" s="57"/>
      <c r="G2354" s="57"/>
      <c r="H2354" s="54">
        <f t="shared" si="147"/>
        <v>0</v>
      </c>
      <c r="I2354" s="58"/>
      <c r="J2354" s="54">
        <f t="shared" si="148"/>
        <v>0</v>
      </c>
      <c r="K2354" s="57"/>
      <c r="L2354" s="54">
        <f t="shared" si="149"/>
        <v>0</v>
      </c>
    </row>
    <row r="2355" spans="1:12" x14ac:dyDescent="0.3">
      <c r="A2355" s="54"/>
      <c r="B2355" s="54"/>
      <c r="C2355" s="54"/>
      <c r="D2355" s="54"/>
      <c r="E2355" s="55"/>
      <c r="F2355" s="57"/>
      <c r="G2355" s="57"/>
      <c r="H2355" s="54">
        <f t="shared" si="147"/>
        <v>0</v>
      </c>
      <c r="I2355" s="58"/>
      <c r="J2355" s="54">
        <f t="shared" si="148"/>
        <v>0</v>
      </c>
      <c r="K2355" s="57"/>
      <c r="L2355" s="54">
        <f t="shared" si="149"/>
        <v>0</v>
      </c>
    </row>
    <row r="2356" spans="1:12" x14ac:dyDescent="0.3">
      <c r="A2356" s="54"/>
      <c r="B2356" s="54"/>
      <c r="C2356" s="54"/>
      <c r="D2356" s="54"/>
      <c r="E2356" s="55"/>
      <c r="F2356" s="57"/>
      <c r="G2356" s="57"/>
      <c r="H2356" s="54">
        <f t="shared" si="147"/>
        <v>0</v>
      </c>
      <c r="I2356" s="58"/>
      <c r="J2356" s="54">
        <f t="shared" si="148"/>
        <v>0</v>
      </c>
      <c r="K2356" s="57"/>
      <c r="L2356" s="54">
        <f t="shared" si="149"/>
        <v>0</v>
      </c>
    </row>
    <row r="2357" spans="1:12" x14ac:dyDescent="0.3">
      <c r="A2357" s="54"/>
      <c r="B2357" s="54"/>
      <c r="C2357" s="54"/>
      <c r="D2357" s="54"/>
      <c r="E2357" s="55"/>
      <c r="F2357" s="57"/>
      <c r="G2357" s="57"/>
      <c r="H2357" s="54">
        <f t="shared" si="147"/>
        <v>0</v>
      </c>
      <c r="I2357" s="58"/>
      <c r="J2357" s="54">
        <f t="shared" si="148"/>
        <v>0</v>
      </c>
      <c r="K2357" s="57"/>
      <c r="L2357" s="54">
        <f t="shared" si="149"/>
        <v>0</v>
      </c>
    </row>
    <row r="2358" spans="1:12" x14ac:dyDescent="0.3">
      <c r="A2358" s="54"/>
      <c r="B2358" s="54"/>
      <c r="C2358" s="54"/>
      <c r="D2358" s="54"/>
      <c r="E2358" s="55"/>
      <c r="F2358" s="57"/>
      <c r="G2358" s="57"/>
      <c r="H2358" s="54">
        <f t="shared" si="147"/>
        <v>0</v>
      </c>
      <c r="I2358" s="58"/>
      <c r="J2358" s="54">
        <f t="shared" si="148"/>
        <v>0</v>
      </c>
      <c r="K2358" s="57"/>
      <c r="L2358" s="54">
        <f t="shared" si="149"/>
        <v>0</v>
      </c>
    </row>
    <row r="2359" spans="1:12" x14ac:dyDescent="0.3">
      <c r="A2359" s="54"/>
      <c r="B2359" s="54"/>
      <c r="C2359" s="54"/>
      <c r="D2359" s="54"/>
      <c r="E2359" s="55"/>
      <c r="F2359" s="57"/>
      <c r="G2359" s="57"/>
      <c r="H2359" s="54">
        <f t="shared" si="147"/>
        <v>0</v>
      </c>
      <c r="I2359" s="58"/>
      <c r="J2359" s="54">
        <f t="shared" si="148"/>
        <v>0</v>
      </c>
      <c r="K2359" s="57"/>
      <c r="L2359" s="54">
        <f t="shared" si="149"/>
        <v>0</v>
      </c>
    </row>
    <row r="2360" spans="1:12" x14ac:dyDescent="0.3">
      <c r="A2360" s="54"/>
      <c r="B2360" s="54"/>
      <c r="C2360" s="54"/>
      <c r="D2360" s="54"/>
      <c r="E2360" s="55"/>
      <c r="F2360" s="57"/>
      <c r="G2360" s="57"/>
      <c r="H2360" s="54">
        <f t="shared" si="147"/>
        <v>0</v>
      </c>
      <c r="I2360" s="58"/>
      <c r="J2360" s="54">
        <f t="shared" si="148"/>
        <v>0</v>
      </c>
      <c r="K2360" s="57"/>
      <c r="L2360" s="54">
        <f t="shared" si="149"/>
        <v>0</v>
      </c>
    </row>
    <row r="2361" spans="1:12" x14ac:dyDescent="0.3">
      <c r="A2361" s="54"/>
      <c r="B2361" s="54"/>
      <c r="C2361" s="54"/>
      <c r="D2361" s="54"/>
      <c r="E2361" s="55"/>
      <c r="F2361" s="57"/>
      <c r="G2361" s="57"/>
      <c r="H2361" s="54">
        <f t="shared" si="147"/>
        <v>0</v>
      </c>
      <c r="I2361" s="58"/>
      <c r="J2361" s="54">
        <f t="shared" si="148"/>
        <v>0</v>
      </c>
      <c r="K2361" s="57"/>
      <c r="L2361" s="54">
        <f t="shared" si="149"/>
        <v>0</v>
      </c>
    </row>
    <row r="2362" spans="1:12" x14ac:dyDescent="0.3">
      <c r="A2362" s="54"/>
      <c r="B2362" s="54"/>
      <c r="C2362" s="54"/>
      <c r="D2362" s="54"/>
      <c r="E2362" s="55"/>
      <c r="F2362" s="57"/>
      <c r="G2362" s="57"/>
      <c r="H2362" s="54">
        <f t="shared" si="147"/>
        <v>0</v>
      </c>
      <c r="I2362" s="58"/>
      <c r="J2362" s="54">
        <f t="shared" si="148"/>
        <v>0</v>
      </c>
      <c r="K2362" s="57"/>
      <c r="L2362" s="54">
        <f t="shared" si="149"/>
        <v>0</v>
      </c>
    </row>
    <row r="2363" spans="1:12" x14ac:dyDescent="0.3">
      <c r="A2363" s="54"/>
      <c r="B2363" s="54"/>
      <c r="C2363" s="54"/>
      <c r="D2363" s="54"/>
      <c r="E2363" s="55"/>
      <c r="F2363" s="57"/>
      <c r="G2363" s="57"/>
      <c r="H2363" s="54">
        <f t="shared" si="147"/>
        <v>0</v>
      </c>
      <c r="I2363" s="58"/>
      <c r="J2363" s="54">
        <f t="shared" si="148"/>
        <v>0</v>
      </c>
      <c r="K2363" s="57"/>
      <c r="L2363" s="54">
        <f t="shared" si="149"/>
        <v>0</v>
      </c>
    </row>
    <row r="2364" spans="1:12" x14ac:dyDescent="0.3">
      <c r="A2364" s="54"/>
      <c r="B2364" s="54"/>
      <c r="C2364" s="54"/>
      <c r="D2364" s="54"/>
      <c r="E2364" s="55"/>
      <c r="F2364" s="57"/>
      <c r="G2364" s="57"/>
      <c r="H2364" s="54">
        <f t="shared" si="147"/>
        <v>0</v>
      </c>
      <c r="I2364" s="58"/>
      <c r="J2364" s="54">
        <f t="shared" si="148"/>
        <v>0</v>
      </c>
      <c r="K2364" s="57"/>
      <c r="L2364" s="54">
        <f t="shared" si="149"/>
        <v>0</v>
      </c>
    </row>
    <row r="2365" spans="1:12" x14ac:dyDescent="0.3">
      <c r="A2365" s="54"/>
      <c r="B2365" s="54"/>
      <c r="C2365" s="54"/>
      <c r="D2365" s="54"/>
      <c r="E2365" s="55"/>
      <c r="F2365" s="57"/>
      <c r="G2365" s="57"/>
      <c r="H2365" s="54">
        <f t="shared" si="147"/>
        <v>0</v>
      </c>
      <c r="I2365" s="58"/>
      <c r="J2365" s="54">
        <f t="shared" si="148"/>
        <v>0</v>
      </c>
      <c r="K2365" s="57"/>
      <c r="L2365" s="54">
        <f t="shared" si="149"/>
        <v>0</v>
      </c>
    </row>
    <row r="2366" spans="1:12" x14ac:dyDescent="0.3">
      <c r="A2366" s="54"/>
      <c r="B2366" s="54"/>
      <c r="C2366" s="54"/>
      <c r="D2366" s="54"/>
      <c r="E2366" s="55"/>
      <c r="F2366" s="57"/>
      <c r="G2366" s="57"/>
      <c r="H2366" s="54">
        <f t="shared" si="147"/>
        <v>0</v>
      </c>
      <c r="I2366" s="58"/>
      <c r="J2366" s="54">
        <f t="shared" si="148"/>
        <v>0</v>
      </c>
      <c r="K2366" s="57"/>
      <c r="L2366" s="54">
        <f t="shared" si="149"/>
        <v>0</v>
      </c>
    </row>
    <row r="2367" spans="1:12" x14ac:dyDescent="0.3">
      <c r="A2367" s="54"/>
      <c r="B2367" s="54"/>
      <c r="C2367" s="54"/>
      <c r="D2367" s="54"/>
      <c r="E2367" s="55"/>
      <c r="F2367" s="57"/>
      <c r="G2367" s="57"/>
      <c r="H2367" s="54">
        <f t="shared" si="147"/>
        <v>0</v>
      </c>
      <c r="I2367" s="58"/>
      <c r="J2367" s="54">
        <f t="shared" si="148"/>
        <v>0</v>
      </c>
      <c r="K2367" s="57"/>
      <c r="L2367" s="54">
        <f t="shared" si="149"/>
        <v>0</v>
      </c>
    </row>
    <row r="2368" spans="1:12" x14ac:dyDescent="0.3">
      <c r="A2368" s="54"/>
      <c r="B2368" s="54"/>
      <c r="C2368" s="54"/>
      <c r="D2368" s="54"/>
      <c r="E2368" s="55"/>
      <c r="F2368" s="57"/>
      <c r="G2368" s="57"/>
      <c r="H2368" s="54">
        <f t="shared" si="147"/>
        <v>0</v>
      </c>
      <c r="I2368" s="58"/>
      <c r="J2368" s="54">
        <f t="shared" si="148"/>
        <v>0</v>
      </c>
      <c r="K2368" s="57"/>
      <c r="L2368" s="54">
        <f t="shared" si="149"/>
        <v>0</v>
      </c>
    </row>
    <row r="2369" spans="1:12" x14ac:dyDescent="0.3">
      <c r="A2369" s="54"/>
      <c r="B2369" s="54"/>
      <c r="C2369" s="54"/>
      <c r="D2369" s="54"/>
      <c r="E2369" s="55"/>
      <c r="F2369" s="57"/>
      <c r="G2369" s="57"/>
      <c r="H2369" s="54">
        <f t="shared" si="147"/>
        <v>0</v>
      </c>
      <c r="I2369" s="58"/>
      <c r="J2369" s="54">
        <f t="shared" si="148"/>
        <v>0</v>
      </c>
      <c r="K2369" s="57"/>
      <c r="L2369" s="54">
        <f t="shared" si="149"/>
        <v>0</v>
      </c>
    </row>
    <row r="2370" spans="1:12" x14ac:dyDescent="0.3">
      <c r="A2370" s="54"/>
      <c r="B2370" s="54"/>
      <c r="C2370" s="54"/>
      <c r="D2370" s="54"/>
      <c r="E2370" s="55"/>
      <c r="F2370" s="57"/>
      <c r="G2370" s="57"/>
      <c r="H2370" s="54">
        <f t="shared" si="147"/>
        <v>0</v>
      </c>
      <c r="I2370" s="58"/>
      <c r="J2370" s="54">
        <f t="shared" si="148"/>
        <v>0</v>
      </c>
      <c r="K2370" s="57"/>
      <c r="L2370" s="54">
        <f t="shared" si="149"/>
        <v>0</v>
      </c>
    </row>
    <row r="2371" spans="1:12" x14ac:dyDescent="0.3">
      <c r="A2371" s="54"/>
      <c r="B2371" s="54"/>
      <c r="C2371" s="54"/>
      <c r="D2371" s="54"/>
      <c r="E2371" s="55"/>
      <c r="F2371" s="57"/>
      <c r="G2371" s="57"/>
      <c r="H2371" s="54">
        <f t="shared" si="147"/>
        <v>0</v>
      </c>
      <c r="I2371" s="58"/>
      <c r="J2371" s="54">
        <f t="shared" si="148"/>
        <v>0</v>
      </c>
      <c r="K2371" s="57"/>
      <c r="L2371" s="54">
        <f t="shared" si="149"/>
        <v>0</v>
      </c>
    </row>
    <row r="2372" spans="1:12" x14ac:dyDescent="0.3">
      <c r="A2372" s="54"/>
      <c r="B2372" s="54"/>
      <c r="C2372" s="54"/>
      <c r="D2372" s="54"/>
      <c r="E2372" s="55"/>
      <c r="F2372" s="57"/>
      <c r="G2372" s="57"/>
      <c r="H2372" s="54">
        <f t="shared" si="147"/>
        <v>0</v>
      </c>
      <c r="I2372" s="58"/>
      <c r="J2372" s="54">
        <f t="shared" si="148"/>
        <v>0</v>
      </c>
      <c r="K2372" s="57"/>
      <c r="L2372" s="54">
        <f t="shared" si="149"/>
        <v>0</v>
      </c>
    </row>
    <row r="2373" spans="1:12" x14ac:dyDescent="0.3">
      <c r="A2373" s="54"/>
      <c r="B2373" s="54"/>
      <c r="C2373" s="54"/>
      <c r="D2373" s="54"/>
      <c r="E2373" s="55"/>
      <c r="F2373" s="57"/>
      <c r="G2373" s="57"/>
      <c r="H2373" s="54">
        <f t="shared" si="147"/>
        <v>0</v>
      </c>
      <c r="I2373" s="58"/>
      <c r="J2373" s="54">
        <f t="shared" si="148"/>
        <v>0</v>
      </c>
      <c r="K2373" s="57"/>
      <c r="L2373" s="54">
        <f t="shared" si="149"/>
        <v>0</v>
      </c>
    </row>
    <row r="2374" spans="1:12" x14ac:dyDescent="0.3">
      <c r="A2374" s="54"/>
      <c r="B2374" s="54"/>
      <c r="C2374" s="54"/>
      <c r="D2374" s="54"/>
      <c r="E2374" s="55"/>
      <c r="F2374" s="57"/>
      <c r="G2374" s="57"/>
      <c r="H2374" s="54">
        <f t="shared" si="147"/>
        <v>0</v>
      </c>
      <c r="I2374" s="58"/>
      <c r="J2374" s="54">
        <f t="shared" si="148"/>
        <v>0</v>
      </c>
      <c r="K2374" s="57"/>
      <c r="L2374" s="54">
        <f t="shared" si="149"/>
        <v>0</v>
      </c>
    </row>
    <row r="2375" spans="1:12" x14ac:dyDescent="0.3">
      <c r="A2375" s="54"/>
      <c r="B2375" s="54"/>
      <c r="C2375" s="54"/>
      <c r="D2375" s="54"/>
      <c r="E2375" s="55"/>
      <c r="F2375" s="57"/>
      <c r="G2375" s="57"/>
      <c r="H2375" s="54">
        <f t="shared" si="147"/>
        <v>0</v>
      </c>
      <c r="I2375" s="58"/>
      <c r="J2375" s="54">
        <f t="shared" si="148"/>
        <v>0</v>
      </c>
      <c r="K2375" s="57"/>
      <c r="L2375" s="54">
        <f t="shared" si="149"/>
        <v>0</v>
      </c>
    </row>
    <row r="2376" spans="1:12" x14ac:dyDescent="0.3">
      <c r="A2376" s="54"/>
      <c r="B2376" s="54"/>
      <c r="C2376" s="54"/>
      <c r="D2376" s="54"/>
      <c r="E2376" s="55"/>
      <c r="F2376" s="57"/>
      <c r="G2376" s="57"/>
      <c r="H2376" s="54">
        <f t="shared" si="147"/>
        <v>0</v>
      </c>
      <c r="I2376" s="58"/>
      <c r="J2376" s="54">
        <f t="shared" si="148"/>
        <v>0</v>
      </c>
      <c r="K2376" s="57"/>
      <c r="L2376" s="54">
        <f t="shared" si="149"/>
        <v>0</v>
      </c>
    </row>
    <row r="2377" spans="1:12" x14ac:dyDescent="0.3">
      <c r="A2377" s="54"/>
      <c r="B2377" s="54"/>
      <c r="C2377" s="54"/>
      <c r="D2377" s="54"/>
      <c r="E2377" s="55"/>
      <c r="F2377" s="57"/>
      <c r="G2377" s="57"/>
      <c r="H2377" s="54">
        <f t="shared" si="147"/>
        <v>0</v>
      </c>
      <c r="I2377" s="58"/>
      <c r="J2377" s="54">
        <f t="shared" si="148"/>
        <v>0</v>
      </c>
      <c r="K2377" s="57"/>
      <c r="L2377" s="54">
        <f t="shared" si="149"/>
        <v>0</v>
      </c>
    </row>
    <row r="2378" spans="1:12" x14ac:dyDescent="0.3">
      <c r="A2378" s="54"/>
      <c r="B2378" s="54"/>
      <c r="C2378" s="54"/>
      <c r="D2378" s="54"/>
      <c r="E2378" s="55"/>
      <c r="F2378" s="57"/>
      <c r="G2378" s="57"/>
      <c r="H2378" s="54">
        <f t="shared" si="147"/>
        <v>0</v>
      </c>
      <c r="I2378" s="58"/>
      <c r="J2378" s="54">
        <f t="shared" si="148"/>
        <v>0</v>
      </c>
      <c r="K2378" s="57"/>
      <c r="L2378" s="54">
        <f t="shared" si="149"/>
        <v>0</v>
      </c>
    </row>
    <row r="2379" spans="1:12" x14ac:dyDescent="0.3">
      <c r="A2379" s="54"/>
      <c r="B2379" s="54"/>
      <c r="C2379" s="54"/>
      <c r="D2379" s="54"/>
      <c r="E2379" s="55"/>
      <c r="F2379" s="57"/>
      <c r="G2379" s="57"/>
      <c r="H2379" s="54">
        <f t="shared" si="147"/>
        <v>0</v>
      </c>
      <c r="I2379" s="58"/>
      <c r="J2379" s="54">
        <f t="shared" si="148"/>
        <v>0</v>
      </c>
      <c r="K2379" s="57"/>
      <c r="L2379" s="54">
        <f t="shared" si="149"/>
        <v>0</v>
      </c>
    </row>
    <row r="2380" spans="1:12" x14ac:dyDescent="0.3">
      <c r="A2380" s="54"/>
      <c r="B2380" s="54"/>
      <c r="C2380" s="54"/>
      <c r="D2380" s="54"/>
      <c r="E2380" s="55"/>
      <c r="F2380" s="57"/>
      <c r="G2380" s="57"/>
      <c r="H2380" s="54">
        <f t="shared" si="147"/>
        <v>0</v>
      </c>
      <c r="I2380" s="58"/>
      <c r="J2380" s="54">
        <f t="shared" si="148"/>
        <v>0</v>
      </c>
      <c r="K2380" s="57"/>
      <c r="L2380" s="54">
        <f t="shared" si="149"/>
        <v>0</v>
      </c>
    </row>
    <row r="2381" spans="1:12" x14ac:dyDescent="0.3">
      <c r="A2381" s="54"/>
      <c r="B2381" s="54"/>
      <c r="C2381" s="54"/>
      <c r="D2381" s="54"/>
      <c r="E2381" s="55"/>
      <c r="F2381" s="57"/>
      <c r="G2381" s="57"/>
      <c r="H2381" s="54">
        <f t="shared" si="147"/>
        <v>0</v>
      </c>
      <c r="I2381" s="58"/>
      <c r="J2381" s="54">
        <f t="shared" si="148"/>
        <v>0</v>
      </c>
      <c r="K2381" s="57"/>
      <c r="L2381" s="54">
        <f t="shared" si="149"/>
        <v>0</v>
      </c>
    </row>
    <row r="2382" spans="1:12" x14ac:dyDescent="0.3">
      <c r="A2382" s="54"/>
      <c r="B2382" s="54"/>
      <c r="C2382" s="54"/>
      <c r="D2382" s="54"/>
      <c r="E2382" s="55"/>
      <c r="F2382" s="57"/>
      <c r="G2382" s="57"/>
      <c r="H2382" s="54">
        <f t="shared" si="147"/>
        <v>0</v>
      </c>
      <c r="I2382" s="58"/>
      <c r="J2382" s="54">
        <f t="shared" si="148"/>
        <v>0</v>
      </c>
      <c r="K2382" s="57"/>
      <c r="L2382" s="54">
        <f t="shared" si="149"/>
        <v>0</v>
      </c>
    </row>
    <row r="2383" spans="1:12" x14ac:dyDescent="0.3">
      <c r="A2383" s="54"/>
      <c r="B2383" s="54"/>
      <c r="C2383" s="54"/>
      <c r="D2383" s="54"/>
      <c r="E2383" s="55"/>
      <c r="F2383" s="57"/>
      <c r="G2383" s="57"/>
      <c r="H2383" s="54">
        <f t="shared" si="147"/>
        <v>0</v>
      </c>
      <c r="I2383" s="58"/>
      <c r="J2383" s="54">
        <f t="shared" si="148"/>
        <v>0</v>
      </c>
      <c r="K2383" s="57"/>
      <c r="L2383" s="54">
        <f t="shared" si="149"/>
        <v>0</v>
      </c>
    </row>
    <row r="2384" spans="1:12" x14ac:dyDescent="0.3">
      <c r="A2384" s="54"/>
      <c r="B2384" s="54"/>
      <c r="C2384" s="54"/>
      <c r="D2384" s="54"/>
      <c r="E2384" s="55"/>
      <c r="F2384" s="57"/>
      <c r="G2384" s="57"/>
      <c r="H2384" s="54">
        <f t="shared" si="147"/>
        <v>0</v>
      </c>
      <c r="I2384" s="58"/>
      <c r="J2384" s="54">
        <f t="shared" si="148"/>
        <v>0</v>
      </c>
      <c r="K2384" s="57"/>
      <c r="L2384" s="54">
        <f t="shared" si="149"/>
        <v>0</v>
      </c>
    </row>
    <row r="2385" spans="1:12" x14ac:dyDescent="0.3">
      <c r="A2385" s="54"/>
      <c r="B2385" s="54"/>
      <c r="C2385" s="54"/>
      <c r="D2385" s="54"/>
      <c r="E2385" s="55"/>
      <c r="F2385" s="57"/>
      <c r="G2385" s="57"/>
      <c r="H2385" s="54">
        <f t="shared" si="147"/>
        <v>0</v>
      </c>
      <c r="I2385" s="58"/>
      <c r="J2385" s="54">
        <f t="shared" si="148"/>
        <v>0</v>
      </c>
      <c r="K2385" s="57"/>
      <c r="L2385" s="54">
        <f t="shared" si="149"/>
        <v>0</v>
      </c>
    </row>
    <row r="2386" spans="1:12" x14ac:dyDescent="0.3">
      <c r="A2386" s="54"/>
      <c r="B2386" s="54"/>
      <c r="C2386" s="54"/>
      <c r="D2386" s="54"/>
      <c r="E2386" s="55"/>
      <c r="F2386" s="57"/>
      <c r="G2386" s="57"/>
      <c r="H2386" s="54">
        <f t="shared" si="147"/>
        <v>0</v>
      </c>
      <c r="I2386" s="58"/>
      <c r="J2386" s="54">
        <f t="shared" si="148"/>
        <v>0</v>
      </c>
      <c r="K2386" s="57"/>
      <c r="L2386" s="54">
        <f t="shared" si="149"/>
        <v>0</v>
      </c>
    </row>
    <row r="2387" spans="1:12" x14ac:dyDescent="0.3">
      <c r="A2387" s="54"/>
      <c r="B2387" s="54"/>
      <c r="C2387" s="54"/>
      <c r="D2387" s="54"/>
      <c r="E2387" s="55"/>
      <c r="F2387" s="57"/>
      <c r="G2387" s="57"/>
      <c r="H2387" s="54">
        <f t="shared" si="147"/>
        <v>0</v>
      </c>
      <c r="I2387" s="58"/>
      <c r="J2387" s="54">
        <f t="shared" si="148"/>
        <v>0</v>
      </c>
      <c r="K2387" s="57"/>
      <c r="L2387" s="54">
        <f t="shared" si="149"/>
        <v>0</v>
      </c>
    </row>
    <row r="2388" spans="1:12" x14ac:dyDescent="0.3">
      <c r="A2388" s="54"/>
      <c r="B2388" s="54"/>
      <c r="C2388" s="54"/>
      <c r="D2388" s="54"/>
      <c r="E2388" s="55"/>
      <c r="F2388" s="57"/>
      <c r="G2388" s="57"/>
      <c r="H2388" s="54">
        <f t="shared" si="147"/>
        <v>0</v>
      </c>
      <c r="I2388" s="58"/>
      <c r="J2388" s="54">
        <f t="shared" si="148"/>
        <v>0</v>
      </c>
      <c r="K2388" s="57"/>
      <c r="L2388" s="54">
        <f t="shared" si="149"/>
        <v>0</v>
      </c>
    </row>
    <row r="2389" spans="1:12" x14ac:dyDescent="0.3">
      <c r="A2389" s="54"/>
      <c r="B2389" s="54"/>
      <c r="C2389" s="54"/>
      <c r="D2389" s="54"/>
      <c r="E2389" s="55"/>
      <c r="F2389" s="57"/>
      <c r="G2389" s="57"/>
      <c r="H2389" s="54">
        <f t="shared" si="147"/>
        <v>0</v>
      </c>
      <c r="I2389" s="58"/>
      <c r="J2389" s="54">
        <f t="shared" si="148"/>
        <v>0</v>
      </c>
      <c r="K2389" s="57"/>
      <c r="L2389" s="54">
        <f t="shared" si="149"/>
        <v>0</v>
      </c>
    </row>
    <row r="2390" spans="1:12" x14ac:dyDescent="0.3">
      <c r="A2390" s="54"/>
      <c r="B2390" s="54"/>
      <c r="C2390" s="54"/>
      <c r="D2390" s="54"/>
      <c r="E2390" s="55"/>
      <c r="F2390" s="57"/>
      <c r="G2390" s="57"/>
      <c r="H2390" s="54">
        <f t="shared" si="147"/>
        <v>0</v>
      </c>
      <c r="I2390" s="58"/>
      <c r="J2390" s="54">
        <f t="shared" si="148"/>
        <v>0</v>
      </c>
      <c r="K2390" s="57"/>
      <c r="L2390" s="54">
        <f t="shared" si="149"/>
        <v>0</v>
      </c>
    </row>
    <row r="2391" spans="1:12" x14ac:dyDescent="0.3">
      <c r="A2391" s="54"/>
      <c r="B2391" s="54"/>
      <c r="C2391" s="54"/>
      <c r="D2391" s="54"/>
      <c r="E2391" s="55"/>
      <c r="F2391" s="57"/>
      <c r="G2391" s="57"/>
      <c r="H2391" s="54">
        <f t="shared" si="147"/>
        <v>0</v>
      </c>
      <c r="I2391" s="58"/>
      <c r="J2391" s="54">
        <f t="shared" si="148"/>
        <v>0</v>
      </c>
      <c r="K2391" s="57"/>
      <c r="L2391" s="54">
        <f t="shared" si="149"/>
        <v>0</v>
      </c>
    </row>
    <row r="2392" spans="1:12" x14ac:dyDescent="0.3">
      <c r="A2392" s="54"/>
      <c r="B2392" s="54"/>
      <c r="C2392" s="54"/>
      <c r="D2392" s="54"/>
      <c r="E2392" s="55"/>
      <c r="F2392" s="57"/>
      <c r="G2392" s="57"/>
      <c r="H2392" s="54">
        <f t="shared" si="147"/>
        <v>0</v>
      </c>
      <c r="I2392" s="58"/>
      <c r="J2392" s="54">
        <f t="shared" si="148"/>
        <v>0</v>
      </c>
      <c r="K2392" s="57"/>
      <c r="L2392" s="54">
        <f t="shared" si="149"/>
        <v>0</v>
      </c>
    </row>
    <row r="2393" spans="1:12" x14ac:dyDescent="0.3">
      <c r="A2393" s="54"/>
      <c r="B2393" s="54"/>
      <c r="C2393" s="54"/>
      <c r="D2393" s="54"/>
      <c r="E2393" s="55"/>
      <c r="F2393" s="57"/>
      <c r="G2393" s="57"/>
      <c r="H2393" s="54">
        <f t="shared" si="147"/>
        <v>0</v>
      </c>
      <c r="I2393" s="58"/>
      <c r="J2393" s="54">
        <f t="shared" si="148"/>
        <v>0</v>
      </c>
      <c r="K2393" s="57"/>
      <c r="L2393" s="54">
        <f t="shared" si="149"/>
        <v>0</v>
      </c>
    </row>
    <row r="2394" spans="1:12" x14ac:dyDescent="0.3">
      <c r="A2394" s="54"/>
      <c r="B2394" s="54"/>
      <c r="C2394" s="54"/>
      <c r="D2394" s="54"/>
      <c r="E2394" s="55"/>
      <c r="F2394" s="57"/>
      <c r="G2394" s="57"/>
      <c r="H2394" s="54">
        <f t="shared" si="147"/>
        <v>0</v>
      </c>
      <c r="I2394" s="58"/>
      <c r="J2394" s="54">
        <f t="shared" si="148"/>
        <v>0</v>
      </c>
      <c r="K2394" s="57"/>
      <c r="L2394" s="54">
        <f t="shared" si="149"/>
        <v>0</v>
      </c>
    </row>
    <row r="2395" spans="1:12" x14ac:dyDescent="0.3">
      <c r="A2395" s="54"/>
      <c r="B2395" s="54"/>
      <c r="C2395" s="54"/>
      <c r="D2395" s="54"/>
      <c r="E2395" s="55"/>
      <c r="F2395" s="57"/>
      <c r="G2395" s="57"/>
      <c r="H2395" s="54">
        <f t="shared" ref="H2395:H2458" si="150">+F2395-G2395</f>
        <v>0</v>
      </c>
      <c r="I2395" s="58"/>
      <c r="J2395" s="54">
        <f t="shared" ref="J2395:J2458" si="151">+H2395-H2395*I2395/100</f>
        <v>0</v>
      </c>
      <c r="K2395" s="57"/>
      <c r="L2395" s="54">
        <f t="shared" ref="L2395:L2458" si="152">+J2395*K2395</f>
        <v>0</v>
      </c>
    </row>
    <row r="2396" spans="1:12" x14ac:dyDescent="0.3">
      <c r="A2396" s="54"/>
      <c r="B2396" s="54"/>
      <c r="C2396" s="54"/>
      <c r="D2396" s="54"/>
      <c r="E2396" s="55"/>
      <c r="F2396" s="57"/>
      <c r="G2396" s="57"/>
      <c r="H2396" s="54">
        <f t="shared" si="150"/>
        <v>0</v>
      </c>
      <c r="I2396" s="58"/>
      <c r="J2396" s="54">
        <f t="shared" si="151"/>
        <v>0</v>
      </c>
      <c r="K2396" s="57"/>
      <c r="L2396" s="54">
        <f t="shared" si="152"/>
        <v>0</v>
      </c>
    </row>
    <row r="2397" spans="1:12" x14ac:dyDescent="0.3">
      <c r="A2397" s="54"/>
      <c r="B2397" s="54"/>
      <c r="C2397" s="54"/>
      <c r="D2397" s="54"/>
      <c r="E2397" s="55"/>
      <c r="F2397" s="57"/>
      <c r="G2397" s="57"/>
      <c r="H2397" s="54">
        <f t="shared" si="150"/>
        <v>0</v>
      </c>
      <c r="I2397" s="58"/>
      <c r="J2397" s="54">
        <f t="shared" si="151"/>
        <v>0</v>
      </c>
      <c r="K2397" s="57"/>
      <c r="L2397" s="54">
        <f t="shared" si="152"/>
        <v>0</v>
      </c>
    </row>
    <row r="2398" spans="1:12" x14ac:dyDescent="0.3">
      <c r="A2398" s="54"/>
      <c r="B2398" s="54"/>
      <c r="C2398" s="54"/>
      <c r="D2398" s="54"/>
      <c r="E2398" s="55"/>
      <c r="F2398" s="57"/>
      <c r="G2398" s="57"/>
      <c r="H2398" s="54">
        <f t="shared" si="150"/>
        <v>0</v>
      </c>
      <c r="I2398" s="58"/>
      <c r="J2398" s="54">
        <f t="shared" si="151"/>
        <v>0</v>
      </c>
      <c r="K2398" s="57"/>
      <c r="L2398" s="54">
        <f t="shared" si="152"/>
        <v>0</v>
      </c>
    </row>
    <row r="2399" spans="1:12" x14ac:dyDescent="0.3">
      <c r="A2399" s="54"/>
      <c r="B2399" s="54"/>
      <c r="C2399" s="54"/>
      <c r="D2399" s="54"/>
      <c r="E2399" s="55"/>
      <c r="F2399" s="57"/>
      <c r="G2399" s="57"/>
      <c r="H2399" s="54">
        <f t="shared" si="150"/>
        <v>0</v>
      </c>
      <c r="I2399" s="58"/>
      <c r="J2399" s="54">
        <f t="shared" si="151"/>
        <v>0</v>
      </c>
      <c r="K2399" s="57"/>
      <c r="L2399" s="54">
        <f t="shared" si="152"/>
        <v>0</v>
      </c>
    </row>
    <row r="2400" spans="1:12" x14ac:dyDescent="0.3">
      <c r="A2400" s="54"/>
      <c r="B2400" s="54"/>
      <c r="C2400" s="54"/>
      <c r="D2400" s="54"/>
      <c r="E2400" s="55"/>
      <c r="F2400" s="57"/>
      <c r="G2400" s="57"/>
      <c r="H2400" s="54">
        <f t="shared" si="150"/>
        <v>0</v>
      </c>
      <c r="I2400" s="58"/>
      <c r="J2400" s="54">
        <f t="shared" si="151"/>
        <v>0</v>
      </c>
      <c r="K2400" s="57"/>
      <c r="L2400" s="54">
        <f t="shared" si="152"/>
        <v>0</v>
      </c>
    </row>
    <row r="2401" spans="1:12" x14ac:dyDescent="0.3">
      <c r="A2401" s="54"/>
      <c r="B2401" s="54"/>
      <c r="C2401" s="54"/>
      <c r="D2401" s="54"/>
      <c r="E2401" s="55"/>
      <c r="F2401" s="57"/>
      <c r="G2401" s="57"/>
      <c r="H2401" s="54">
        <f t="shared" si="150"/>
        <v>0</v>
      </c>
      <c r="I2401" s="58"/>
      <c r="J2401" s="54">
        <f t="shared" si="151"/>
        <v>0</v>
      </c>
      <c r="K2401" s="57"/>
      <c r="L2401" s="54">
        <f t="shared" si="152"/>
        <v>0</v>
      </c>
    </row>
    <row r="2402" spans="1:12" x14ac:dyDescent="0.3">
      <c r="A2402" s="54"/>
      <c r="B2402" s="54"/>
      <c r="C2402" s="54"/>
      <c r="D2402" s="54"/>
      <c r="E2402" s="55"/>
      <c r="F2402" s="57"/>
      <c r="G2402" s="57"/>
      <c r="H2402" s="54">
        <f t="shared" si="150"/>
        <v>0</v>
      </c>
      <c r="I2402" s="58"/>
      <c r="J2402" s="54">
        <f t="shared" si="151"/>
        <v>0</v>
      </c>
      <c r="K2402" s="57"/>
      <c r="L2402" s="54">
        <f t="shared" si="152"/>
        <v>0</v>
      </c>
    </row>
    <row r="2403" spans="1:12" x14ac:dyDescent="0.3">
      <c r="A2403" s="54"/>
      <c r="B2403" s="54"/>
      <c r="C2403" s="54"/>
      <c r="D2403" s="54"/>
      <c r="E2403" s="55"/>
      <c r="F2403" s="57"/>
      <c r="G2403" s="57"/>
      <c r="H2403" s="54">
        <f t="shared" si="150"/>
        <v>0</v>
      </c>
      <c r="I2403" s="58"/>
      <c r="J2403" s="54">
        <f t="shared" si="151"/>
        <v>0</v>
      </c>
      <c r="K2403" s="57"/>
      <c r="L2403" s="54">
        <f t="shared" si="152"/>
        <v>0</v>
      </c>
    </row>
    <row r="2404" spans="1:12" x14ac:dyDescent="0.3">
      <c r="A2404" s="54"/>
      <c r="B2404" s="54"/>
      <c r="C2404" s="54"/>
      <c r="D2404" s="54"/>
      <c r="E2404" s="55"/>
      <c r="F2404" s="57"/>
      <c r="G2404" s="57"/>
      <c r="H2404" s="54">
        <f t="shared" si="150"/>
        <v>0</v>
      </c>
      <c r="I2404" s="58"/>
      <c r="J2404" s="54">
        <f t="shared" si="151"/>
        <v>0</v>
      </c>
      <c r="K2404" s="57"/>
      <c r="L2404" s="54">
        <f t="shared" si="152"/>
        <v>0</v>
      </c>
    </row>
    <row r="2405" spans="1:12" x14ac:dyDescent="0.3">
      <c r="A2405" s="54"/>
      <c r="B2405" s="54"/>
      <c r="C2405" s="54"/>
      <c r="D2405" s="54"/>
      <c r="E2405" s="55"/>
      <c r="F2405" s="57"/>
      <c r="G2405" s="57"/>
      <c r="H2405" s="54">
        <f t="shared" si="150"/>
        <v>0</v>
      </c>
      <c r="I2405" s="58"/>
      <c r="J2405" s="54">
        <f t="shared" si="151"/>
        <v>0</v>
      </c>
      <c r="K2405" s="57"/>
      <c r="L2405" s="54">
        <f t="shared" si="152"/>
        <v>0</v>
      </c>
    </row>
    <row r="2406" spans="1:12" x14ac:dyDescent="0.3">
      <c r="A2406" s="54"/>
      <c r="B2406" s="54"/>
      <c r="C2406" s="54"/>
      <c r="D2406" s="54"/>
      <c r="E2406" s="55"/>
      <c r="F2406" s="57"/>
      <c r="G2406" s="57"/>
      <c r="H2406" s="54">
        <f t="shared" si="150"/>
        <v>0</v>
      </c>
      <c r="I2406" s="58"/>
      <c r="J2406" s="54">
        <f t="shared" si="151"/>
        <v>0</v>
      </c>
      <c r="K2406" s="57"/>
      <c r="L2406" s="54">
        <f t="shared" si="152"/>
        <v>0</v>
      </c>
    </row>
    <row r="2407" spans="1:12" x14ac:dyDescent="0.3">
      <c r="A2407" s="54"/>
      <c r="B2407" s="54"/>
      <c r="C2407" s="54"/>
      <c r="D2407" s="54"/>
      <c r="E2407" s="55"/>
      <c r="F2407" s="57"/>
      <c r="G2407" s="57"/>
      <c r="H2407" s="54">
        <f t="shared" si="150"/>
        <v>0</v>
      </c>
      <c r="I2407" s="58"/>
      <c r="J2407" s="54">
        <f t="shared" si="151"/>
        <v>0</v>
      </c>
      <c r="K2407" s="57"/>
      <c r="L2407" s="54">
        <f t="shared" si="152"/>
        <v>0</v>
      </c>
    </row>
    <row r="2408" spans="1:12" x14ac:dyDescent="0.3">
      <c r="A2408" s="54"/>
      <c r="B2408" s="54"/>
      <c r="C2408" s="54"/>
      <c r="D2408" s="54"/>
      <c r="E2408" s="55"/>
      <c r="F2408" s="57"/>
      <c r="G2408" s="57"/>
      <c r="H2408" s="54">
        <f t="shared" si="150"/>
        <v>0</v>
      </c>
      <c r="I2408" s="58"/>
      <c r="J2408" s="54">
        <f t="shared" si="151"/>
        <v>0</v>
      </c>
      <c r="K2408" s="57"/>
      <c r="L2408" s="54">
        <f t="shared" si="152"/>
        <v>0</v>
      </c>
    </row>
    <row r="2409" spans="1:12" x14ac:dyDescent="0.3">
      <c r="A2409" s="54"/>
      <c r="B2409" s="54"/>
      <c r="C2409" s="54"/>
      <c r="D2409" s="54"/>
      <c r="E2409" s="55"/>
      <c r="F2409" s="57"/>
      <c r="G2409" s="57"/>
      <c r="H2409" s="54">
        <f t="shared" si="150"/>
        <v>0</v>
      </c>
      <c r="I2409" s="58"/>
      <c r="J2409" s="54">
        <f t="shared" si="151"/>
        <v>0</v>
      </c>
      <c r="K2409" s="57"/>
      <c r="L2409" s="54">
        <f t="shared" si="152"/>
        <v>0</v>
      </c>
    </row>
    <row r="2410" spans="1:12" x14ac:dyDescent="0.3">
      <c r="A2410" s="54"/>
      <c r="B2410" s="54"/>
      <c r="C2410" s="54"/>
      <c r="D2410" s="54"/>
      <c r="E2410" s="55"/>
      <c r="F2410" s="57"/>
      <c r="G2410" s="57"/>
      <c r="H2410" s="54">
        <f t="shared" si="150"/>
        <v>0</v>
      </c>
      <c r="I2410" s="58"/>
      <c r="J2410" s="54">
        <f t="shared" si="151"/>
        <v>0</v>
      </c>
      <c r="K2410" s="57"/>
      <c r="L2410" s="54">
        <f t="shared" si="152"/>
        <v>0</v>
      </c>
    </row>
    <row r="2411" spans="1:12" x14ac:dyDescent="0.3">
      <c r="A2411" s="54"/>
      <c r="B2411" s="54"/>
      <c r="C2411" s="54"/>
      <c r="D2411" s="54"/>
      <c r="E2411" s="55"/>
      <c r="F2411" s="57"/>
      <c r="G2411" s="57"/>
      <c r="H2411" s="54">
        <f t="shared" si="150"/>
        <v>0</v>
      </c>
      <c r="I2411" s="58"/>
      <c r="J2411" s="54">
        <f t="shared" si="151"/>
        <v>0</v>
      </c>
      <c r="K2411" s="57"/>
      <c r="L2411" s="54">
        <f t="shared" si="152"/>
        <v>0</v>
      </c>
    </row>
    <row r="2412" spans="1:12" x14ac:dyDescent="0.3">
      <c r="A2412" s="54"/>
      <c r="B2412" s="54"/>
      <c r="C2412" s="54"/>
      <c r="D2412" s="54"/>
      <c r="E2412" s="55"/>
      <c r="F2412" s="57"/>
      <c r="G2412" s="57"/>
      <c r="H2412" s="54">
        <f t="shared" si="150"/>
        <v>0</v>
      </c>
      <c r="I2412" s="58"/>
      <c r="J2412" s="54">
        <f t="shared" si="151"/>
        <v>0</v>
      </c>
      <c r="K2412" s="57"/>
      <c r="L2412" s="54">
        <f t="shared" si="152"/>
        <v>0</v>
      </c>
    </row>
    <row r="2413" spans="1:12" x14ac:dyDescent="0.3">
      <c r="A2413" s="54"/>
      <c r="B2413" s="54"/>
      <c r="C2413" s="54"/>
      <c r="D2413" s="54"/>
      <c r="E2413" s="55"/>
      <c r="F2413" s="57"/>
      <c r="G2413" s="57"/>
      <c r="H2413" s="54">
        <f t="shared" si="150"/>
        <v>0</v>
      </c>
      <c r="I2413" s="58"/>
      <c r="J2413" s="54">
        <f t="shared" si="151"/>
        <v>0</v>
      </c>
      <c r="K2413" s="57"/>
      <c r="L2413" s="54">
        <f t="shared" si="152"/>
        <v>0</v>
      </c>
    </row>
    <row r="2414" spans="1:12" x14ac:dyDescent="0.3">
      <c r="A2414" s="54"/>
      <c r="B2414" s="54"/>
      <c r="C2414" s="54"/>
      <c r="D2414" s="54"/>
      <c r="E2414" s="55"/>
      <c r="F2414" s="57"/>
      <c r="G2414" s="57"/>
      <c r="H2414" s="54">
        <f t="shared" si="150"/>
        <v>0</v>
      </c>
      <c r="I2414" s="58"/>
      <c r="J2414" s="54">
        <f t="shared" si="151"/>
        <v>0</v>
      </c>
      <c r="K2414" s="57"/>
      <c r="L2414" s="54">
        <f t="shared" si="152"/>
        <v>0</v>
      </c>
    </row>
    <row r="2415" spans="1:12" x14ac:dyDescent="0.3">
      <c r="A2415" s="54"/>
      <c r="B2415" s="54"/>
      <c r="C2415" s="54"/>
      <c r="D2415" s="54"/>
      <c r="E2415" s="55"/>
      <c r="F2415" s="57"/>
      <c r="G2415" s="57"/>
      <c r="H2415" s="54">
        <f t="shared" si="150"/>
        <v>0</v>
      </c>
      <c r="I2415" s="58"/>
      <c r="J2415" s="54">
        <f t="shared" si="151"/>
        <v>0</v>
      </c>
      <c r="K2415" s="57"/>
      <c r="L2415" s="54">
        <f t="shared" si="152"/>
        <v>0</v>
      </c>
    </row>
    <row r="2416" spans="1:12" x14ac:dyDescent="0.3">
      <c r="A2416" s="54"/>
      <c r="B2416" s="54"/>
      <c r="C2416" s="54"/>
      <c r="D2416" s="54"/>
      <c r="E2416" s="55"/>
      <c r="F2416" s="57"/>
      <c r="G2416" s="57"/>
      <c r="H2416" s="54">
        <f t="shared" si="150"/>
        <v>0</v>
      </c>
      <c r="I2416" s="58"/>
      <c r="J2416" s="54">
        <f t="shared" si="151"/>
        <v>0</v>
      </c>
      <c r="K2416" s="57"/>
      <c r="L2416" s="54">
        <f t="shared" si="152"/>
        <v>0</v>
      </c>
    </row>
    <row r="2417" spans="1:12" x14ac:dyDescent="0.3">
      <c r="A2417" s="54"/>
      <c r="B2417" s="54"/>
      <c r="C2417" s="54"/>
      <c r="D2417" s="54"/>
      <c r="E2417" s="55"/>
      <c r="F2417" s="57"/>
      <c r="G2417" s="57"/>
      <c r="H2417" s="54">
        <f t="shared" si="150"/>
        <v>0</v>
      </c>
      <c r="I2417" s="58"/>
      <c r="J2417" s="54">
        <f t="shared" si="151"/>
        <v>0</v>
      </c>
      <c r="K2417" s="57"/>
      <c r="L2417" s="54">
        <f t="shared" si="152"/>
        <v>0</v>
      </c>
    </row>
    <row r="2418" spans="1:12" x14ac:dyDescent="0.3">
      <c r="A2418" s="54"/>
      <c r="B2418" s="54"/>
      <c r="C2418" s="54"/>
      <c r="D2418" s="54"/>
      <c r="E2418" s="55"/>
      <c r="F2418" s="57"/>
      <c r="G2418" s="57"/>
      <c r="H2418" s="54">
        <f t="shared" si="150"/>
        <v>0</v>
      </c>
      <c r="I2418" s="58"/>
      <c r="J2418" s="54">
        <f t="shared" si="151"/>
        <v>0</v>
      </c>
      <c r="K2418" s="57"/>
      <c r="L2418" s="54">
        <f t="shared" si="152"/>
        <v>0</v>
      </c>
    </row>
    <row r="2419" spans="1:12" x14ac:dyDescent="0.3">
      <c r="A2419" s="54"/>
      <c r="B2419" s="54"/>
      <c r="C2419" s="54"/>
      <c r="D2419" s="54"/>
      <c r="E2419" s="55"/>
      <c r="F2419" s="57"/>
      <c r="G2419" s="57"/>
      <c r="H2419" s="54">
        <f t="shared" si="150"/>
        <v>0</v>
      </c>
      <c r="I2419" s="58"/>
      <c r="J2419" s="54">
        <f t="shared" si="151"/>
        <v>0</v>
      </c>
      <c r="K2419" s="57"/>
      <c r="L2419" s="54">
        <f t="shared" si="152"/>
        <v>0</v>
      </c>
    </row>
    <row r="2420" spans="1:12" x14ac:dyDescent="0.3">
      <c r="A2420" s="54"/>
      <c r="B2420" s="54"/>
      <c r="C2420" s="54"/>
      <c r="D2420" s="54"/>
      <c r="E2420" s="55"/>
      <c r="F2420" s="57"/>
      <c r="G2420" s="57"/>
      <c r="H2420" s="54">
        <f t="shared" si="150"/>
        <v>0</v>
      </c>
      <c r="I2420" s="58"/>
      <c r="J2420" s="54">
        <f t="shared" si="151"/>
        <v>0</v>
      </c>
      <c r="K2420" s="57"/>
      <c r="L2420" s="54">
        <f t="shared" si="152"/>
        <v>0</v>
      </c>
    </row>
    <row r="2421" spans="1:12" x14ac:dyDescent="0.3">
      <c r="A2421" s="54"/>
      <c r="B2421" s="54"/>
      <c r="C2421" s="54"/>
      <c r="D2421" s="54"/>
      <c r="E2421" s="55"/>
      <c r="F2421" s="57"/>
      <c r="G2421" s="57"/>
      <c r="H2421" s="54">
        <f t="shared" si="150"/>
        <v>0</v>
      </c>
      <c r="I2421" s="58"/>
      <c r="J2421" s="54">
        <f t="shared" si="151"/>
        <v>0</v>
      </c>
      <c r="K2421" s="57"/>
      <c r="L2421" s="54">
        <f t="shared" si="152"/>
        <v>0</v>
      </c>
    </row>
    <row r="2422" spans="1:12" x14ac:dyDescent="0.3">
      <c r="A2422" s="54"/>
      <c r="B2422" s="54"/>
      <c r="C2422" s="54"/>
      <c r="D2422" s="54"/>
      <c r="E2422" s="55"/>
      <c r="F2422" s="57"/>
      <c r="G2422" s="57"/>
      <c r="H2422" s="54">
        <f t="shared" si="150"/>
        <v>0</v>
      </c>
      <c r="I2422" s="58"/>
      <c r="J2422" s="54">
        <f t="shared" si="151"/>
        <v>0</v>
      </c>
      <c r="K2422" s="57"/>
      <c r="L2422" s="54">
        <f t="shared" si="152"/>
        <v>0</v>
      </c>
    </row>
    <row r="2423" spans="1:12" x14ac:dyDescent="0.3">
      <c r="A2423" s="54"/>
      <c r="B2423" s="54"/>
      <c r="C2423" s="54"/>
      <c r="D2423" s="54"/>
      <c r="E2423" s="55"/>
      <c r="F2423" s="57"/>
      <c r="G2423" s="57"/>
      <c r="H2423" s="54">
        <f t="shared" si="150"/>
        <v>0</v>
      </c>
      <c r="I2423" s="58"/>
      <c r="J2423" s="54">
        <f t="shared" si="151"/>
        <v>0</v>
      </c>
      <c r="K2423" s="57"/>
      <c r="L2423" s="54">
        <f t="shared" si="152"/>
        <v>0</v>
      </c>
    </row>
    <row r="2424" spans="1:12" x14ac:dyDescent="0.3">
      <c r="A2424" s="54"/>
      <c r="B2424" s="54"/>
      <c r="C2424" s="54"/>
      <c r="D2424" s="54"/>
      <c r="E2424" s="55"/>
      <c r="F2424" s="57"/>
      <c r="G2424" s="57"/>
      <c r="H2424" s="54">
        <f t="shared" si="150"/>
        <v>0</v>
      </c>
      <c r="I2424" s="58"/>
      <c r="J2424" s="54">
        <f t="shared" si="151"/>
        <v>0</v>
      </c>
      <c r="K2424" s="57"/>
      <c r="L2424" s="54">
        <f t="shared" si="152"/>
        <v>0</v>
      </c>
    </row>
    <row r="2425" spans="1:12" x14ac:dyDescent="0.3">
      <c r="A2425" s="54"/>
      <c r="B2425" s="54"/>
      <c r="C2425" s="54"/>
      <c r="D2425" s="54"/>
      <c r="E2425" s="55"/>
      <c r="F2425" s="57"/>
      <c r="G2425" s="57"/>
      <c r="H2425" s="54">
        <f t="shared" si="150"/>
        <v>0</v>
      </c>
      <c r="I2425" s="58"/>
      <c r="J2425" s="54">
        <f t="shared" si="151"/>
        <v>0</v>
      </c>
      <c r="K2425" s="57"/>
      <c r="L2425" s="54">
        <f t="shared" si="152"/>
        <v>0</v>
      </c>
    </row>
    <row r="2426" spans="1:12" x14ac:dyDescent="0.3">
      <c r="A2426" s="54"/>
      <c r="B2426" s="54"/>
      <c r="C2426" s="54"/>
      <c r="D2426" s="54"/>
      <c r="E2426" s="55"/>
      <c r="F2426" s="57"/>
      <c r="G2426" s="57"/>
      <c r="H2426" s="54">
        <f t="shared" si="150"/>
        <v>0</v>
      </c>
      <c r="I2426" s="58"/>
      <c r="J2426" s="54">
        <f t="shared" si="151"/>
        <v>0</v>
      </c>
      <c r="K2426" s="57"/>
      <c r="L2426" s="54">
        <f t="shared" si="152"/>
        <v>0</v>
      </c>
    </row>
    <row r="2427" spans="1:12" x14ac:dyDescent="0.3">
      <c r="A2427" s="54"/>
      <c r="B2427" s="54"/>
      <c r="C2427" s="54"/>
      <c r="D2427" s="54"/>
      <c r="E2427" s="55"/>
      <c r="F2427" s="57"/>
      <c r="G2427" s="57"/>
      <c r="H2427" s="54">
        <f t="shared" si="150"/>
        <v>0</v>
      </c>
      <c r="I2427" s="58"/>
      <c r="J2427" s="54">
        <f t="shared" si="151"/>
        <v>0</v>
      </c>
      <c r="K2427" s="57"/>
      <c r="L2427" s="54">
        <f t="shared" si="152"/>
        <v>0</v>
      </c>
    </row>
    <row r="2428" spans="1:12" x14ac:dyDescent="0.3">
      <c r="A2428" s="54"/>
      <c r="B2428" s="54"/>
      <c r="C2428" s="54"/>
      <c r="D2428" s="54"/>
      <c r="E2428" s="55"/>
      <c r="F2428" s="57"/>
      <c r="G2428" s="57"/>
      <c r="H2428" s="54">
        <f t="shared" si="150"/>
        <v>0</v>
      </c>
      <c r="I2428" s="58"/>
      <c r="J2428" s="54">
        <f t="shared" si="151"/>
        <v>0</v>
      </c>
      <c r="K2428" s="57"/>
      <c r="L2428" s="54">
        <f t="shared" si="152"/>
        <v>0</v>
      </c>
    </row>
    <row r="2429" spans="1:12" x14ac:dyDescent="0.3">
      <c r="A2429" s="54"/>
      <c r="B2429" s="54"/>
      <c r="C2429" s="54"/>
      <c r="D2429" s="54"/>
      <c r="E2429" s="55"/>
      <c r="F2429" s="57"/>
      <c r="G2429" s="57"/>
      <c r="H2429" s="54">
        <f t="shared" si="150"/>
        <v>0</v>
      </c>
      <c r="I2429" s="58"/>
      <c r="J2429" s="54">
        <f t="shared" si="151"/>
        <v>0</v>
      </c>
      <c r="K2429" s="57"/>
      <c r="L2429" s="54">
        <f t="shared" si="152"/>
        <v>0</v>
      </c>
    </row>
    <row r="2430" spans="1:12" x14ac:dyDescent="0.3">
      <c r="A2430" s="54"/>
      <c r="B2430" s="54"/>
      <c r="C2430" s="54"/>
      <c r="D2430" s="54"/>
      <c r="E2430" s="55"/>
      <c r="F2430" s="57"/>
      <c r="G2430" s="57"/>
      <c r="H2430" s="54">
        <f t="shared" si="150"/>
        <v>0</v>
      </c>
      <c r="I2430" s="58"/>
      <c r="J2430" s="54">
        <f t="shared" si="151"/>
        <v>0</v>
      </c>
      <c r="K2430" s="57"/>
      <c r="L2430" s="54">
        <f t="shared" si="152"/>
        <v>0</v>
      </c>
    </row>
    <row r="2431" spans="1:12" x14ac:dyDescent="0.3">
      <c r="A2431" s="54"/>
      <c r="B2431" s="54"/>
      <c r="C2431" s="54"/>
      <c r="D2431" s="54"/>
      <c r="E2431" s="55"/>
      <c r="F2431" s="57"/>
      <c r="G2431" s="57"/>
      <c r="H2431" s="54">
        <f t="shared" si="150"/>
        <v>0</v>
      </c>
      <c r="I2431" s="58"/>
      <c r="J2431" s="54">
        <f t="shared" si="151"/>
        <v>0</v>
      </c>
      <c r="K2431" s="57"/>
      <c r="L2431" s="54">
        <f t="shared" si="152"/>
        <v>0</v>
      </c>
    </row>
    <row r="2432" spans="1:12" x14ac:dyDescent="0.3">
      <c r="A2432" s="54"/>
      <c r="B2432" s="54"/>
      <c r="C2432" s="54"/>
      <c r="D2432" s="54"/>
      <c r="E2432" s="55"/>
      <c r="F2432" s="57"/>
      <c r="G2432" s="57"/>
      <c r="H2432" s="54">
        <f t="shared" si="150"/>
        <v>0</v>
      </c>
      <c r="I2432" s="58"/>
      <c r="J2432" s="54">
        <f t="shared" si="151"/>
        <v>0</v>
      </c>
      <c r="K2432" s="57"/>
      <c r="L2432" s="54">
        <f t="shared" si="152"/>
        <v>0</v>
      </c>
    </row>
    <row r="2433" spans="1:12" x14ac:dyDescent="0.3">
      <c r="A2433" s="54"/>
      <c r="B2433" s="54"/>
      <c r="C2433" s="54"/>
      <c r="D2433" s="54"/>
      <c r="E2433" s="55"/>
      <c r="F2433" s="57"/>
      <c r="G2433" s="57"/>
      <c r="H2433" s="54">
        <f t="shared" si="150"/>
        <v>0</v>
      </c>
      <c r="I2433" s="58"/>
      <c r="J2433" s="54">
        <f t="shared" si="151"/>
        <v>0</v>
      </c>
      <c r="K2433" s="57"/>
      <c r="L2433" s="54">
        <f t="shared" si="152"/>
        <v>0</v>
      </c>
    </row>
    <row r="2434" spans="1:12" x14ac:dyDescent="0.3">
      <c r="A2434" s="54"/>
      <c r="B2434" s="54"/>
      <c r="C2434" s="54"/>
      <c r="D2434" s="54"/>
      <c r="E2434" s="55"/>
      <c r="F2434" s="57"/>
      <c r="G2434" s="57"/>
      <c r="H2434" s="54">
        <f t="shared" si="150"/>
        <v>0</v>
      </c>
      <c r="I2434" s="58"/>
      <c r="J2434" s="54">
        <f t="shared" si="151"/>
        <v>0</v>
      </c>
      <c r="K2434" s="57"/>
      <c r="L2434" s="54">
        <f t="shared" si="152"/>
        <v>0</v>
      </c>
    </row>
    <row r="2435" spans="1:12" x14ac:dyDescent="0.3">
      <c r="A2435" s="54"/>
      <c r="B2435" s="54"/>
      <c r="C2435" s="54"/>
      <c r="D2435" s="54"/>
      <c r="E2435" s="55"/>
      <c r="F2435" s="57"/>
      <c r="G2435" s="57"/>
      <c r="H2435" s="54">
        <f t="shared" si="150"/>
        <v>0</v>
      </c>
      <c r="I2435" s="58"/>
      <c r="J2435" s="54">
        <f t="shared" si="151"/>
        <v>0</v>
      </c>
      <c r="K2435" s="57"/>
      <c r="L2435" s="54">
        <f t="shared" si="152"/>
        <v>0</v>
      </c>
    </row>
    <row r="2436" spans="1:12" x14ac:dyDescent="0.3">
      <c r="A2436" s="54"/>
      <c r="B2436" s="54"/>
      <c r="C2436" s="54"/>
      <c r="D2436" s="54"/>
      <c r="E2436" s="55"/>
      <c r="F2436" s="57"/>
      <c r="G2436" s="57"/>
      <c r="H2436" s="54">
        <f t="shared" si="150"/>
        <v>0</v>
      </c>
      <c r="I2436" s="58"/>
      <c r="J2436" s="54">
        <f t="shared" si="151"/>
        <v>0</v>
      </c>
      <c r="K2436" s="57"/>
      <c r="L2436" s="54">
        <f t="shared" si="152"/>
        <v>0</v>
      </c>
    </row>
    <row r="2437" spans="1:12" x14ac:dyDescent="0.3">
      <c r="A2437" s="54"/>
      <c r="B2437" s="54"/>
      <c r="C2437" s="54"/>
      <c r="D2437" s="54"/>
      <c r="E2437" s="55"/>
      <c r="F2437" s="57"/>
      <c r="G2437" s="57"/>
      <c r="H2437" s="54">
        <f t="shared" si="150"/>
        <v>0</v>
      </c>
      <c r="I2437" s="58"/>
      <c r="J2437" s="54">
        <f t="shared" si="151"/>
        <v>0</v>
      </c>
      <c r="K2437" s="57"/>
      <c r="L2437" s="54">
        <f t="shared" si="152"/>
        <v>0</v>
      </c>
    </row>
    <row r="2438" spans="1:12" x14ac:dyDescent="0.3">
      <c r="A2438" s="54"/>
      <c r="B2438" s="54"/>
      <c r="C2438" s="54"/>
      <c r="D2438" s="54"/>
      <c r="E2438" s="55"/>
      <c r="F2438" s="57"/>
      <c r="G2438" s="57"/>
      <c r="H2438" s="54">
        <f t="shared" si="150"/>
        <v>0</v>
      </c>
      <c r="I2438" s="58"/>
      <c r="J2438" s="54">
        <f t="shared" si="151"/>
        <v>0</v>
      </c>
      <c r="K2438" s="57"/>
      <c r="L2438" s="54">
        <f t="shared" si="152"/>
        <v>0</v>
      </c>
    </row>
    <row r="2439" spans="1:12" x14ac:dyDescent="0.3">
      <c r="A2439" s="54"/>
      <c r="B2439" s="54"/>
      <c r="C2439" s="54"/>
      <c r="D2439" s="54"/>
      <c r="E2439" s="55"/>
      <c r="F2439" s="57"/>
      <c r="G2439" s="57"/>
      <c r="H2439" s="54">
        <f t="shared" si="150"/>
        <v>0</v>
      </c>
      <c r="I2439" s="58"/>
      <c r="J2439" s="54">
        <f t="shared" si="151"/>
        <v>0</v>
      </c>
      <c r="K2439" s="57"/>
      <c r="L2439" s="54">
        <f t="shared" si="152"/>
        <v>0</v>
      </c>
    </row>
    <row r="2440" spans="1:12" x14ac:dyDescent="0.3">
      <c r="A2440" s="54"/>
      <c r="B2440" s="54"/>
      <c r="C2440" s="54"/>
      <c r="D2440" s="54"/>
      <c r="E2440" s="55"/>
      <c r="F2440" s="57"/>
      <c r="G2440" s="57"/>
      <c r="H2440" s="54">
        <f t="shared" si="150"/>
        <v>0</v>
      </c>
      <c r="I2440" s="58"/>
      <c r="J2440" s="54">
        <f t="shared" si="151"/>
        <v>0</v>
      </c>
      <c r="K2440" s="57"/>
      <c r="L2440" s="54">
        <f t="shared" si="152"/>
        <v>0</v>
      </c>
    </row>
    <row r="2441" spans="1:12" x14ac:dyDescent="0.3">
      <c r="A2441" s="54"/>
      <c r="B2441" s="54"/>
      <c r="C2441" s="54"/>
      <c r="D2441" s="54"/>
      <c r="E2441" s="55"/>
      <c r="F2441" s="57"/>
      <c r="G2441" s="57"/>
      <c r="H2441" s="54">
        <f t="shared" si="150"/>
        <v>0</v>
      </c>
      <c r="I2441" s="58"/>
      <c r="J2441" s="54">
        <f t="shared" si="151"/>
        <v>0</v>
      </c>
      <c r="K2441" s="57"/>
      <c r="L2441" s="54">
        <f t="shared" si="152"/>
        <v>0</v>
      </c>
    </row>
    <row r="2442" spans="1:12" x14ac:dyDescent="0.3">
      <c r="A2442" s="54"/>
      <c r="B2442" s="54"/>
      <c r="C2442" s="54"/>
      <c r="D2442" s="54"/>
      <c r="E2442" s="55"/>
      <c r="F2442" s="57"/>
      <c r="G2442" s="57"/>
      <c r="H2442" s="54">
        <f t="shared" si="150"/>
        <v>0</v>
      </c>
      <c r="I2442" s="58"/>
      <c r="J2442" s="54">
        <f t="shared" si="151"/>
        <v>0</v>
      </c>
      <c r="K2442" s="57"/>
      <c r="L2442" s="54">
        <f t="shared" si="152"/>
        <v>0</v>
      </c>
    </row>
    <row r="2443" spans="1:12" x14ac:dyDescent="0.3">
      <c r="A2443" s="54"/>
      <c r="B2443" s="54"/>
      <c r="C2443" s="54"/>
      <c r="D2443" s="54"/>
      <c r="E2443" s="55"/>
      <c r="F2443" s="57"/>
      <c r="G2443" s="57"/>
      <c r="H2443" s="54">
        <f t="shared" si="150"/>
        <v>0</v>
      </c>
      <c r="I2443" s="58"/>
      <c r="J2443" s="54">
        <f t="shared" si="151"/>
        <v>0</v>
      </c>
      <c r="K2443" s="57"/>
      <c r="L2443" s="54">
        <f t="shared" si="152"/>
        <v>0</v>
      </c>
    </row>
    <row r="2444" spans="1:12" x14ac:dyDescent="0.3">
      <c r="A2444" s="54"/>
      <c r="B2444" s="54"/>
      <c r="C2444" s="54"/>
      <c r="D2444" s="54"/>
      <c r="E2444" s="55"/>
      <c r="F2444" s="57"/>
      <c r="G2444" s="57"/>
      <c r="H2444" s="54">
        <f t="shared" si="150"/>
        <v>0</v>
      </c>
      <c r="I2444" s="58"/>
      <c r="J2444" s="54">
        <f t="shared" si="151"/>
        <v>0</v>
      </c>
      <c r="K2444" s="57"/>
      <c r="L2444" s="54">
        <f t="shared" si="152"/>
        <v>0</v>
      </c>
    </row>
    <row r="2445" spans="1:12" x14ac:dyDescent="0.3">
      <c r="A2445" s="54"/>
      <c r="B2445" s="54"/>
      <c r="C2445" s="54"/>
      <c r="D2445" s="54"/>
      <c r="E2445" s="55"/>
      <c r="F2445" s="57"/>
      <c r="G2445" s="57"/>
      <c r="H2445" s="54">
        <f t="shared" si="150"/>
        <v>0</v>
      </c>
      <c r="I2445" s="58"/>
      <c r="J2445" s="54">
        <f t="shared" si="151"/>
        <v>0</v>
      </c>
      <c r="K2445" s="57"/>
      <c r="L2445" s="54">
        <f t="shared" si="152"/>
        <v>0</v>
      </c>
    </row>
    <row r="2446" spans="1:12" x14ac:dyDescent="0.3">
      <c r="A2446" s="54"/>
      <c r="B2446" s="54"/>
      <c r="C2446" s="54"/>
      <c r="D2446" s="54"/>
      <c r="E2446" s="55"/>
      <c r="F2446" s="57"/>
      <c r="G2446" s="57"/>
      <c r="H2446" s="54">
        <f t="shared" si="150"/>
        <v>0</v>
      </c>
      <c r="I2446" s="58"/>
      <c r="J2446" s="54">
        <f t="shared" si="151"/>
        <v>0</v>
      </c>
      <c r="K2446" s="57"/>
      <c r="L2446" s="54">
        <f t="shared" si="152"/>
        <v>0</v>
      </c>
    </row>
    <row r="2447" spans="1:12" x14ac:dyDescent="0.3">
      <c r="A2447" s="54"/>
      <c r="B2447" s="54"/>
      <c r="C2447" s="54"/>
      <c r="D2447" s="54"/>
      <c r="E2447" s="55"/>
      <c r="F2447" s="57"/>
      <c r="G2447" s="57"/>
      <c r="H2447" s="54">
        <f t="shared" si="150"/>
        <v>0</v>
      </c>
      <c r="I2447" s="58"/>
      <c r="J2447" s="54">
        <f t="shared" si="151"/>
        <v>0</v>
      </c>
      <c r="K2447" s="57"/>
      <c r="L2447" s="54">
        <f t="shared" si="152"/>
        <v>0</v>
      </c>
    </row>
    <row r="2448" spans="1:12" x14ac:dyDescent="0.3">
      <c r="A2448" s="54"/>
      <c r="B2448" s="54"/>
      <c r="C2448" s="54"/>
      <c r="D2448" s="54"/>
      <c r="E2448" s="55"/>
      <c r="F2448" s="57"/>
      <c r="G2448" s="57"/>
      <c r="H2448" s="54">
        <f t="shared" si="150"/>
        <v>0</v>
      </c>
      <c r="I2448" s="58"/>
      <c r="J2448" s="54">
        <f t="shared" si="151"/>
        <v>0</v>
      </c>
      <c r="K2448" s="57"/>
      <c r="L2448" s="54">
        <f t="shared" si="152"/>
        <v>0</v>
      </c>
    </row>
    <row r="2449" spans="1:12" x14ac:dyDescent="0.3">
      <c r="A2449" s="54"/>
      <c r="B2449" s="54"/>
      <c r="C2449" s="54"/>
      <c r="D2449" s="54"/>
      <c r="E2449" s="55"/>
      <c r="F2449" s="57"/>
      <c r="G2449" s="57"/>
      <c r="H2449" s="54">
        <f t="shared" si="150"/>
        <v>0</v>
      </c>
      <c r="I2449" s="58"/>
      <c r="J2449" s="54">
        <f t="shared" si="151"/>
        <v>0</v>
      </c>
      <c r="K2449" s="57"/>
      <c r="L2449" s="54">
        <f t="shared" si="152"/>
        <v>0</v>
      </c>
    </row>
    <row r="2450" spans="1:12" x14ac:dyDescent="0.3">
      <c r="A2450" s="54"/>
      <c r="B2450" s="54"/>
      <c r="C2450" s="54"/>
      <c r="D2450" s="54"/>
      <c r="E2450" s="55"/>
      <c r="F2450" s="57"/>
      <c r="G2450" s="57"/>
      <c r="H2450" s="54">
        <f t="shared" si="150"/>
        <v>0</v>
      </c>
      <c r="I2450" s="58"/>
      <c r="J2450" s="54">
        <f t="shared" si="151"/>
        <v>0</v>
      </c>
      <c r="K2450" s="57"/>
      <c r="L2450" s="54">
        <f t="shared" si="152"/>
        <v>0</v>
      </c>
    </row>
    <row r="2451" spans="1:12" x14ac:dyDescent="0.3">
      <c r="A2451" s="54"/>
      <c r="B2451" s="54"/>
      <c r="C2451" s="54"/>
      <c r="D2451" s="54"/>
      <c r="E2451" s="55"/>
      <c r="F2451" s="57"/>
      <c r="G2451" s="57"/>
      <c r="H2451" s="54">
        <f t="shared" si="150"/>
        <v>0</v>
      </c>
      <c r="I2451" s="58"/>
      <c r="J2451" s="54">
        <f t="shared" si="151"/>
        <v>0</v>
      </c>
      <c r="K2451" s="57"/>
      <c r="L2451" s="54">
        <f t="shared" si="152"/>
        <v>0</v>
      </c>
    </row>
    <row r="2452" spans="1:12" x14ac:dyDescent="0.3">
      <c r="A2452" s="54"/>
      <c r="B2452" s="54"/>
      <c r="C2452" s="54"/>
      <c r="D2452" s="54"/>
      <c r="E2452" s="55"/>
      <c r="F2452" s="57"/>
      <c r="G2452" s="57"/>
      <c r="H2452" s="54">
        <f t="shared" si="150"/>
        <v>0</v>
      </c>
      <c r="I2452" s="58"/>
      <c r="J2452" s="54">
        <f t="shared" si="151"/>
        <v>0</v>
      </c>
      <c r="K2452" s="57"/>
      <c r="L2452" s="54">
        <f t="shared" si="152"/>
        <v>0</v>
      </c>
    </row>
    <row r="2453" spans="1:12" x14ac:dyDescent="0.3">
      <c r="A2453" s="54"/>
      <c r="B2453" s="54"/>
      <c r="C2453" s="54"/>
      <c r="D2453" s="54"/>
      <c r="E2453" s="55"/>
      <c r="F2453" s="57"/>
      <c r="G2453" s="57"/>
      <c r="H2453" s="54">
        <f t="shared" si="150"/>
        <v>0</v>
      </c>
      <c r="I2453" s="58"/>
      <c r="J2453" s="54">
        <f t="shared" si="151"/>
        <v>0</v>
      </c>
      <c r="K2453" s="57"/>
      <c r="L2453" s="54">
        <f t="shared" si="152"/>
        <v>0</v>
      </c>
    </row>
    <row r="2454" spans="1:12" x14ac:dyDescent="0.3">
      <c r="A2454" s="54"/>
      <c r="B2454" s="54"/>
      <c r="C2454" s="54"/>
      <c r="D2454" s="54"/>
      <c r="E2454" s="55"/>
      <c r="F2454" s="57"/>
      <c r="G2454" s="57"/>
      <c r="H2454" s="54">
        <f t="shared" si="150"/>
        <v>0</v>
      </c>
      <c r="I2454" s="58"/>
      <c r="J2454" s="54">
        <f t="shared" si="151"/>
        <v>0</v>
      </c>
      <c r="K2454" s="57"/>
      <c r="L2454" s="54">
        <f t="shared" si="152"/>
        <v>0</v>
      </c>
    </row>
    <row r="2455" spans="1:12" x14ac:dyDescent="0.3">
      <c r="A2455" s="54"/>
      <c r="B2455" s="54"/>
      <c r="C2455" s="54"/>
      <c r="D2455" s="54"/>
      <c r="E2455" s="55"/>
      <c r="F2455" s="57"/>
      <c r="G2455" s="57"/>
      <c r="H2455" s="54">
        <f t="shared" si="150"/>
        <v>0</v>
      </c>
      <c r="I2455" s="58"/>
      <c r="J2455" s="54">
        <f t="shared" si="151"/>
        <v>0</v>
      </c>
      <c r="K2455" s="57"/>
      <c r="L2455" s="54">
        <f t="shared" si="152"/>
        <v>0</v>
      </c>
    </row>
    <row r="2456" spans="1:12" x14ac:dyDescent="0.3">
      <c r="A2456" s="54"/>
      <c r="B2456" s="54"/>
      <c r="C2456" s="54"/>
      <c r="D2456" s="54"/>
      <c r="E2456" s="55"/>
      <c r="F2456" s="57"/>
      <c r="G2456" s="57"/>
      <c r="H2456" s="54">
        <f t="shared" si="150"/>
        <v>0</v>
      </c>
      <c r="I2456" s="58"/>
      <c r="J2456" s="54">
        <f t="shared" si="151"/>
        <v>0</v>
      </c>
      <c r="K2456" s="57"/>
      <c r="L2456" s="54">
        <f t="shared" si="152"/>
        <v>0</v>
      </c>
    </row>
    <row r="2457" spans="1:12" x14ac:dyDescent="0.3">
      <c r="A2457" s="54"/>
      <c r="B2457" s="54"/>
      <c r="C2457" s="54"/>
      <c r="D2457" s="54"/>
      <c r="E2457" s="55"/>
      <c r="F2457" s="57"/>
      <c r="G2457" s="57"/>
      <c r="H2457" s="54">
        <f t="shared" si="150"/>
        <v>0</v>
      </c>
      <c r="I2457" s="58"/>
      <c r="J2457" s="54">
        <f t="shared" si="151"/>
        <v>0</v>
      </c>
      <c r="K2457" s="57"/>
      <c r="L2457" s="54">
        <f t="shared" si="152"/>
        <v>0</v>
      </c>
    </row>
    <row r="2458" spans="1:12" x14ac:dyDescent="0.3">
      <c r="A2458" s="54"/>
      <c r="B2458" s="54"/>
      <c r="C2458" s="54"/>
      <c r="D2458" s="54"/>
      <c r="E2458" s="55"/>
      <c r="F2458" s="57"/>
      <c r="G2458" s="57"/>
      <c r="H2458" s="54">
        <f t="shared" si="150"/>
        <v>0</v>
      </c>
      <c r="I2458" s="58"/>
      <c r="J2458" s="54">
        <f t="shared" si="151"/>
        <v>0</v>
      </c>
      <c r="K2458" s="57"/>
      <c r="L2458" s="54">
        <f t="shared" si="152"/>
        <v>0</v>
      </c>
    </row>
    <row r="2459" spans="1:12" x14ac:dyDescent="0.3">
      <c r="A2459" s="54"/>
      <c r="B2459" s="54"/>
      <c r="C2459" s="54"/>
      <c r="D2459" s="54"/>
      <c r="E2459" s="55"/>
      <c r="F2459" s="57"/>
      <c r="G2459" s="57"/>
      <c r="H2459" s="54">
        <f t="shared" ref="H2459:H2522" si="153">+F2459-G2459</f>
        <v>0</v>
      </c>
      <c r="I2459" s="58"/>
      <c r="J2459" s="54">
        <f t="shared" ref="J2459:J2522" si="154">+H2459-H2459*I2459/100</f>
        <v>0</v>
      </c>
      <c r="K2459" s="57"/>
      <c r="L2459" s="54">
        <f t="shared" ref="L2459:L2522" si="155">+J2459*K2459</f>
        <v>0</v>
      </c>
    </row>
    <row r="2460" spans="1:12" x14ac:dyDescent="0.3">
      <c r="A2460" s="54"/>
      <c r="B2460" s="54"/>
      <c r="C2460" s="54"/>
      <c r="D2460" s="54"/>
      <c r="E2460" s="55"/>
      <c r="F2460" s="57"/>
      <c r="G2460" s="57"/>
      <c r="H2460" s="54">
        <f t="shared" si="153"/>
        <v>0</v>
      </c>
      <c r="I2460" s="58"/>
      <c r="J2460" s="54">
        <f t="shared" si="154"/>
        <v>0</v>
      </c>
      <c r="K2460" s="57"/>
      <c r="L2460" s="54">
        <f t="shared" si="155"/>
        <v>0</v>
      </c>
    </row>
    <row r="2461" spans="1:12" x14ac:dyDescent="0.3">
      <c r="A2461" s="54"/>
      <c r="B2461" s="54"/>
      <c r="C2461" s="54"/>
      <c r="D2461" s="54"/>
      <c r="E2461" s="55"/>
      <c r="F2461" s="57"/>
      <c r="G2461" s="57"/>
      <c r="H2461" s="54">
        <f t="shared" si="153"/>
        <v>0</v>
      </c>
      <c r="I2461" s="58"/>
      <c r="J2461" s="54">
        <f t="shared" si="154"/>
        <v>0</v>
      </c>
      <c r="K2461" s="57"/>
      <c r="L2461" s="54">
        <f t="shared" si="155"/>
        <v>0</v>
      </c>
    </row>
    <row r="2462" spans="1:12" x14ac:dyDescent="0.3">
      <c r="A2462" s="54"/>
      <c r="B2462" s="54"/>
      <c r="C2462" s="54"/>
      <c r="D2462" s="54"/>
      <c r="E2462" s="55"/>
      <c r="F2462" s="57"/>
      <c r="G2462" s="57"/>
      <c r="H2462" s="54">
        <f t="shared" si="153"/>
        <v>0</v>
      </c>
      <c r="I2462" s="58"/>
      <c r="J2462" s="54">
        <f t="shared" si="154"/>
        <v>0</v>
      </c>
      <c r="K2462" s="57"/>
      <c r="L2462" s="54">
        <f t="shared" si="155"/>
        <v>0</v>
      </c>
    </row>
    <row r="2463" spans="1:12" x14ac:dyDescent="0.3">
      <c r="A2463" s="54"/>
      <c r="B2463" s="54"/>
      <c r="C2463" s="54"/>
      <c r="D2463" s="54"/>
      <c r="E2463" s="55"/>
      <c r="F2463" s="57"/>
      <c r="G2463" s="57"/>
      <c r="H2463" s="54">
        <f t="shared" si="153"/>
        <v>0</v>
      </c>
      <c r="I2463" s="58"/>
      <c r="J2463" s="54">
        <f t="shared" si="154"/>
        <v>0</v>
      </c>
      <c r="K2463" s="57"/>
      <c r="L2463" s="54">
        <f t="shared" si="155"/>
        <v>0</v>
      </c>
    </row>
    <row r="2464" spans="1:12" x14ac:dyDescent="0.3">
      <c r="A2464" s="54"/>
      <c r="B2464" s="54"/>
      <c r="C2464" s="54"/>
      <c r="D2464" s="54"/>
      <c r="E2464" s="55"/>
      <c r="F2464" s="57"/>
      <c r="G2464" s="57"/>
      <c r="H2464" s="54">
        <f t="shared" si="153"/>
        <v>0</v>
      </c>
      <c r="I2464" s="58"/>
      <c r="J2464" s="54">
        <f t="shared" si="154"/>
        <v>0</v>
      </c>
      <c r="K2464" s="57"/>
      <c r="L2464" s="54">
        <f t="shared" si="155"/>
        <v>0</v>
      </c>
    </row>
    <row r="2465" spans="1:12" x14ac:dyDescent="0.3">
      <c r="A2465" s="54"/>
      <c r="B2465" s="54"/>
      <c r="C2465" s="54"/>
      <c r="D2465" s="54"/>
      <c r="E2465" s="55"/>
      <c r="F2465" s="57"/>
      <c r="G2465" s="57"/>
      <c r="H2465" s="54">
        <f t="shared" si="153"/>
        <v>0</v>
      </c>
      <c r="I2465" s="58"/>
      <c r="J2465" s="54">
        <f t="shared" si="154"/>
        <v>0</v>
      </c>
      <c r="K2465" s="57"/>
      <c r="L2465" s="54">
        <f t="shared" si="155"/>
        <v>0</v>
      </c>
    </row>
    <row r="2466" spans="1:12" x14ac:dyDescent="0.3">
      <c r="A2466" s="54"/>
      <c r="B2466" s="54"/>
      <c r="C2466" s="54"/>
      <c r="D2466" s="54"/>
      <c r="E2466" s="55"/>
      <c r="F2466" s="57"/>
      <c r="G2466" s="57"/>
      <c r="H2466" s="54">
        <f t="shared" si="153"/>
        <v>0</v>
      </c>
      <c r="I2466" s="58"/>
      <c r="J2466" s="54">
        <f t="shared" si="154"/>
        <v>0</v>
      </c>
      <c r="K2466" s="57"/>
      <c r="L2466" s="54">
        <f t="shared" si="155"/>
        <v>0</v>
      </c>
    </row>
    <row r="2467" spans="1:12" x14ac:dyDescent="0.3">
      <c r="A2467" s="54"/>
      <c r="B2467" s="54"/>
      <c r="C2467" s="54"/>
      <c r="D2467" s="54"/>
      <c r="E2467" s="55"/>
      <c r="F2467" s="57"/>
      <c r="G2467" s="57"/>
      <c r="H2467" s="54">
        <f t="shared" si="153"/>
        <v>0</v>
      </c>
      <c r="I2467" s="58"/>
      <c r="J2467" s="54">
        <f t="shared" si="154"/>
        <v>0</v>
      </c>
      <c r="K2467" s="57"/>
      <c r="L2467" s="54">
        <f t="shared" si="155"/>
        <v>0</v>
      </c>
    </row>
    <row r="2468" spans="1:12" x14ac:dyDescent="0.3">
      <c r="A2468" s="54"/>
      <c r="B2468" s="54"/>
      <c r="C2468" s="54"/>
      <c r="D2468" s="54"/>
      <c r="E2468" s="55"/>
      <c r="F2468" s="57"/>
      <c r="G2468" s="57"/>
      <c r="H2468" s="54">
        <f t="shared" si="153"/>
        <v>0</v>
      </c>
      <c r="I2468" s="58"/>
      <c r="J2468" s="54">
        <f t="shared" si="154"/>
        <v>0</v>
      </c>
      <c r="K2468" s="57"/>
      <c r="L2468" s="54">
        <f t="shared" si="155"/>
        <v>0</v>
      </c>
    </row>
    <row r="2469" spans="1:12" x14ac:dyDescent="0.3">
      <c r="A2469" s="54"/>
      <c r="B2469" s="54"/>
      <c r="C2469" s="54"/>
      <c r="D2469" s="54"/>
      <c r="E2469" s="55"/>
      <c r="F2469" s="57"/>
      <c r="G2469" s="57"/>
      <c r="H2469" s="54">
        <f t="shared" si="153"/>
        <v>0</v>
      </c>
      <c r="I2469" s="58"/>
      <c r="J2469" s="54">
        <f t="shared" si="154"/>
        <v>0</v>
      </c>
      <c r="K2469" s="57"/>
      <c r="L2469" s="54">
        <f t="shared" si="155"/>
        <v>0</v>
      </c>
    </row>
    <row r="2470" spans="1:12" x14ac:dyDescent="0.3">
      <c r="A2470" s="54"/>
      <c r="B2470" s="54"/>
      <c r="C2470" s="54"/>
      <c r="D2470" s="54"/>
      <c r="E2470" s="55"/>
      <c r="F2470" s="57"/>
      <c r="G2470" s="57"/>
      <c r="H2470" s="54">
        <f t="shared" si="153"/>
        <v>0</v>
      </c>
      <c r="I2470" s="58"/>
      <c r="J2470" s="54">
        <f t="shared" si="154"/>
        <v>0</v>
      </c>
      <c r="K2470" s="57"/>
      <c r="L2470" s="54">
        <f t="shared" si="155"/>
        <v>0</v>
      </c>
    </row>
    <row r="2471" spans="1:12" x14ac:dyDescent="0.3">
      <c r="A2471" s="54"/>
      <c r="B2471" s="54"/>
      <c r="C2471" s="54"/>
      <c r="D2471" s="54"/>
      <c r="E2471" s="55"/>
      <c r="F2471" s="57"/>
      <c r="G2471" s="57"/>
      <c r="H2471" s="54">
        <f t="shared" si="153"/>
        <v>0</v>
      </c>
      <c r="I2471" s="58"/>
      <c r="J2471" s="54">
        <f t="shared" si="154"/>
        <v>0</v>
      </c>
      <c r="K2471" s="57"/>
      <c r="L2471" s="54">
        <f t="shared" si="155"/>
        <v>0</v>
      </c>
    </row>
    <row r="2472" spans="1:12" x14ac:dyDescent="0.3">
      <c r="A2472" s="54"/>
      <c r="B2472" s="54"/>
      <c r="C2472" s="54"/>
      <c r="D2472" s="54"/>
      <c r="E2472" s="55"/>
      <c r="F2472" s="57"/>
      <c r="G2472" s="57"/>
      <c r="H2472" s="54">
        <f t="shared" si="153"/>
        <v>0</v>
      </c>
      <c r="I2472" s="58"/>
      <c r="J2472" s="54">
        <f t="shared" si="154"/>
        <v>0</v>
      </c>
      <c r="K2472" s="57"/>
      <c r="L2472" s="54">
        <f t="shared" si="155"/>
        <v>0</v>
      </c>
    </row>
    <row r="2473" spans="1:12" x14ac:dyDescent="0.3">
      <c r="A2473" s="54"/>
      <c r="B2473" s="54"/>
      <c r="C2473" s="54"/>
      <c r="D2473" s="54"/>
      <c r="E2473" s="55"/>
      <c r="F2473" s="57"/>
      <c r="G2473" s="57"/>
      <c r="H2473" s="54">
        <f t="shared" si="153"/>
        <v>0</v>
      </c>
      <c r="I2473" s="58"/>
      <c r="J2473" s="54">
        <f t="shared" si="154"/>
        <v>0</v>
      </c>
      <c r="K2473" s="57"/>
      <c r="L2473" s="54">
        <f t="shared" si="155"/>
        <v>0</v>
      </c>
    </row>
    <row r="2474" spans="1:12" x14ac:dyDescent="0.3">
      <c r="A2474" s="54"/>
      <c r="B2474" s="54"/>
      <c r="C2474" s="54"/>
      <c r="D2474" s="54"/>
      <c r="E2474" s="55"/>
      <c r="F2474" s="57"/>
      <c r="G2474" s="57"/>
      <c r="H2474" s="54">
        <f t="shared" si="153"/>
        <v>0</v>
      </c>
      <c r="I2474" s="58"/>
      <c r="J2474" s="54">
        <f t="shared" si="154"/>
        <v>0</v>
      </c>
      <c r="K2474" s="57"/>
      <c r="L2474" s="54">
        <f t="shared" si="155"/>
        <v>0</v>
      </c>
    </row>
    <row r="2475" spans="1:12" x14ac:dyDescent="0.3">
      <c r="A2475" s="54"/>
      <c r="B2475" s="54"/>
      <c r="C2475" s="54"/>
      <c r="D2475" s="54"/>
      <c r="E2475" s="55"/>
      <c r="F2475" s="57"/>
      <c r="G2475" s="57"/>
      <c r="H2475" s="54">
        <f t="shared" si="153"/>
        <v>0</v>
      </c>
      <c r="I2475" s="58"/>
      <c r="J2475" s="54">
        <f t="shared" si="154"/>
        <v>0</v>
      </c>
      <c r="K2475" s="57"/>
      <c r="L2475" s="54">
        <f t="shared" si="155"/>
        <v>0</v>
      </c>
    </row>
    <row r="2476" spans="1:12" x14ac:dyDescent="0.3">
      <c r="A2476" s="54"/>
      <c r="B2476" s="54"/>
      <c r="C2476" s="54"/>
      <c r="D2476" s="54"/>
      <c r="E2476" s="55"/>
      <c r="F2476" s="57"/>
      <c r="G2476" s="57"/>
      <c r="H2476" s="54">
        <f t="shared" si="153"/>
        <v>0</v>
      </c>
      <c r="I2476" s="58"/>
      <c r="J2476" s="54">
        <f t="shared" si="154"/>
        <v>0</v>
      </c>
      <c r="K2476" s="57"/>
      <c r="L2476" s="54">
        <f t="shared" si="155"/>
        <v>0</v>
      </c>
    </row>
    <row r="2477" spans="1:12" x14ac:dyDescent="0.3">
      <c r="A2477" s="54"/>
      <c r="B2477" s="54"/>
      <c r="C2477" s="54"/>
      <c r="D2477" s="54"/>
      <c r="E2477" s="55"/>
      <c r="F2477" s="57"/>
      <c r="G2477" s="57"/>
      <c r="H2477" s="54">
        <f t="shared" si="153"/>
        <v>0</v>
      </c>
      <c r="I2477" s="58"/>
      <c r="J2477" s="54">
        <f t="shared" si="154"/>
        <v>0</v>
      </c>
      <c r="K2477" s="57"/>
      <c r="L2477" s="54">
        <f t="shared" si="155"/>
        <v>0</v>
      </c>
    </row>
    <row r="2478" spans="1:12" x14ac:dyDescent="0.3">
      <c r="A2478" s="54"/>
      <c r="B2478" s="54"/>
      <c r="C2478" s="54"/>
      <c r="D2478" s="54"/>
      <c r="E2478" s="55"/>
      <c r="F2478" s="57"/>
      <c r="G2478" s="57"/>
      <c r="H2478" s="54">
        <f t="shared" si="153"/>
        <v>0</v>
      </c>
      <c r="I2478" s="58"/>
      <c r="J2478" s="54">
        <f t="shared" si="154"/>
        <v>0</v>
      </c>
      <c r="K2478" s="57"/>
      <c r="L2478" s="54">
        <f t="shared" si="155"/>
        <v>0</v>
      </c>
    </row>
    <row r="2479" spans="1:12" x14ac:dyDescent="0.3">
      <c r="A2479" s="54"/>
      <c r="B2479" s="54"/>
      <c r="C2479" s="54"/>
      <c r="D2479" s="54"/>
      <c r="E2479" s="55"/>
      <c r="F2479" s="57"/>
      <c r="G2479" s="57"/>
      <c r="H2479" s="54">
        <f t="shared" si="153"/>
        <v>0</v>
      </c>
      <c r="I2479" s="58"/>
      <c r="J2479" s="54">
        <f t="shared" si="154"/>
        <v>0</v>
      </c>
      <c r="K2479" s="57"/>
      <c r="L2479" s="54">
        <f t="shared" si="155"/>
        <v>0</v>
      </c>
    </row>
    <row r="2480" spans="1:12" x14ac:dyDescent="0.3">
      <c r="A2480" s="54"/>
      <c r="B2480" s="54"/>
      <c r="C2480" s="54"/>
      <c r="D2480" s="54"/>
      <c r="E2480" s="55"/>
      <c r="F2480" s="57"/>
      <c r="G2480" s="57"/>
      <c r="H2480" s="54">
        <f t="shared" si="153"/>
        <v>0</v>
      </c>
      <c r="I2480" s="58"/>
      <c r="J2480" s="54">
        <f t="shared" si="154"/>
        <v>0</v>
      </c>
      <c r="K2480" s="57"/>
      <c r="L2480" s="54">
        <f t="shared" si="155"/>
        <v>0</v>
      </c>
    </row>
    <row r="2481" spans="1:12" x14ac:dyDescent="0.3">
      <c r="A2481" s="54"/>
      <c r="B2481" s="54"/>
      <c r="C2481" s="54"/>
      <c r="D2481" s="54"/>
      <c r="E2481" s="55"/>
      <c r="F2481" s="57"/>
      <c r="G2481" s="57"/>
      <c r="H2481" s="54">
        <f t="shared" si="153"/>
        <v>0</v>
      </c>
      <c r="I2481" s="58"/>
      <c r="J2481" s="54">
        <f t="shared" si="154"/>
        <v>0</v>
      </c>
      <c r="K2481" s="57"/>
      <c r="L2481" s="54">
        <f t="shared" si="155"/>
        <v>0</v>
      </c>
    </row>
    <row r="2482" spans="1:12" x14ac:dyDescent="0.3">
      <c r="A2482" s="54"/>
      <c r="B2482" s="54"/>
      <c r="C2482" s="54"/>
      <c r="D2482" s="54"/>
      <c r="E2482" s="55"/>
      <c r="F2482" s="57"/>
      <c r="G2482" s="57"/>
      <c r="H2482" s="54">
        <f t="shared" si="153"/>
        <v>0</v>
      </c>
      <c r="I2482" s="58"/>
      <c r="J2482" s="54">
        <f t="shared" si="154"/>
        <v>0</v>
      </c>
      <c r="K2482" s="57"/>
      <c r="L2482" s="54">
        <f t="shared" si="155"/>
        <v>0</v>
      </c>
    </row>
    <row r="2483" spans="1:12" x14ac:dyDescent="0.3">
      <c r="A2483" s="54"/>
      <c r="B2483" s="54"/>
      <c r="C2483" s="54"/>
      <c r="D2483" s="54"/>
      <c r="E2483" s="55"/>
      <c r="F2483" s="57"/>
      <c r="G2483" s="57"/>
      <c r="H2483" s="54">
        <f t="shared" si="153"/>
        <v>0</v>
      </c>
      <c r="I2483" s="58"/>
      <c r="J2483" s="54">
        <f t="shared" si="154"/>
        <v>0</v>
      </c>
      <c r="K2483" s="57"/>
      <c r="L2483" s="54">
        <f t="shared" si="155"/>
        <v>0</v>
      </c>
    </row>
    <row r="2484" spans="1:12" x14ac:dyDescent="0.3">
      <c r="A2484" s="54"/>
      <c r="B2484" s="54"/>
      <c r="C2484" s="54"/>
      <c r="D2484" s="54"/>
      <c r="E2484" s="55"/>
      <c r="F2484" s="57"/>
      <c r="G2484" s="57"/>
      <c r="H2484" s="54">
        <f t="shared" si="153"/>
        <v>0</v>
      </c>
      <c r="I2484" s="58"/>
      <c r="J2484" s="54">
        <f t="shared" si="154"/>
        <v>0</v>
      </c>
      <c r="K2484" s="57"/>
      <c r="L2484" s="54">
        <f t="shared" si="155"/>
        <v>0</v>
      </c>
    </row>
    <row r="2485" spans="1:12" x14ac:dyDescent="0.3">
      <c r="A2485" s="54"/>
      <c r="B2485" s="54"/>
      <c r="C2485" s="54"/>
      <c r="D2485" s="54"/>
      <c r="E2485" s="55"/>
      <c r="F2485" s="57"/>
      <c r="G2485" s="57"/>
      <c r="H2485" s="54">
        <f t="shared" si="153"/>
        <v>0</v>
      </c>
      <c r="I2485" s="58"/>
      <c r="J2485" s="54">
        <f t="shared" si="154"/>
        <v>0</v>
      </c>
      <c r="K2485" s="57"/>
      <c r="L2485" s="54">
        <f t="shared" si="155"/>
        <v>0</v>
      </c>
    </row>
    <row r="2486" spans="1:12" x14ac:dyDescent="0.3">
      <c r="A2486" s="54"/>
      <c r="B2486" s="54"/>
      <c r="C2486" s="54"/>
      <c r="D2486" s="54"/>
      <c r="E2486" s="55"/>
      <c r="F2486" s="57"/>
      <c r="G2486" s="57"/>
      <c r="H2486" s="54">
        <f t="shared" si="153"/>
        <v>0</v>
      </c>
      <c r="I2486" s="58"/>
      <c r="J2486" s="54">
        <f t="shared" si="154"/>
        <v>0</v>
      </c>
      <c r="K2486" s="57"/>
      <c r="L2486" s="54">
        <f t="shared" si="155"/>
        <v>0</v>
      </c>
    </row>
    <row r="2487" spans="1:12" x14ac:dyDescent="0.3">
      <c r="A2487" s="54"/>
      <c r="B2487" s="54"/>
      <c r="C2487" s="54"/>
      <c r="D2487" s="54"/>
      <c r="E2487" s="55"/>
      <c r="F2487" s="57"/>
      <c r="G2487" s="57"/>
      <c r="H2487" s="54">
        <f t="shared" si="153"/>
        <v>0</v>
      </c>
      <c r="I2487" s="58"/>
      <c r="J2487" s="54">
        <f t="shared" si="154"/>
        <v>0</v>
      </c>
      <c r="K2487" s="57"/>
      <c r="L2487" s="54">
        <f t="shared" si="155"/>
        <v>0</v>
      </c>
    </row>
    <row r="2488" spans="1:12" x14ac:dyDescent="0.3">
      <c r="A2488" s="54"/>
      <c r="B2488" s="54"/>
      <c r="C2488" s="54"/>
      <c r="D2488" s="54"/>
      <c r="E2488" s="55"/>
      <c r="F2488" s="57"/>
      <c r="G2488" s="57"/>
      <c r="H2488" s="54">
        <f t="shared" si="153"/>
        <v>0</v>
      </c>
      <c r="I2488" s="58"/>
      <c r="J2488" s="54">
        <f t="shared" si="154"/>
        <v>0</v>
      </c>
      <c r="K2488" s="57"/>
      <c r="L2488" s="54">
        <f t="shared" si="155"/>
        <v>0</v>
      </c>
    </row>
    <row r="2489" spans="1:12" x14ac:dyDescent="0.3">
      <c r="A2489" s="54"/>
      <c r="B2489" s="54"/>
      <c r="C2489" s="54"/>
      <c r="D2489" s="54"/>
      <c r="E2489" s="55"/>
      <c r="F2489" s="57"/>
      <c r="G2489" s="57"/>
      <c r="H2489" s="54">
        <f t="shared" si="153"/>
        <v>0</v>
      </c>
      <c r="I2489" s="58"/>
      <c r="J2489" s="54">
        <f t="shared" si="154"/>
        <v>0</v>
      </c>
      <c r="K2489" s="57"/>
      <c r="L2489" s="54">
        <f t="shared" si="155"/>
        <v>0</v>
      </c>
    </row>
    <row r="2490" spans="1:12" x14ac:dyDescent="0.3">
      <c r="A2490" s="54"/>
      <c r="B2490" s="54"/>
      <c r="C2490" s="54"/>
      <c r="D2490" s="54"/>
      <c r="E2490" s="55"/>
      <c r="F2490" s="57"/>
      <c r="G2490" s="57"/>
      <c r="H2490" s="54">
        <f t="shared" si="153"/>
        <v>0</v>
      </c>
      <c r="I2490" s="58"/>
      <c r="J2490" s="54">
        <f t="shared" si="154"/>
        <v>0</v>
      </c>
      <c r="K2490" s="57"/>
      <c r="L2490" s="54">
        <f t="shared" si="155"/>
        <v>0</v>
      </c>
    </row>
    <row r="2491" spans="1:12" x14ac:dyDescent="0.3">
      <c r="A2491" s="54"/>
      <c r="B2491" s="54"/>
      <c r="C2491" s="54"/>
      <c r="D2491" s="54"/>
      <c r="E2491" s="55"/>
      <c r="F2491" s="57"/>
      <c r="G2491" s="57"/>
      <c r="H2491" s="54">
        <f t="shared" si="153"/>
        <v>0</v>
      </c>
      <c r="I2491" s="58"/>
      <c r="J2491" s="54">
        <f t="shared" si="154"/>
        <v>0</v>
      </c>
      <c r="K2491" s="57"/>
      <c r="L2491" s="54">
        <f t="shared" si="155"/>
        <v>0</v>
      </c>
    </row>
    <row r="2492" spans="1:12" x14ac:dyDescent="0.3">
      <c r="A2492" s="54"/>
      <c r="B2492" s="54"/>
      <c r="C2492" s="54"/>
      <c r="D2492" s="54"/>
      <c r="E2492" s="55"/>
      <c r="F2492" s="57"/>
      <c r="G2492" s="57"/>
      <c r="H2492" s="54">
        <f t="shared" si="153"/>
        <v>0</v>
      </c>
      <c r="I2492" s="58"/>
      <c r="J2492" s="54">
        <f t="shared" si="154"/>
        <v>0</v>
      </c>
      <c r="K2492" s="57"/>
      <c r="L2492" s="54">
        <f t="shared" si="155"/>
        <v>0</v>
      </c>
    </row>
    <row r="2493" spans="1:12" x14ac:dyDescent="0.3">
      <c r="A2493" s="54"/>
      <c r="B2493" s="54"/>
      <c r="C2493" s="54"/>
      <c r="D2493" s="54"/>
      <c r="E2493" s="55"/>
      <c r="F2493" s="57"/>
      <c r="G2493" s="57"/>
      <c r="H2493" s="54">
        <f t="shared" si="153"/>
        <v>0</v>
      </c>
      <c r="I2493" s="58"/>
      <c r="J2493" s="54">
        <f t="shared" si="154"/>
        <v>0</v>
      </c>
      <c r="K2493" s="57"/>
      <c r="L2493" s="54">
        <f t="shared" si="155"/>
        <v>0</v>
      </c>
    </row>
    <row r="2494" spans="1:12" x14ac:dyDescent="0.3">
      <c r="A2494" s="54"/>
      <c r="B2494" s="54"/>
      <c r="C2494" s="54"/>
      <c r="D2494" s="54"/>
      <c r="E2494" s="55"/>
      <c r="F2494" s="57"/>
      <c r="G2494" s="57"/>
      <c r="H2494" s="54">
        <f t="shared" si="153"/>
        <v>0</v>
      </c>
      <c r="I2494" s="58"/>
      <c r="J2494" s="54">
        <f t="shared" si="154"/>
        <v>0</v>
      </c>
      <c r="K2494" s="57"/>
      <c r="L2494" s="54">
        <f t="shared" si="155"/>
        <v>0</v>
      </c>
    </row>
    <row r="2495" spans="1:12" x14ac:dyDescent="0.3">
      <c r="A2495" s="54"/>
      <c r="B2495" s="54"/>
      <c r="C2495" s="54"/>
      <c r="D2495" s="54"/>
      <c r="E2495" s="55"/>
      <c r="F2495" s="57"/>
      <c r="G2495" s="57"/>
      <c r="H2495" s="54">
        <f t="shared" si="153"/>
        <v>0</v>
      </c>
      <c r="I2495" s="58"/>
      <c r="J2495" s="54">
        <f t="shared" si="154"/>
        <v>0</v>
      </c>
      <c r="K2495" s="57"/>
      <c r="L2495" s="54">
        <f t="shared" si="155"/>
        <v>0</v>
      </c>
    </row>
    <row r="2496" spans="1:12" x14ac:dyDescent="0.3">
      <c r="A2496" s="54"/>
      <c r="B2496" s="54"/>
      <c r="C2496" s="54"/>
      <c r="D2496" s="54"/>
      <c r="E2496" s="55"/>
      <c r="F2496" s="57"/>
      <c r="G2496" s="57"/>
      <c r="H2496" s="54">
        <f t="shared" si="153"/>
        <v>0</v>
      </c>
      <c r="I2496" s="58"/>
      <c r="J2496" s="54">
        <f t="shared" si="154"/>
        <v>0</v>
      </c>
      <c r="K2496" s="57"/>
      <c r="L2496" s="54">
        <f t="shared" si="155"/>
        <v>0</v>
      </c>
    </row>
    <row r="2497" spans="1:12" x14ac:dyDescent="0.3">
      <c r="A2497" s="54"/>
      <c r="B2497" s="54"/>
      <c r="C2497" s="54"/>
      <c r="D2497" s="54"/>
      <c r="E2497" s="55"/>
      <c r="F2497" s="57"/>
      <c r="G2497" s="57"/>
      <c r="H2497" s="54">
        <f t="shared" si="153"/>
        <v>0</v>
      </c>
      <c r="I2497" s="58"/>
      <c r="J2497" s="54">
        <f t="shared" si="154"/>
        <v>0</v>
      </c>
      <c r="K2497" s="57"/>
      <c r="L2497" s="54">
        <f t="shared" si="155"/>
        <v>0</v>
      </c>
    </row>
    <row r="2498" spans="1:12" x14ac:dyDescent="0.3">
      <c r="A2498" s="54"/>
      <c r="B2498" s="54"/>
      <c r="C2498" s="54"/>
      <c r="D2498" s="54"/>
      <c r="E2498" s="55"/>
      <c r="F2498" s="57"/>
      <c r="G2498" s="57"/>
      <c r="H2498" s="54">
        <f t="shared" si="153"/>
        <v>0</v>
      </c>
      <c r="I2498" s="58"/>
      <c r="J2498" s="54">
        <f t="shared" si="154"/>
        <v>0</v>
      </c>
      <c r="K2498" s="57"/>
      <c r="L2498" s="54">
        <f t="shared" si="155"/>
        <v>0</v>
      </c>
    </row>
    <row r="2499" spans="1:12" x14ac:dyDescent="0.3">
      <c r="A2499" s="54"/>
      <c r="B2499" s="54"/>
      <c r="C2499" s="54"/>
      <c r="D2499" s="54"/>
      <c r="E2499" s="55"/>
      <c r="F2499" s="57"/>
      <c r="G2499" s="57"/>
      <c r="H2499" s="54">
        <f t="shared" si="153"/>
        <v>0</v>
      </c>
      <c r="I2499" s="58"/>
      <c r="J2499" s="54">
        <f t="shared" si="154"/>
        <v>0</v>
      </c>
      <c r="K2499" s="57"/>
      <c r="L2499" s="54">
        <f t="shared" si="155"/>
        <v>0</v>
      </c>
    </row>
    <row r="2500" spans="1:12" x14ac:dyDescent="0.3">
      <c r="A2500" s="54"/>
      <c r="B2500" s="54"/>
      <c r="C2500" s="54"/>
      <c r="D2500" s="54"/>
      <c r="E2500" s="55"/>
      <c r="F2500" s="57"/>
      <c r="G2500" s="57"/>
      <c r="H2500" s="54">
        <f t="shared" si="153"/>
        <v>0</v>
      </c>
      <c r="I2500" s="58"/>
      <c r="J2500" s="54">
        <f t="shared" si="154"/>
        <v>0</v>
      </c>
      <c r="K2500" s="57"/>
      <c r="L2500" s="54">
        <f t="shared" si="155"/>
        <v>0</v>
      </c>
    </row>
    <row r="2501" spans="1:12" x14ac:dyDescent="0.3">
      <c r="A2501" s="54"/>
      <c r="B2501" s="54"/>
      <c r="C2501" s="54"/>
      <c r="D2501" s="54"/>
      <c r="E2501" s="55"/>
      <c r="F2501" s="57"/>
      <c r="G2501" s="57"/>
      <c r="H2501" s="54">
        <f t="shared" si="153"/>
        <v>0</v>
      </c>
      <c r="I2501" s="58"/>
      <c r="J2501" s="54">
        <f t="shared" si="154"/>
        <v>0</v>
      </c>
      <c r="K2501" s="57"/>
      <c r="L2501" s="54">
        <f t="shared" si="155"/>
        <v>0</v>
      </c>
    </row>
    <row r="2502" spans="1:12" x14ac:dyDescent="0.3">
      <c r="A2502" s="54"/>
      <c r="B2502" s="54"/>
      <c r="C2502" s="54"/>
      <c r="D2502" s="54"/>
      <c r="E2502" s="55"/>
      <c r="F2502" s="57"/>
      <c r="G2502" s="57"/>
      <c r="H2502" s="54">
        <f t="shared" si="153"/>
        <v>0</v>
      </c>
      <c r="I2502" s="58"/>
      <c r="J2502" s="54">
        <f t="shared" si="154"/>
        <v>0</v>
      </c>
      <c r="K2502" s="57"/>
      <c r="L2502" s="54">
        <f t="shared" si="155"/>
        <v>0</v>
      </c>
    </row>
    <row r="2503" spans="1:12" x14ac:dyDescent="0.3">
      <c r="A2503" s="54"/>
      <c r="B2503" s="54"/>
      <c r="C2503" s="54"/>
      <c r="D2503" s="54"/>
      <c r="E2503" s="55"/>
      <c r="F2503" s="57"/>
      <c r="G2503" s="57"/>
      <c r="H2503" s="54">
        <f t="shared" si="153"/>
        <v>0</v>
      </c>
      <c r="I2503" s="58"/>
      <c r="J2503" s="54">
        <f t="shared" si="154"/>
        <v>0</v>
      </c>
      <c r="K2503" s="57"/>
      <c r="L2503" s="54">
        <f t="shared" si="155"/>
        <v>0</v>
      </c>
    </row>
    <row r="2504" spans="1:12" x14ac:dyDescent="0.3">
      <c r="A2504" s="54"/>
      <c r="B2504" s="54"/>
      <c r="C2504" s="54"/>
      <c r="D2504" s="54"/>
      <c r="E2504" s="55"/>
      <c r="F2504" s="57"/>
      <c r="G2504" s="57"/>
      <c r="H2504" s="54">
        <f t="shared" si="153"/>
        <v>0</v>
      </c>
      <c r="I2504" s="58"/>
      <c r="J2504" s="54">
        <f t="shared" si="154"/>
        <v>0</v>
      </c>
      <c r="K2504" s="57"/>
      <c r="L2504" s="54">
        <f t="shared" si="155"/>
        <v>0</v>
      </c>
    </row>
    <row r="2505" spans="1:12" x14ac:dyDescent="0.3">
      <c r="A2505" s="54"/>
      <c r="B2505" s="54"/>
      <c r="C2505" s="54"/>
      <c r="D2505" s="54"/>
      <c r="E2505" s="55"/>
      <c r="F2505" s="57"/>
      <c r="G2505" s="57"/>
      <c r="H2505" s="54">
        <f t="shared" si="153"/>
        <v>0</v>
      </c>
      <c r="I2505" s="58"/>
      <c r="J2505" s="54">
        <f t="shared" si="154"/>
        <v>0</v>
      </c>
      <c r="K2505" s="57"/>
      <c r="L2505" s="54">
        <f t="shared" si="155"/>
        <v>0</v>
      </c>
    </row>
    <row r="2506" spans="1:12" x14ac:dyDescent="0.3">
      <c r="A2506" s="54"/>
      <c r="B2506" s="54"/>
      <c r="C2506" s="54"/>
      <c r="D2506" s="54"/>
      <c r="E2506" s="55"/>
      <c r="F2506" s="57"/>
      <c r="G2506" s="57"/>
      <c r="H2506" s="54">
        <f t="shared" si="153"/>
        <v>0</v>
      </c>
      <c r="I2506" s="58"/>
      <c r="J2506" s="54">
        <f t="shared" si="154"/>
        <v>0</v>
      </c>
      <c r="K2506" s="57"/>
      <c r="L2506" s="54">
        <f t="shared" si="155"/>
        <v>0</v>
      </c>
    </row>
    <row r="2507" spans="1:12" x14ac:dyDescent="0.3">
      <c r="A2507" s="54"/>
      <c r="B2507" s="54"/>
      <c r="C2507" s="54"/>
      <c r="D2507" s="54"/>
      <c r="E2507" s="55"/>
      <c r="F2507" s="57"/>
      <c r="G2507" s="57"/>
      <c r="H2507" s="54">
        <f t="shared" si="153"/>
        <v>0</v>
      </c>
      <c r="I2507" s="58"/>
      <c r="J2507" s="54">
        <f t="shared" si="154"/>
        <v>0</v>
      </c>
      <c r="K2507" s="57"/>
      <c r="L2507" s="54">
        <f t="shared" si="155"/>
        <v>0</v>
      </c>
    </row>
    <row r="2508" spans="1:12" x14ac:dyDescent="0.3">
      <c r="A2508" s="54"/>
      <c r="B2508" s="54"/>
      <c r="C2508" s="54"/>
      <c r="D2508" s="54"/>
      <c r="E2508" s="55"/>
      <c r="F2508" s="57"/>
      <c r="G2508" s="57"/>
      <c r="H2508" s="54">
        <f t="shared" si="153"/>
        <v>0</v>
      </c>
      <c r="I2508" s="58"/>
      <c r="J2508" s="54">
        <f t="shared" si="154"/>
        <v>0</v>
      </c>
      <c r="K2508" s="57"/>
      <c r="L2508" s="54">
        <f t="shared" si="155"/>
        <v>0</v>
      </c>
    </row>
    <row r="2509" spans="1:12" x14ac:dyDescent="0.3">
      <c r="A2509" s="54"/>
      <c r="B2509" s="54"/>
      <c r="C2509" s="54"/>
      <c r="D2509" s="54"/>
      <c r="E2509" s="55"/>
      <c r="F2509" s="57"/>
      <c r="G2509" s="57"/>
      <c r="H2509" s="54">
        <f t="shared" si="153"/>
        <v>0</v>
      </c>
      <c r="I2509" s="58"/>
      <c r="J2509" s="54">
        <f t="shared" si="154"/>
        <v>0</v>
      </c>
      <c r="K2509" s="57"/>
      <c r="L2509" s="54">
        <f t="shared" si="155"/>
        <v>0</v>
      </c>
    </row>
    <row r="2510" spans="1:12" x14ac:dyDescent="0.3">
      <c r="A2510" s="54"/>
      <c r="B2510" s="54"/>
      <c r="C2510" s="54"/>
      <c r="D2510" s="54"/>
      <c r="E2510" s="55"/>
      <c r="F2510" s="57"/>
      <c r="G2510" s="57"/>
      <c r="H2510" s="54">
        <f t="shared" si="153"/>
        <v>0</v>
      </c>
      <c r="I2510" s="58"/>
      <c r="J2510" s="54">
        <f t="shared" si="154"/>
        <v>0</v>
      </c>
      <c r="K2510" s="57"/>
      <c r="L2510" s="54">
        <f t="shared" si="155"/>
        <v>0</v>
      </c>
    </row>
    <row r="2511" spans="1:12" x14ac:dyDescent="0.3">
      <c r="A2511" s="54"/>
      <c r="B2511" s="54"/>
      <c r="C2511" s="54"/>
      <c r="D2511" s="54"/>
      <c r="E2511" s="55"/>
      <c r="F2511" s="57"/>
      <c r="G2511" s="57"/>
      <c r="H2511" s="54">
        <f t="shared" si="153"/>
        <v>0</v>
      </c>
      <c r="I2511" s="58"/>
      <c r="J2511" s="54">
        <f t="shared" si="154"/>
        <v>0</v>
      </c>
      <c r="K2511" s="57"/>
      <c r="L2511" s="54">
        <f t="shared" si="155"/>
        <v>0</v>
      </c>
    </row>
    <row r="2512" spans="1:12" x14ac:dyDescent="0.3">
      <c r="A2512" s="54"/>
      <c r="B2512" s="54"/>
      <c r="C2512" s="54"/>
      <c r="D2512" s="54"/>
      <c r="E2512" s="55"/>
      <c r="F2512" s="57"/>
      <c r="G2512" s="57"/>
      <c r="H2512" s="54">
        <f t="shared" si="153"/>
        <v>0</v>
      </c>
      <c r="I2512" s="58"/>
      <c r="J2512" s="54">
        <f t="shared" si="154"/>
        <v>0</v>
      </c>
      <c r="K2512" s="57"/>
      <c r="L2512" s="54">
        <f t="shared" si="155"/>
        <v>0</v>
      </c>
    </row>
    <row r="2513" spans="1:12" x14ac:dyDescent="0.3">
      <c r="A2513" s="54"/>
      <c r="B2513" s="54"/>
      <c r="C2513" s="54"/>
      <c r="D2513" s="54"/>
      <c r="E2513" s="55"/>
      <c r="F2513" s="57"/>
      <c r="G2513" s="57"/>
      <c r="H2513" s="54">
        <f t="shared" si="153"/>
        <v>0</v>
      </c>
      <c r="I2513" s="58"/>
      <c r="J2513" s="54">
        <f t="shared" si="154"/>
        <v>0</v>
      </c>
      <c r="K2513" s="57"/>
      <c r="L2513" s="54">
        <f t="shared" si="155"/>
        <v>0</v>
      </c>
    </row>
    <row r="2514" spans="1:12" x14ac:dyDescent="0.3">
      <c r="A2514" s="54"/>
      <c r="B2514" s="54"/>
      <c r="C2514" s="54"/>
      <c r="D2514" s="54"/>
      <c r="E2514" s="55"/>
      <c r="F2514" s="57"/>
      <c r="G2514" s="57"/>
      <c r="H2514" s="54">
        <f t="shared" si="153"/>
        <v>0</v>
      </c>
      <c r="I2514" s="58"/>
      <c r="J2514" s="54">
        <f t="shared" si="154"/>
        <v>0</v>
      </c>
      <c r="K2514" s="57"/>
      <c r="L2514" s="54">
        <f t="shared" si="155"/>
        <v>0</v>
      </c>
    </row>
    <row r="2515" spans="1:12" x14ac:dyDescent="0.3">
      <c r="A2515" s="54"/>
      <c r="B2515" s="54"/>
      <c r="C2515" s="54"/>
      <c r="D2515" s="54"/>
      <c r="E2515" s="55"/>
      <c r="F2515" s="57"/>
      <c r="G2515" s="57"/>
      <c r="H2515" s="54">
        <f t="shared" si="153"/>
        <v>0</v>
      </c>
      <c r="I2515" s="58"/>
      <c r="J2515" s="54">
        <f t="shared" si="154"/>
        <v>0</v>
      </c>
      <c r="K2515" s="57"/>
      <c r="L2515" s="54">
        <f t="shared" si="155"/>
        <v>0</v>
      </c>
    </row>
    <row r="2516" spans="1:12" x14ac:dyDescent="0.3">
      <c r="A2516" s="54"/>
      <c r="B2516" s="54"/>
      <c r="C2516" s="54"/>
      <c r="D2516" s="54"/>
      <c r="E2516" s="55"/>
      <c r="F2516" s="57"/>
      <c r="G2516" s="57"/>
      <c r="H2516" s="54">
        <f t="shared" si="153"/>
        <v>0</v>
      </c>
      <c r="I2516" s="58"/>
      <c r="J2516" s="54">
        <f t="shared" si="154"/>
        <v>0</v>
      </c>
      <c r="K2516" s="57"/>
      <c r="L2516" s="54">
        <f t="shared" si="155"/>
        <v>0</v>
      </c>
    </row>
    <row r="2517" spans="1:12" x14ac:dyDescent="0.3">
      <c r="A2517" s="54"/>
      <c r="B2517" s="54"/>
      <c r="C2517" s="54"/>
      <c r="D2517" s="54"/>
      <c r="E2517" s="55"/>
      <c r="F2517" s="57"/>
      <c r="G2517" s="57"/>
      <c r="H2517" s="54">
        <f t="shared" si="153"/>
        <v>0</v>
      </c>
      <c r="I2517" s="58"/>
      <c r="J2517" s="54">
        <f t="shared" si="154"/>
        <v>0</v>
      </c>
      <c r="K2517" s="57"/>
      <c r="L2517" s="54">
        <f t="shared" si="155"/>
        <v>0</v>
      </c>
    </row>
    <row r="2518" spans="1:12" x14ac:dyDescent="0.3">
      <c r="A2518" s="54"/>
      <c r="B2518" s="54"/>
      <c r="C2518" s="54"/>
      <c r="D2518" s="54"/>
      <c r="E2518" s="55"/>
      <c r="F2518" s="57"/>
      <c r="G2518" s="57"/>
      <c r="H2518" s="54">
        <f t="shared" si="153"/>
        <v>0</v>
      </c>
      <c r="I2518" s="58"/>
      <c r="J2518" s="54">
        <f t="shared" si="154"/>
        <v>0</v>
      </c>
      <c r="K2518" s="57"/>
      <c r="L2518" s="54">
        <f t="shared" si="155"/>
        <v>0</v>
      </c>
    </row>
    <row r="2519" spans="1:12" x14ac:dyDescent="0.3">
      <c r="A2519" s="54"/>
      <c r="B2519" s="54"/>
      <c r="C2519" s="54"/>
      <c r="D2519" s="54"/>
      <c r="E2519" s="55"/>
      <c r="F2519" s="57"/>
      <c r="G2519" s="57"/>
      <c r="H2519" s="54">
        <f t="shared" si="153"/>
        <v>0</v>
      </c>
      <c r="I2519" s="58"/>
      <c r="J2519" s="54">
        <f t="shared" si="154"/>
        <v>0</v>
      </c>
      <c r="K2519" s="57"/>
      <c r="L2519" s="54">
        <f t="shared" si="155"/>
        <v>0</v>
      </c>
    </row>
    <row r="2520" spans="1:12" x14ac:dyDescent="0.3">
      <c r="A2520" s="54"/>
      <c r="B2520" s="54"/>
      <c r="C2520" s="54"/>
      <c r="D2520" s="54"/>
      <c r="E2520" s="55"/>
      <c r="F2520" s="57"/>
      <c r="G2520" s="57"/>
      <c r="H2520" s="54">
        <f t="shared" si="153"/>
        <v>0</v>
      </c>
      <c r="I2520" s="58"/>
      <c r="J2520" s="54">
        <f t="shared" si="154"/>
        <v>0</v>
      </c>
      <c r="K2520" s="57"/>
      <c r="L2520" s="54">
        <f t="shared" si="155"/>
        <v>0</v>
      </c>
    </row>
    <row r="2521" spans="1:12" x14ac:dyDescent="0.3">
      <c r="A2521" s="54"/>
      <c r="B2521" s="54"/>
      <c r="C2521" s="54"/>
      <c r="D2521" s="54"/>
      <c r="E2521" s="55"/>
      <c r="F2521" s="57"/>
      <c r="G2521" s="57"/>
      <c r="H2521" s="54">
        <f t="shared" si="153"/>
        <v>0</v>
      </c>
      <c r="I2521" s="58"/>
      <c r="J2521" s="54">
        <f t="shared" si="154"/>
        <v>0</v>
      </c>
      <c r="K2521" s="57"/>
      <c r="L2521" s="54">
        <f t="shared" si="155"/>
        <v>0</v>
      </c>
    </row>
    <row r="2522" spans="1:12" x14ac:dyDescent="0.3">
      <c r="A2522" s="54"/>
      <c r="B2522" s="54"/>
      <c r="C2522" s="54"/>
      <c r="D2522" s="54"/>
      <c r="E2522" s="55"/>
      <c r="F2522" s="57"/>
      <c r="G2522" s="57"/>
      <c r="H2522" s="54">
        <f t="shared" si="153"/>
        <v>0</v>
      </c>
      <c r="I2522" s="58"/>
      <c r="J2522" s="54">
        <f t="shared" si="154"/>
        <v>0</v>
      </c>
      <c r="K2522" s="57"/>
      <c r="L2522" s="54">
        <f t="shared" si="155"/>
        <v>0</v>
      </c>
    </row>
    <row r="2523" spans="1:12" x14ac:dyDescent="0.3">
      <c r="A2523" s="54"/>
      <c r="B2523" s="54"/>
      <c r="C2523" s="54"/>
      <c r="D2523" s="54"/>
      <c r="E2523" s="55"/>
      <c r="F2523" s="57"/>
      <c r="G2523" s="57"/>
      <c r="H2523" s="54">
        <f t="shared" ref="H2523:H2556" si="156">+F2523-G2523</f>
        <v>0</v>
      </c>
      <c r="I2523" s="58"/>
      <c r="J2523" s="54">
        <f t="shared" ref="J2523:J2556" si="157">+H2523-H2523*I2523/100</f>
        <v>0</v>
      </c>
      <c r="K2523" s="57"/>
      <c r="L2523" s="54">
        <f t="shared" ref="L2523:L2556" si="158">+J2523*K2523</f>
        <v>0</v>
      </c>
    </row>
    <row r="2524" spans="1:12" x14ac:dyDescent="0.3">
      <c r="A2524" s="54"/>
      <c r="B2524" s="54"/>
      <c r="C2524" s="54"/>
      <c r="D2524" s="54"/>
      <c r="E2524" s="55"/>
      <c r="F2524" s="57"/>
      <c r="G2524" s="57"/>
      <c r="H2524" s="54">
        <f t="shared" si="156"/>
        <v>0</v>
      </c>
      <c r="I2524" s="58"/>
      <c r="J2524" s="54">
        <f t="shared" si="157"/>
        <v>0</v>
      </c>
      <c r="K2524" s="57"/>
      <c r="L2524" s="54">
        <f t="shared" si="158"/>
        <v>0</v>
      </c>
    </row>
    <row r="2525" spans="1:12" x14ac:dyDescent="0.3">
      <c r="A2525" s="54"/>
      <c r="B2525" s="54"/>
      <c r="C2525" s="54"/>
      <c r="D2525" s="54"/>
      <c r="E2525" s="55"/>
      <c r="F2525" s="57"/>
      <c r="G2525" s="57"/>
      <c r="H2525" s="54">
        <f t="shared" si="156"/>
        <v>0</v>
      </c>
      <c r="I2525" s="58"/>
      <c r="J2525" s="54">
        <f t="shared" si="157"/>
        <v>0</v>
      </c>
      <c r="K2525" s="57"/>
      <c r="L2525" s="54">
        <f t="shared" si="158"/>
        <v>0</v>
      </c>
    </row>
    <row r="2526" spans="1:12" x14ac:dyDescent="0.3">
      <c r="A2526" s="54"/>
      <c r="B2526" s="54"/>
      <c r="C2526" s="54"/>
      <c r="D2526" s="54"/>
      <c r="E2526" s="55"/>
      <c r="F2526" s="57"/>
      <c r="G2526" s="57"/>
      <c r="H2526" s="54">
        <f t="shared" si="156"/>
        <v>0</v>
      </c>
      <c r="I2526" s="58"/>
      <c r="J2526" s="54">
        <f t="shared" si="157"/>
        <v>0</v>
      </c>
      <c r="K2526" s="57"/>
      <c r="L2526" s="54">
        <f t="shared" si="158"/>
        <v>0</v>
      </c>
    </row>
    <row r="2527" spans="1:12" x14ac:dyDescent="0.3">
      <c r="A2527" s="54"/>
      <c r="B2527" s="54"/>
      <c r="C2527" s="54"/>
      <c r="D2527" s="54"/>
      <c r="E2527" s="55"/>
      <c r="F2527" s="57"/>
      <c r="G2527" s="57"/>
      <c r="H2527" s="54">
        <f t="shared" si="156"/>
        <v>0</v>
      </c>
      <c r="I2527" s="58"/>
      <c r="J2527" s="54">
        <f t="shared" si="157"/>
        <v>0</v>
      </c>
      <c r="K2527" s="57"/>
      <c r="L2527" s="54">
        <f t="shared" si="158"/>
        <v>0</v>
      </c>
    </row>
    <row r="2528" spans="1:12" x14ac:dyDescent="0.3">
      <c r="A2528" s="54"/>
      <c r="B2528" s="54"/>
      <c r="C2528" s="54"/>
      <c r="D2528" s="54"/>
      <c r="E2528" s="55"/>
      <c r="F2528" s="57"/>
      <c r="G2528" s="57"/>
      <c r="H2528" s="54">
        <f t="shared" si="156"/>
        <v>0</v>
      </c>
      <c r="I2528" s="58"/>
      <c r="J2528" s="54">
        <f t="shared" si="157"/>
        <v>0</v>
      </c>
      <c r="K2528" s="57"/>
      <c r="L2528" s="54">
        <f t="shared" si="158"/>
        <v>0</v>
      </c>
    </row>
    <row r="2529" spans="1:12" x14ac:dyDescent="0.3">
      <c r="A2529" s="54"/>
      <c r="B2529" s="54"/>
      <c r="C2529" s="54"/>
      <c r="D2529" s="54"/>
      <c r="E2529" s="55"/>
      <c r="F2529" s="57"/>
      <c r="G2529" s="57"/>
      <c r="H2529" s="54">
        <f t="shared" si="156"/>
        <v>0</v>
      </c>
      <c r="I2529" s="58"/>
      <c r="J2529" s="54">
        <f t="shared" si="157"/>
        <v>0</v>
      </c>
      <c r="K2529" s="57"/>
      <c r="L2529" s="54">
        <f t="shared" si="158"/>
        <v>0</v>
      </c>
    </row>
    <row r="2530" spans="1:12" x14ac:dyDescent="0.3">
      <c r="A2530" s="54"/>
      <c r="B2530" s="54"/>
      <c r="C2530" s="54"/>
      <c r="D2530" s="54"/>
      <c r="E2530" s="55"/>
      <c r="F2530" s="57"/>
      <c r="G2530" s="57"/>
      <c r="H2530" s="54">
        <f t="shared" si="156"/>
        <v>0</v>
      </c>
      <c r="I2530" s="58"/>
      <c r="J2530" s="54">
        <f t="shared" si="157"/>
        <v>0</v>
      </c>
      <c r="K2530" s="57"/>
      <c r="L2530" s="54">
        <f t="shared" si="158"/>
        <v>0</v>
      </c>
    </row>
    <row r="2531" spans="1:12" x14ac:dyDescent="0.3">
      <c r="A2531" s="54"/>
      <c r="B2531" s="54"/>
      <c r="C2531" s="54"/>
      <c r="D2531" s="54"/>
      <c r="E2531" s="55"/>
      <c r="F2531" s="57"/>
      <c r="G2531" s="57"/>
      <c r="H2531" s="54">
        <f t="shared" si="156"/>
        <v>0</v>
      </c>
      <c r="I2531" s="58"/>
      <c r="J2531" s="54">
        <f t="shared" si="157"/>
        <v>0</v>
      </c>
      <c r="K2531" s="57"/>
      <c r="L2531" s="54">
        <f t="shared" si="158"/>
        <v>0</v>
      </c>
    </row>
    <row r="2532" spans="1:12" x14ac:dyDescent="0.3">
      <c r="A2532" s="54"/>
      <c r="B2532" s="54"/>
      <c r="C2532" s="54"/>
      <c r="D2532" s="54"/>
      <c r="E2532" s="55"/>
      <c r="F2532" s="57"/>
      <c r="G2532" s="57"/>
      <c r="H2532" s="54">
        <f t="shared" si="156"/>
        <v>0</v>
      </c>
      <c r="I2532" s="58"/>
      <c r="J2532" s="54">
        <f t="shared" si="157"/>
        <v>0</v>
      </c>
      <c r="K2532" s="57"/>
      <c r="L2532" s="54">
        <f t="shared" si="158"/>
        <v>0</v>
      </c>
    </row>
    <row r="2533" spans="1:12" x14ac:dyDescent="0.3">
      <c r="A2533" s="54"/>
      <c r="B2533" s="54"/>
      <c r="C2533" s="54"/>
      <c r="D2533" s="54"/>
      <c r="E2533" s="55"/>
      <c r="F2533" s="57"/>
      <c r="G2533" s="57"/>
      <c r="H2533" s="54">
        <f t="shared" si="156"/>
        <v>0</v>
      </c>
      <c r="I2533" s="58"/>
      <c r="J2533" s="54">
        <f t="shared" si="157"/>
        <v>0</v>
      </c>
      <c r="K2533" s="57"/>
      <c r="L2533" s="54">
        <f t="shared" si="158"/>
        <v>0</v>
      </c>
    </row>
    <row r="2534" spans="1:12" x14ac:dyDescent="0.3">
      <c r="A2534" s="54"/>
      <c r="B2534" s="54"/>
      <c r="C2534" s="54"/>
      <c r="D2534" s="54"/>
      <c r="E2534" s="55"/>
      <c r="F2534" s="57"/>
      <c r="G2534" s="57"/>
      <c r="H2534" s="54">
        <f t="shared" si="156"/>
        <v>0</v>
      </c>
      <c r="I2534" s="58"/>
      <c r="J2534" s="54">
        <f t="shared" si="157"/>
        <v>0</v>
      </c>
      <c r="K2534" s="57"/>
      <c r="L2534" s="54">
        <f t="shared" si="158"/>
        <v>0</v>
      </c>
    </row>
    <row r="2535" spans="1:12" x14ac:dyDescent="0.3">
      <c r="A2535" s="54"/>
      <c r="B2535" s="54"/>
      <c r="C2535" s="54"/>
      <c r="D2535" s="54"/>
      <c r="E2535" s="55"/>
      <c r="F2535" s="57"/>
      <c r="G2535" s="57"/>
      <c r="H2535" s="54">
        <f t="shared" si="156"/>
        <v>0</v>
      </c>
      <c r="I2535" s="58"/>
      <c r="J2535" s="54">
        <f t="shared" si="157"/>
        <v>0</v>
      </c>
      <c r="K2535" s="57"/>
      <c r="L2535" s="54">
        <f t="shared" si="158"/>
        <v>0</v>
      </c>
    </row>
    <row r="2536" spans="1:12" x14ac:dyDescent="0.3">
      <c r="A2536" s="54"/>
      <c r="B2536" s="54"/>
      <c r="C2536" s="54"/>
      <c r="D2536" s="54"/>
      <c r="E2536" s="55"/>
      <c r="F2536" s="57"/>
      <c r="G2536" s="57"/>
      <c r="H2536" s="54">
        <f t="shared" si="156"/>
        <v>0</v>
      </c>
      <c r="I2536" s="58"/>
      <c r="J2536" s="54">
        <f t="shared" si="157"/>
        <v>0</v>
      </c>
      <c r="K2536" s="57"/>
      <c r="L2536" s="54">
        <f t="shared" si="158"/>
        <v>0</v>
      </c>
    </row>
    <row r="2537" spans="1:12" x14ac:dyDescent="0.3">
      <c r="A2537" s="54"/>
      <c r="B2537" s="54"/>
      <c r="C2537" s="54"/>
      <c r="D2537" s="54"/>
      <c r="E2537" s="55"/>
      <c r="F2537" s="57"/>
      <c r="G2537" s="57"/>
      <c r="H2537" s="54">
        <f t="shared" si="156"/>
        <v>0</v>
      </c>
      <c r="I2537" s="58"/>
      <c r="J2537" s="54">
        <f t="shared" si="157"/>
        <v>0</v>
      </c>
      <c r="K2537" s="57"/>
      <c r="L2537" s="54">
        <f t="shared" si="158"/>
        <v>0</v>
      </c>
    </row>
    <row r="2538" spans="1:12" x14ac:dyDescent="0.3">
      <c r="A2538" s="54"/>
      <c r="B2538" s="54"/>
      <c r="C2538" s="54"/>
      <c r="D2538" s="54"/>
      <c r="E2538" s="55"/>
      <c r="F2538" s="57"/>
      <c r="G2538" s="57"/>
      <c r="H2538" s="54">
        <f t="shared" si="156"/>
        <v>0</v>
      </c>
      <c r="I2538" s="58"/>
      <c r="J2538" s="54">
        <f t="shared" si="157"/>
        <v>0</v>
      </c>
      <c r="K2538" s="57"/>
      <c r="L2538" s="54">
        <f t="shared" si="158"/>
        <v>0</v>
      </c>
    </row>
    <row r="2539" spans="1:12" x14ac:dyDescent="0.3">
      <c r="A2539" s="54"/>
      <c r="B2539" s="54"/>
      <c r="C2539" s="54"/>
      <c r="D2539" s="54"/>
      <c r="E2539" s="55"/>
      <c r="F2539" s="57"/>
      <c r="G2539" s="57"/>
      <c r="H2539" s="54">
        <f t="shared" si="156"/>
        <v>0</v>
      </c>
      <c r="I2539" s="58"/>
      <c r="J2539" s="54">
        <f t="shared" si="157"/>
        <v>0</v>
      </c>
      <c r="K2539" s="57"/>
      <c r="L2539" s="54">
        <f t="shared" si="158"/>
        <v>0</v>
      </c>
    </row>
    <row r="2540" spans="1:12" x14ac:dyDescent="0.3">
      <c r="A2540" s="54"/>
      <c r="B2540" s="54"/>
      <c r="C2540" s="54"/>
      <c r="D2540" s="54"/>
      <c r="E2540" s="55"/>
      <c r="F2540" s="57"/>
      <c r="G2540" s="57"/>
      <c r="H2540" s="54">
        <f t="shared" si="156"/>
        <v>0</v>
      </c>
      <c r="I2540" s="58"/>
      <c r="J2540" s="54">
        <f t="shared" si="157"/>
        <v>0</v>
      </c>
      <c r="K2540" s="57"/>
      <c r="L2540" s="54">
        <f t="shared" si="158"/>
        <v>0</v>
      </c>
    </row>
    <row r="2541" spans="1:12" x14ac:dyDescent="0.3">
      <c r="A2541" s="54"/>
      <c r="B2541" s="54"/>
      <c r="C2541" s="54"/>
      <c r="D2541" s="54"/>
      <c r="E2541" s="55"/>
      <c r="F2541" s="57"/>
      <c r="G2541" s="57"/>
      <c r="H2541" s="54">
        <f t="shared" si="156"/>
        <v>0</v>
      </c>
      <c r="I2541" s="58"/>
      <c r="J2541" s="54">
        <f t="shared" si="157"/>
        <v>0</v>
      </c>
      <c r="K2541" s="57"/>
      <c r="L2541" s="54">
        <f t="shared" si="158"/>
        <v>0</v>
      </c>
    </row>
    <row r="2542" spans="1:12" x14ac:dyDescent="0.3">
      <c r="A2542" s="54"/>
      <c r="B2542" s="54"/>
      <c r="C2542" s="54"/>
      <c r="D2542" s="54"/>
      <c r="E2542" s="55"/>
      <c r="F2542" s="57"/>
      <c r="G2542" s="57"/>
      <c r="H2542" s="54">
        <f t="shared" si="156"/>
        <v>0</v>
      </c>
      <c r="I2542" s="58"/>
      <c r="J2542" s="54">
        <f t="shared" si="157"/>
        <v>0</v>
      </c>
      <c r="K2542" s="57"/>
      <c r="L2542" s="54">
        <f t="shared" si="158"/>
        <v>0</v>
      </c>
    </row>
    <row r="2543" spans="1:12" x14ac:dyDescent="0.3">
      <c r="A2543" s="54"/>
      <c r="B2543" s="54"/>
      <c r="C2543" s="54"/>
      <c r="D2543" s="54"/>
      <c r="E2543" s="55"/>
      <c r="F2543" s="57"/>
      <c r="G2543" s="57"/>
      <c r="H2543" s="54">
        <f t="shared" si="156"/>
        <v>0</v>
      </c>
      <c r="I2543" s="58"/>
      <c r="J2543" s="54">
        <f t="shared" si="157"/>
        <v>0</v>
      </c>
      <c r="K2543" s="57"/>
      <c r="L2543" s="54">
        <f t="shared" si="158"/>
        <v>0</v>
      </c>
    </row>
    <row r="2544" spans="1:12" x14ac:dyDescent="0.3">
      <c r="A2544" s="54"/>
      <c r="B2544" s="54"/>
      <c r="C2544" s="54"/>
      <c r="D2544" s="54"/>
      <c r="E2544" s="55"/>
      <c r="F2544" s="57"/>
      <c r="G2544" s="57"/>
      <c r="H2544" s="54">
        <f t="shared" si="156"/>
        <v>0</v>
      </c>
      <c r="I2544" s="58"/>
      <c r="J2544" s="54">
        <f t="shared" si="157"/>
        <v>0</v>
      </c>
      <c r="K2544" s="57"/>
      <c r="L2544" s="54">
        <f t="shared" si="158"/>
        <v>0</v>
      </c>
    </row>
    <row r="2545" spans="1:12" x14ac:dyDescent="0.3">
      <c r="A2545" s="54"/>
      <c r="B2545" s="54"/>
      <c r="C2545" s="54"/>
      <c r="D2545" s="54"/>
      <c r="E2545" s="55"/>
      <c r="F2545" s="57"/>
      <c r="G2545" s="57"/>
      <c r="H2545" s="54">
        <f t="shared" si="156"/>
        <v>0</v>
      </c>
      <c r="I2545" s="58"/>
      <c r="J2545" s="54">
        <f t="shared" si="157"/>
        <v>0</v>
      </c>
      <c r="K2545" s="57"/>
      <c r="L2545" s="54">
        <f t="shared" si="158"/>
        <v>0</v>
      </c>
    </row>
    <row r="2546" spans="1:12" x14ac:dyDescent="0.3">
      <c r="A2546" s="54"/>
      <c r="B2546" s="54"/>
      <c r="C2546" s="54"/>
      <c r="D2546" s="54"/>
      <c r="E2546" s="55"/>
      <c r="F2546" s="57"/>
      <c r="G2546" s="57"/>
      <c r="H2546" s="54">
        <f t="shared" si="156"/>
        <v>0</v>
      </c>
      <c r="I2546" s="58"/>
      <c r="J2546" s="54">
        <f t="shared" si="157"/>
        <v>0</v>
      </c>
      <c r="K2546" s="57"/>
      <c r="L2546" s="54">
        <f t="shared" si="158"/>
        <v>0</v>
      </c>
    </row>
    <row r="2547" spans="1:12" x14ac:dyDescent="0.3">
      <c r="A2547" s="54"/>
      <c r="B2547" s="54"/>
      <c r="C2547" s="54"/>
      <c r="D2547" s="54"/>
      <c r="E2547" s="55"/>
      <c r="F2547" s="57"/>
      <c r="G2547" s="57"/>
      <c r="H2547" s="54">
        <f t="shared" si="156"/>
        <v>0</v>
      </c>
      <c r="I2547" s="58"/>
      <c r="J2547" s="54">
        <f t="shared" si="157"/>
        <v>0</v>
      </c>
      <c r="K2547" s="57"/>
      <c r="L2547" s="54">
        <f t="shared" si="158"/>
        <v>0</v>
      </c>
    </row>
    <row r="2548" spans="1:12" x14ac:dyDescent="0.3">
      <c r="A2548" s="54"/>
      <c r="B2548" s="54"/>
      <c r="C2548" s="54"/>
      <c r="D2548" s="54"/>
      <c r="E2548" s="55"/>
      <c r="F2548" s="57"/>
      <c r="G2548" s="57"/>
      <c r="H2548" s="54">
        <f t="shared" si="156"/>
        <v>0</v>
      </c>
      <c r="I2548" s="58"/>
      <c r="J2548" s="54">
        <f t="shared" si="157"/>
        <v>0</v>
      </c>
      <c r="K2548" s="57"/>
      <c r="L2548" s="54">
        <f t="shared" si="158"/>
        <v>0</v>
      </c>
    </row>
    <row r="2549" spans="1:12" x14ac:dyDescent="0.3">
      <c r="A2549" s="54"/>
      <c r="B2549" s="54"/>
      <c r="C2549" s="54"/>
      <c r="D2549" s="54"/>
      <c r="E2549" s="55"/>
      <c r="F2549" s="57"/>
      <c r="G2549" s="57"/>
      <c r="H2549" s="54">
        <f t="shared" si="156"/>
        <v>0</v>
      </c>
      <c r="I2549" s="58"/>
      <c r="J2549" s="54">
        <f t="shared" si="157"/>
        <v>0</v>
      </c>
      <c r="K2549" s="57"/>
      <c r="L2549" s="54">
        <f t="shared" si="158"/>
        <v>0</v>
      </c>
    </row>
    <row r="2550" spans="1:12" x14ac:dyDescent="0.3">
      <c r="A2550" s="54"/>
      <c r="B2550" s="54"/>
      <c r="C2550" s="54"/>
      <c r="D2550" s="54"/>
      <c r="E2550" s="55"/>
      <c r="F2550" s="57"/>
      <c r="G2550" s="57"/>
      <c r="H2550" s="54">
        <f t="shared" si="156"/>
        <v>0</v>
      </c>
      <c r="I2550" s="58"/>
      <c r="J2550" s="54">
        <f t="shared" si="157"/>
        <v>0</v>
      </c>
      <c r="K2550" s="57"/>
      <c r="L2550" s="54">
        <f t="shared" si="158"/>
        <v>0</v>
      </c>
    </row>
    <row r="2551" spans="1:12" x14ac:dyDescent="0.3">
      <c r="A2551" s="54"/>
      <c r="B2551" s="54"/>
      <c r="C2551" s="54"/>
      <c r="D2551" s="54"/>
      <c r="E2551" s="55"/>
      <c r="F2551" s="57"/>
      <c r="G2551" s="57"/>
      <c r="H2551" s="54">
        <f t="shared" si="156"/>
        <v>0</v>
      </c>
      <c r="I2551" s="58"/>
      <c r="J2551" s="54">
        <f t="shared" si="157"/>
        <v>0</v>
      </c>
      <c r="K2551" s="57"/>
      <c r="L2551" s="54">
        <f t="shared" si="158"/>
        <v>0</v>
      </c>
    </row>
    <row r="2552" spans="1:12" x14ac:dyDescent="0.3">
      <c r="A2552" s="54"/>
      <c r="B2552" s="54"/>
      <c r="C2552" s="54"/>
      <c r="D2552" s="54"/>
      <c r="E2552" s="55"/>
      <c r="F2552" s="57"/>
      <c r="G2552" s="57"/>
      <c r="H2552" s="54">
        <f t="shared" si="156"/>
        <v>0</v>
      </c>
      <c r="I2552" s="58"/>
      <c r="J2552" s="54">
        <f t="shared" si="157"/>
        <v>0</v>
      </c>
      <c r="K2552" s="57"/>
      <c r="L2552" s="54">
        <f t="shared" si="158"/>
        <v>0</v>
      </c>
    </row>
    <row r="2553" spans="1:12" x14ac:dyDescent="0.3">
      <c r="A2553" s="54"/>
      <c r="B2553" s="54"/>
      <c r="C2553" s="54"/>
      <c r="D2553" s="54"/>
      <c r="E2553" s="55"/>
      <c r="F2553" s="57"/>
      <c r="G2553" s="57"/>
      <c r="H2553" s="54">
        <f t="shared" si="156"/>
        <v>0</v>
      </c>
      <c r="I2553" s="58"/>
      <c r="J2553" s="54">
        <f t="shared" si="157"/>
        <v>0</v>
      </c>
      <c r="K2553" s="57"/>
      <c r="L2553" s="54">
        <f t="shared" si="158"/>
        <v>0</v>
      </c>
    </row>
    <row r="2554" spans="1:12" x14ac:dyDescent="0.3">
      <c r="A2554" s="54"/>
      <c r="B2554" s="54"/>
      <c r="C2554" s="54"/>
      <c r="D2554" s="54"/>
      <c r="E2554" s="55"/>
      <c r="F2554" s="57"/>
      <c r="G2554" s="57"/>
      <c r="H2554" s="54">
        <f t="shared" si="156"/>
        <v>0</v>
      </c>
      <c r="I2554" s="58"/>
      <c r="J2554" s="54">
        <f t="shared" si="157"/>
        <v>0</v>
      </c>
      <c r="K2554" s="57"/>
      <c r="L2554" s="54">
        <f t="shared" si="158"/>
        <v>0</v>
      </c>
    </row>
    <row r="2555" spans="1:12" x14ac:dyDescent="0.3">
      <c r="A2555" s="54"/>
      <c r="B2555" s="54"/>
      <c r="C2555" s="54"/>
      <c r="D2555" s="54"/>
      <c r="E2555" s="55"/>
      <c r="F2555" s="57"/>
      <c r="G2555" s="57"/>
      <c r="H2555" s="54">
        <f t="shared" si="156"/>
        <v>0</v>
      </c>
      <c r="I2555" s="58"/>
      <c r="J2555" s="54">
        <f t="shared" si="157"/>
        <v>0</v>
      </c>
      <c r="K2555" s="57"/>
      <c r="L2555" s="54">
        <f t="shared" si="158"/>
        <v>0</v>
      </c>
    </row>
    <row r="2556" spans="1:12" x14ac:dyDescent="0.3">
      <c r="A2556" s="54"/>
      <c r="B2556" s="54"/>
      <c r="C2556" s="54"/>
      <c r="D2556" s="54"/>
      <c r="E2556" s="55"/>
      <c r="F2556" s="57"/>
      <c r="G2556" s="57"/>
      <c r="H2556" s="54">
        <f t="shared" si="156"/>
        <v>0</v>
      </c>
      <c r="I2556" s="58"/>
      <c r="J2556" s="54">
        <f t="shared" si="157"/>
        <v>0</v>
      </c>
      <c r="K2556" s="57"/>
      <c r="L2556" s="54">
        <f t="shared" si="158"/>
        <v>0</v>
      </c>
    </row>
  </sheetData>
  <autoFilter ref="C1:L26" xr:uid="{00000000-0009-0000-0000-000002000000}"/>
  <pageMargins left="0.7" right="0.7" top="0.75" bottom="0.75" header="0.3" footer="0.3"/>
  <pageSetup paperSize="9" scale="28" orientation="portrait" r:id="rId1"/>
  <rowBreaks count="2" manualBreakCount="2">
    <brk id="840" max="16383" man="1"/>
    <brk id="1046" max="16383" man="1"/>
  </rowBreaks>
  <colBreaks count="2" manualBreakCount="2">
    <brk id="5" max="2555" man="1"/>
    <brk id="15" max="1048575" man="1"/>
  </colBreaks>
  <ignoredErrors>
    <ignoredError sqref="J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1:P868"/>
  <sheetViews>
    <sheetView topLeftCell="F1" zoomScale="117" zoomScaleNormal="117" workbookViewId="0">
      <selection activeCell="P6" sqref="P6"/>
    </sheetView>
  </sheetViews>
  <sheetFormatPr defaultRowHeight="14.4" x14ac:dyDescent="0.3"/>
  <cols>
    <col min="2" max="2" width="13.109375" style="65" bestFit="1" customWidth="1"/>
    <col min="3" max="3" width="17.6640625" style="237" bestFit="1" customWidth="1"/>
    <col min="4" max="4" width="17.5546875" style="65" bestFit="1" customWidth="1"/>
    <col min="5" max="7" width="12.44140625" style="65" customWidth="1"/>
    <col min="8" max="8" width="13.21875" style="150" bestFit="1" customWidth="1"/>
    <col min="9" max="9" width="9" style="129" customWidth="1"/>
    <col min="10" max="10" width="15.21875" style="129" bestFit="1" customWidth="1"/>
    <col min="11" max="11" width="32.88671875" style="65" customWidth="1"/>
    <col min="12" max="12" width="23.21875" style="65" bestFit="1" customWidth="1"/>
    <col min="13" max="13" width="16.33203125" style="65" bestFit="1" customWidth="1"/>
    <col min="14" max="14" width="9.88671875" bestFit="1" customWidth="1"/>
    <col min="15" max="15" width="9.33203125" customWidth="1"/>
    <col min="16" max="16" width="13.88671875" customWidth="1"/>
  </cols>
  <sheetData>
    <row r="1" spans="2:16" x14ac:dyDescent="0.3">
      <c r="H1" s="65"/>
    </row>
    <row r="2" spans="2:16" s="116" customFormat="1" ht="34.950000000000003" customHeight="1" x14ac:dyDescent="0.3">
      <c r="B2" s="122" t="s">
        <v>0</v>
      </c>
      <c r="C2" s="238" t="s">
        <v>223</v>
      </c>
      <c r="D2" s="122" t="s">
        <v>5</v>
      </c>
      <c r="E2" s="122" t="s">
        <v>220</v>
      </c>
      <c r="F2" s="122" t="s">
        <v>59</v>
      </c>
      <c r="G2" s="122" t="s">
        <v>61</v>
      </c>
      <c r="H2" s="147" t="s">
        <v>221</v>
      </c>
      <c r="I2" s="125" t="s">
        <v>222</v>
      </c>
      <c r="J2" s="125" t="s">
        <v>63</v>
      </c>
      <c r="K2" s="123" t="s">
        <v>1942</v>
      </c>
      <c r="L2" s="124"/>
      <c r="M2" s="124"/>
    </row>
    <row r="3" spans="2:16" ht="18" x14ac:dyDescent="0.3">
      <c r="B3" s="121"/>
      <c r="C3" s="239"/>
      <c r="D3" s="121">
        <f>+SUM(D4:D46)</f>
        <v>0</v>
      </c>
      <c r="E3" s="121"/>
      <c r="F3" s="121"/>
      <c r="G3" s="121"/>
      <c r="H3" s="121">
        <f>+SUM(H4:H46)</f>
        <v>4910</v>
      </c>
      <c r="I3" s="126"/>
      <c r="J3" s="126"/>
      <c r="K3" s="121">
        <f>+SUM(K4:K46)</f>
        <v>17013150</v>
      </c>
      <c r="L3" s="118" t="s">
        <v>22</v>
      </c>
      <c r="M3" s="117">
        <f>+D3</f>
        <v>0</v>
      </c>
    </row>
    <row r="4" spans="2:16" ht="18" x14ac:dyDescent="0.3">
      <c r="B4" s="26" t="s">
        <v>1939</v>
      </c>
      <c r="C4" s="240"/>
      <c r="D4" s="26"/>
      <c r="E4" s="26">
        <v>919</v>
      </c>
      <c r="F4" s="26">
        <v>18800</v>
      </c>
      <c r="G4" s="26">
        <v>13890</v>
      </c>
      <c r="H4" s="149">
        <f t="shared" ref="H4:H36" si="0">+F4-G4</f>
        <v>4910</v>
      </c>
      <c r="I4" s="127">
        <v>1</v>
      </c>
      <c r="J4" s="127">
        <v>3500</v>
      </c>
      <c r="K4" s="82">
        <f t="shared" ref="K4:K34" si="1">+(H4-H4*I4/100)*J4</f>
        <v>17013150</v>
      </c>
      <c r="L4" s="118" t="str">
        <f>+K2</f>
        <v>Феруз укаси</v>
      </c>
      <c r="M4" s="119">
        <f>+K3</f>
        <v>17013150</v>
      </c>
      <c r="P4" s="9"/>
    </row>
    <row r="5" spans="2:16" ht="18" x14ac:dyDescent="0.3">
      <c r="B5" s="81"/>
      <c r="C5" s="240"/>
      <c r="D5" s="26"/>
      <c r="E5" s="81"/>
      <c r="F5" s="81"/>
      <c r="G5" s="81"/>
      <c r="H5" s="149">
        <f t="shared" si="0"/>
        <v>0</v>
      </c>
      <c r="I5" s="128"/>
      <c r="J5" s="128"/>
      <c r="K5" s="82">
        <f t="shared" si="1"/>
        <v>0</v>
      </c>
      <c r="L5" s="118" t="s">
        <v>57</v>
      </c>
      <c r="M5" s="120">
        <f>+M3-M4</f>
        <v>-17013150</v>
      </c>
    </row>
    <row r="6" spans="2:16" ht="18" x14ac:dyDescent="0.3">
      <c r="B6" s="81"/>
      <c r="C6" s="241"/>
      <c r="D6" s="81"/>
      <c r="E6" s="81"/>
      <c r="F6" s="81"/>
      <c r="G6" s="81"/>
      <c r="H6" s="149">
        <f t="shared" si="0"/>
        <v>0</v>
      </c>
      <c r="I6" s="128"/>
      <c r="J6" s="128"/>
      <c r="K6" s="82">
        <f t="shared" si="1"/>
        <v>0</v>
      </c>
    </row>
    <row r="7" spans="2:16" ht="18" x14ac:dyDescent="0.3">
      <c r="B7" s="81"/>
      <c r="C7" s="241"/>
      <c r="D7" s="81"/>
      <c r="E7" s="81"/>
      <c r="F7" s="81"/>
      <c r="G7" s="81"/>
      <c r="H7" s="149">
        <f t="shared" si="0"/>
        <v>0</v>
      </c>
      <c r="I7" s="128"/>
      <c r="J7" s="128"/>
      <c r="K7" s="82">
        <f t="shared" si="1"/>
        <v>0</v>
      </c>
      <c r="L7"/>
      <c r="M7"/>
    </row>
    <row r="8" spans="2:16" ht="18" x14ac:dyDescent="0.3">
      <c r="B8" s="81"/>
      <c r="C8" s="241"/>
      <c r="D8" s="81"/>
      <c r="E8" s="81"/>
      <c r="F8" s="81"/>
      <c r="G8" s="81"/>
      <c r="H8" s="149">
        <f t="shared" si="0"/>
        <v>0</v>
      </c>
      <c r="I8" s="128"/>
      <c r="J8" s="128"/>
      <c r="K8" s="82">
        <f t="shared" si="1"/>
        <v>0</v>
      </c>
      <c r="L8"/>
      <c r="M8"/>
    </row>
    <row r="9" spans="2:16" ht="18" x14ac:dyDescent="0.3">
      <c r="B9" s="81"/>
      <c r="C9" s="241"/>
      <c r="D9" s="81"/>
      <c r="E9" s="81"/>
      <c r="F9" s="81"/>
      <c r="G9" s="81"/>
      <c r="H9" s="149">
        <f t="shared" si="0"/>
        <v>0</v>
      </c>
      <c r="I9" s="128"/>
      <c r="J9" s="128"/>
      <c r="K9" s="82">
        <f t="shared" si="1"/>
        <v>0</v>
      </c>
      <c r="L9"/>
      <c r="M9"/>
    </row>
    <row r="10" spans="2:16" ht="18" x14ac:dyDescent="0.3">
      <c r="B10" s="81"/>
      <c r="C10" s="241"/>
      <c r="D10" s="81"/>
      <c r="E10" s="81"/>
      <c r="F10" s="81"/>
      <c r="G10" s="81"/>
      <c r="H10" s="149">
        <f t="shared" si="0"/>
        <v>0</v>
      </c>
      <c r="I10" s="128"/>
      <c r="J10" s="128"/>
      <c r="K10" s="82">
        <f t="shared" si="1"/>
        <v>0</v>
      </c>
      <c r="L10"/>
      <c r="M10"/>
    </row>
    <row r="11" spans="2:16" ht="18" x14ac:dyDescent="0.3">
      <c r="B11" s="81"/>
      <c r="C11" s="241"/>
      <c r="D11" s="81"/>
      <c r="E11" s="81"/>
      <c r="F11" s="81"/>
      <c r="G11" s="81"/>
      <c r="H11" s="149">
        <f t="shared" si="0"/>
        <v>0</v>
      </c>
      <c r="I11" s="128"/>
      <c r="J11" s="128"/>
      <c r="K11" s="82">
        <f t="shared" si="1"/>
        <v>0</v>
      </c>
      <c r="L11"/>
      <c r="M11"/>
    </row>
    <row r="12" spans="2:16" ht="18" x14ac:dyDescent="0.3">
      <c r="B12" s="81"/>
      <c r="C12" s="241"/>
      <c r="D12" s="81"/>
      <c r="E12" s="81"/>
      <c r="F12" s="81"/>
      <c r="G12" s="81"/>
      <c r="H12" s="149">
        <f t="shared" si="0"/>
        <v>0</v>
      </c>
      <c r="I12" s="128"/>
      <c r="J12" s="128"/>
      <c r="K12" s="82">
        <f t="shared" si="1"/>
        <v>0</v>
      </c>
      <c r="L12"/>
      <c r="M12"/>
    </row>
    <row r="13" spans="2:16" ht="18" x14ac:dyDescent="0.3">
      <c r="B13" s="81"/>
      <c r="C13" s="241"/>
      <c r="D13" s="81"/>
      <c r="E13" s="81"/>
      <c r="F13" s="81"/>
      <c r="G13" s="81"/>
      <c r="H13" s="149">
        <f t="shared" si="0"/>
        <v>0</v>
      </c>
      <c r="I13" s="128"/>
      <c r="J13" s="128"/>
      <c r="K13" s="82">
        <f t="shared" si="1"/>
        <v>0</v>
      </c>
      <c r="L13"/>
      <c r="M13"/>
    </row>
    <row r="14" spans="2:16" ht="18" x14ac:dyDescent="0.3">
      <c r="B14" s="81"/>
      <c r="C14" s="241"/>
      <c r="D14" s="81"/>
      <c r="E14" s="81"/>
      <c r="F14" s="216"/>
      <c r="G14" s="81"/>
      <c r="H14" s="149">
        <f t="shared" si="0"/>
        <v>0</v>
      </c>
      <c r="I14" s="128"/>
      <c r="J14" s="128"/>
      <c r="K14" s="82">
        <f t="shared" si="1"/>
        <v>0</v>
      </c>
      <c r="L14"/>
      <c r="M14"/>
    </row>
    <row r="15" spans="2:16" ht="18" x14ac:dyDescent="0.3">
      <c r="B15" s="81"/>
      <c r="C15" s="241"/>
      <c r="D15" s="81"/>
      <c r="E15" s="81"/>
      <c r="F15" s="81"/>
      <c r="G15" s="81"/>
      <c r="H15" s="149">
        <f t="shared" si="0"/>
        <v>0</v>
      </c>
      <c r="I15" s="128"/>
      <c r="J15" s="128"/>
      <c r="K15" s="82">
        <f t="shared" si="1"/>
        <v>0</v>
      </c>
      <c r="L15"/>
      <c r="M15"/>
    </row>
    <row r="16" spans="2:16" ht="18" x14ac:dyDescent="0.3">
      <c r="B16" s="81"/>
      <c r="C16" s="241"/>
      <c r="D16" s="81"/>
      <c r="E16" s="81"/>
      <c r="F16" s="81"/>
      <c r="G16" s="81"/>
      <c r="H16" s="149">
        <f t="shared" si="0"/>
        <v>0</v>
      </c>
      <c r="I16" s="128"/>
      <c r="J16" s="128"/>
      <c r="K16" s="82">
        <f t="shared" si="1"/>
        <v>0</v>
      </c>
      <c r="L16"/>
      <c r="M16"/>
    </row>
    <row r="17" spans="2:13" ht="18" x14ac:dyDescent="0.3">
      <c r="B17" s="81"/>
      <c r="C17" s="241"/>
      <c r="D17" s="81"/>
      <c r="E17" s="81"/>
      <c r="F17" s="81"/>
      <c r="G17" s="81"/>
      <c r="H17" s="149">
        <f t="shared" si="0"/>
        <v>0</v>
      </c>
      <c r="I17" s="128"/>
      <c r="J17" s="128"/>
      <c r="K17" s="82">
        <f t="shared" si="1"/>
        <v>0</v>
      </c>
      <c r="L17"/>
      <c r="M17"/>
    </row>
    <row r="18" spans="2:13" ht="18" x14ac:dyDescent="0.3">
      <c r="B18" s="81"/>
      <c r="C18" s="241"/>
      <c r="D18" s="81"/>
      <c r="E18" s="216"/>
      <c r="F18" s="81"/>
      <c r="G18" s="81"/>
      <c r="H18" s="149">
        <f t="shared" si="0"/>
        <v>0</v>
      </c>
      <c r="I18" s="128"/>
      <c r="J18" s="128"/>
      <c r="K18" s="82">
        <f t="shared" si="1"/>
        <v>0</v>
      </c>
      <c r="L18"/>
      <c r="M18"/>
    </row>
    <row r="19" spans="2:13" ht="18" x14ac:dyDescent="0.3">
      <c r="B19" s="81"/>
      <c r="C19" s="241"/>
      <c r="D19" s="81"/>
      <c r="E19" s="81"/>
      <c r="F19" s="81"/>
      <c r="G19" s="81"/>
      <c r="H19" s="149">
        <f t="shared" si="0"/>
        <v>0</v>
      </c>
      <c r="I19" s="128"/>
      <c r="J19" s="128"/>
      <c r="K19" s="82">
        <f t="shared" si="1"/>
        <v>0</v>
      </c>
      <c r="L19"/>
      <c r="M19"/>
    </row>
    <row r="20" spans="2:13" ht="18" x14ac:dyDescent="0.3">
      <c r="B20" s="81"/>
      <c r="C20" s="241"/>
      <c r="D20" s="81"/>
      <c r="E20" s="81"/>
      <c r="F20" s="81"/>
      <c r="G20" s="81"/>
      <c r="H20" s="149">
        <f t="shared" si="0"/>
        <v>0</v>
      </c>
      <c r="I20" s="128"/>
      <c r="J20" s="128"/>
      <c r="K20" s="82">
        <f t="shared" si="1"/>
        <v>0</v>
      </c>
      <c r="L20"/>
      <c r="M20"/>
    </row>
    <row r="21" spans="2:13" ht="18" x14ac:dyDescent="0.3">
      <c r="B21" s="81"/>
      <c r="C21" s="241"/>
      <c r="D21" s="81"/>
      <c r="E21" s="81"/>
      <c r="F21" s="81"/>
      <c r="G21" s="81"/>
      <c r="H21" s="149">
        <f t="shared" si="0"/>
        <v>0</v>
      </c>
      <c r="I21" s="128"/>
      <c r="J21" s="128"/>
      <c r="K21" s="82">
        <f t="shared" si="1"/>
        <v>0</v>
      </c>
      <c r="L21"/>
      <c r="M21"/>
    </row>
    <row r="22" spans="2:13" ht="18" x14ac:dyDescent="0.3">
      <c r="B22" s="81"/>
      <c r="C22" s="241"/>
      <c r="D22" s="81"/>
      <c r="E22" s="216"/>
      <c r="F22" s="216"/>
      <c r="G22" s="216"/>
      <c r="H22" s="149">
        <f t="shared" si="0"/>
        <v>0</v>
      </c>
      <c r="I22" s="229"/>
      <c r="J22" s="229"/>
      <c r="K22" s="82">
        <f t="shared" si="1"/>
        <v>0</v>
      </c>
      <c r="L22"/>
      <c r="M22"/>
    </row>
    <row r="23" spans="2:13" ht="18" x14ac:dyDescent="0.3">
      <c r="B23" s="81"/>
      <c r="C23" s="241"/>
      <c r="D23" s="81"/>
      <c r="E23" s="216"/>
      <c r="F23" s="216"/>
      <c r="G23" s="216"/>
      <c r="H23" s="149">
        <f t="shared" si="0"/>
        <v>0</v>
      </c>
      <c r="I23" s="229"/>
      <c r="J23" s="229"/>
      <c r="K23" s="82">
        <f t="shared" si="1"/>
        <v>0</v>
      </c>
      <c r="L23"/>
      <c r="M23"/>
    </row>
    <row r="24" spans="2:13" ht="18" x14ac:dyDescent="0.3">
      <c r="B24" s="81"/>
      <c r="C24" s="241"/>
      <c r="D24" s="81"/>
      <c r="E24" s="216"/>
      <c r="F24" s="216"/>
      <c r="G24" s="216"/>
      <c r="H24" s="149">
        <f t="shared" si="0"/>
        <v>0</v>
      </c>
      <c r="I24" s="229"/>
      <c r="J24" s="229"/>
      <c r="K24" s="82">
        <f t="shared" si="1"/>
        <v>0</v>
      </c>
      <c r="L24"/>
      <c r="M24"/>
    </row>
    <row r="25" spans="2:13" ht="18" x14ac:dyDescent="0.3">
      <c r="B25" s="81"/>
      <c r="C25" s="241"/>
      <c r="D25" s="81"/>
      <c r="E25" s="81"/>
      <c r="F25" s="81"/>
      <c r="G25" s="81"/>
      <c r="H25" s="149">
        <f t="shared" si="0"/>
        <v>0</v>
      </c>
      <c r="I25" s="128"/>
      <c r="J25" s="128"/>
      <c r="K25" s="82">
        <f t="shared" si="1"/>
        <v>0</v>
      </c>
      <c r="L25"/>
      <c r="M25"/>
    </row>
    <row r="26" spans="2:13" ht="18" x14ac:dyDescent="0.3">
      <c r="B26" s="81"/>
      <c r="C26" s="241"/>
      <c r="D26" s="81"/>
      <c r="E26" s="81"/>
      <c r="F26" s="81"/>
      <c r="G26" s="81"/>
      <c r="H26" s="149">
        <f t="shared" si="0"/>
        <v>0</v>
      </c>
      <c r="I26" s="128"/>
      <c r="J26" s="128"/>
      <c r="K26" s="82">
        <f t="shared" si="1"/>
        <v>0</v>
      </c>
      <c r="L26"/>
      <c r="M26"/>
    </row>
    <row r="27" spans="2:13" ht="18" x14ac:dyDescent="0.3">
      <c r="B27" s="81"/>
      <c r="C27" s="241"/>
      <c r="D27" s="216"/>
      <c r="E27" s="81"/>
      <c r="F27" s="81"/>
      <c r="G27" s="81"/>
      <c r="H27" s="149">
        <f t="shared" si="0"/>
        <v>0</v>
      </c>
      <c r="I27" s="128"/>
      <c r="J27" s="128"/>
      <c r="K27" s="82">
        <f t="shared" si="1"/>
        <v>0</v>
      </c>
      <c r="L27"/>
      <c r="M27"/>
    </row>
    <row r="28" spans="2:13" ht="18" x14ac:dyDescent="0.3">
      <c r="B28" s="81"/>
      <c r="C28" s="241"/>
      <c r="D28" s="81"/>
      <c r="E28" s="81"/>
      <c r="F28" s="81"/>
      <c r="G28" s="81"/>
      <c r="H28" s="149">
        <f t="shared" si="0"/>
        <v>0</v>
      </c>
      <c r="I28" s="128"/>
      <c r="J28" s="128"/>
      <c r="K28" s="82">
        <f t="shared" si="1"/>
        <v>0</v>
      </c>
      <c r="L28"/>
      <c r="M28"/>
    </row>
    <row r="29" spans="2:13" ht="18" x14ac:dyDescent="0.3">
      <c r="B29" s="81"/>
      <c r="C29" s="241"/>
      <c r="D29" s="81"/>
      <c r="E29" s="81"/>
      <c r="F29" s="81"/>
      <c r="G29" s="81"/>
      <c r="H29" s="149">
        <f t="shared" si="0"/>
        <v>0</v>
      </c>
      <c r="I29" s="128"/>
      <c r="J29" s="128"/>
      <c r="K29" s="82">
        <f t="shared" si="1"/>
        <v>0</v>
      </c>
      <c r="L29"/>
      <c r="M29"/>
    </row>
    <row r="30" spans="2:13" ht="18" x14ac:dyDescent="0.3">
      <c r="B30" s="81"/>
      <c r="C30" s="241"/>
      <c r="D30" s="81"/>
      <c r="E30" s="81"/>
      <c r="F30" s="81"/>
      <c r="G30" s="81"/>
      <c r="H30" s="149">
        <f t="shared" si="0"/>
        <v>0</v>
      </c>
      <c r="I30" s="128"/>
      <c r="J30" s="128"/>
      <c r="K30" s="82">
        <f t="shared" si="1"/>
        <v>0</v>
      </c>
      <c r="L30"/>
      <c r="M30"/>
    </row>
    <row r="31" spans="2:13" ht="18" x14ac:dyDescent="0.3">
      <c r="B31" s="81"/>
      <c r="C31" s="241"/>
      <c r="D31" s="81"/>
      <c r="E31" s="81"/>
      <c r="F31" s="81"/>
      <c r="G31" s="81"/>
      <c r="H31" s="149">
        <f t="shared" si="0"/>
        <v>0</v>
      </c>
      <c r="I31" s="128"/>
      <c r="J31" s="128"/>
      <c r="K31" s="82">
        <f t="shared" si="1"/>
        <v>0</v>
      </c>
      <c r="L31"/>
      <c r="M31"/>
    </row>
    <row r="32" spans="2:13" ht="18" x14ac:dyDescent="0.3">
      <c r="B32" s="81"/>
      <c r="C32" s="241"/>
      <c r="D32" s="81"/>
      <c r="E32" s="81"/>
      <c r="F32" s="81"/>
      <c r="G32" s="216"/>
      <c r="H32" s="149">
        <f t="shared" si="0"/>
        <v>0</v>
      </c>
      <c r="I32" s="128"/>
      <c r="J32" s="128"/>
      <c r="K32" s="82">
        <f t="shared" si="1"/>
        <v>0</v>
      </c>
      <c r="L32"/>
      <c r="M32"/>
    </row>
    <row r="33" spans="2:13" ht="18" x14ac:dyDescent="0.3">
      <c r="B33" s="81"/>
      <c r="C33" s="241"/>
      <c r="D33" s="81"/>
      <c r="E33" s="216"/>
      <c r="F33" s="216"/>
      <c r="G33" s="216"/>
      <c r="H33" s="149">
        <f t="shared" si="0"/>
        <v>0</v>
      </c>
      <c r="I33" s="229"/>
      <c r="J33" s="229"/>
      <c r="K33" s="82">
        <f t="shared" si="1"/>
        <v>0</v>
      </c>
    </row>
    <row r="34" spans="2:13" ht="18" x14ac:dyDescent="0.3">
      <c r="B34" s="81"/>
      <c r="C34" s="241"/>
      <c r="D34" s="81"/>
      <c r="E34" s="216"/>
      <c r="F34" s="216"/>
      <c r="G34" s="216"/>
      <c r="H34" s="149">
        <f t="shared" si="0"/>
        <v>0</v>
      </c>
      <c r="I34" s="229"/>
      <c r="J34" s="229"/>
      <c r="K34" s="82">
        <f t="shared" si="1"/>
        <v>0</v>
      </c>
    </row>
    <row r="35" spans="2:13" ht="18" x14ac:dyDescent="0.3">
      <c r="B35" s="81"/>
      <c r="C35" s="241"/>
      <c r="D35" s="81"/>
      <c r="E35" s="81"/>
      <c r="F35" s="81"/>
      <c r="G35" s="81"/>
      <c r="H35" s="149">
        <f t="shared" si="0"/>
        <v>0</v>
      </c>
      <c r="I35" s="128"/>
      <c r="J35" s="128"/>
      <c r="K35" s="82">
        <f t="shared" ref="K35:K42" si="2">+(H35-H35*I35/100)*J35</f>
        <v>0</v>
      </c>
    </row>
    <row r="36" spans="2:13" ht="18" x14ac:dyDescent="0.3">
      <c r="B36" s="81"/>
      <c r="C36" s="241"/>
      <c r="D36" s="81"/>
      <c r="E36" s="81"/>
      <c r="F36" s="81"/>
      <c r="G36" s="81"/>
      <c r="H36" s="149">
        <f t="shared" si="0"/>
        <v>0</v>
      </c>
      <c r="I36" s="128"/>
      <c r="J36" s="128"/>
      <c r="K36" s="82">
        <f t="shared" si="2"/>
        <v>0</v>
      </c>
    </row>
    <row r="37" spans="2:13" ht="18" x14ac:dyDescent="0.3">
      <c r="B37" s="81"/>
      <c r="C37" s="241"/>
      <c r="D37" s="81"/>
      <c r="E37" s="81"/>
      <c r="F37" s="81"/>
      <c r="G37" s="81"/>
      <c r="H37" s="149">
        <f t="shared" ref="H37:H45" si="3">+F37-G37</f>
        <v>0</v>
      </c>
      <c r="I37" s="128"/>
      <c r="J37" s="128"/>
      <c r="K37" s="82">
        <f t="shared" si="2"/>
        <v>0</v>
      </c>
    </row>
    <row r="38" spans="2:13" ht="18" x14ac:dyDescent="0.3">
      <c r="B38" s="81"/>
      <c r="C38" s="241"/>
      <c r="D38" s="81"/>
      <c r="E38" s="81"/>
      <c r="F38" s="81"/>
      <c r="G38" s="81"/>
      <c r="H38" s="149">
        <f t="shared" si="3"/>
        <v>0</v>
      </c>
      <c r="I38" s="128"/>
      <c r="J38" s="128"/>
      <c r="K38" s="82">
        <f t="shared" si="2"/>
        <v>0</v>
      </c>
      <c r="L38"/>
      <c r="M38"/>
    </row>
    <row r="39" spans="2:13" ht="18" x14ac:dyDescent="0.3">
      <c r="B39" s="81"/>
      <c r="C39" s="241"/>
      <c r="D39" s="81"/>
      <c r="E39" s="81"/>
      <c r="F39" s="81"/>
      <c r="G39" s="81"/>
      <c r="H39" s="149">
        <f t="shared" si="3"/>
        <v>0</v>
      </c>
      <c r="I39" s="128"/>
      <c r="J39" s="128"/>
      <c r="K39" s="82">
        <f t="shared" si="2"/>
        <v>0</v>
      </c>
      <c r="L39"/>
      <c r="M39"/>
    </row>
    <row r="40" spans="2:13" ht="18" x14ac:dyDescent="0.3">
      <c r="B40" s="81"/>
      <c r="C40" s="241"/>
      <c r="D40" s="81"/>
      <c r="E40" s="81"/>
      <c r="F40" s="81"/>
      <c r="G40" s="81"/>
      <c r="H40" s="149">
        <f t="shared" si="3"/>
        <v>0</v>
      </c>
      <c r="I40" s="128"/>
      <c r="J40" s="128"/>
      <c r="K40" s="82">
        <f t="shared" si="2"/>
        <v>0</v>
      </c>
      <c r="L40"/>
      <c r="M40"/>
    </row>
    <row r="41" spans="2:13" ht="18" x14ac:dyDescent="0.3">
      <c r="B41" s="81"/>
      <c r="C41" s="241"/>
      <c r="D41" s="81"/>
      <c r="E41" s="81"/>
      <c r="F41" s="81"/>
      <c r="G41" s="81"/>
      <c r="H41" s="149">
        <f t="shared" si="3"/>
        <v>0</v>
      </c>
      <c r="I41" s="128"/>
      <c r="J41" s="128"/>
      <c r="K41" s="82">
        <f t="shared" si="2"/>
        <v>0</v>
      </c>
      <c r="L41"/>
      <c r="M41"/>
    </row>
    <row r="42" spans="2:13" ht="18" x14ac:dyDescent="0.3">
      <c r="B42" s="81"/>
      <c r="C42" s="241"/>
      <c r="D42" s="81"/>
      <c r="E42" s="81"/>
      <c r="F42" s="81"/>
      <c r="G42" s="81"/>
      <c r="H42" s="149">
        <f t="shared" si="3"/>
        <v>0</v>
      </c>
      <c r="I42" s="128"/>
      <c r="J42" s="128"/>
      <c r="K42" s="82">
        <f t="shared" si="2"/>
        <v>0</v>
      </c>
      <c r="L42"/>
      <c r="M42"/>
    </row>
    <row r="43" spans="2:13" ht="18" x14ac:dyDescent="0.3">
      <c r="B43" s="81"/>
      <c r="C43" s="241"/>
      <c r="D43" s="81"/>
      <c r="E43" s="81"/>
      <c r="F43" s="81"/>
      <c r="G43" s="81"/>
      <c r="H43" s="149">
        <f t="shared" si="3"/>
        <v>0</v>
      </c>
      <c r="I43" s="128"/>
      <c r="J43" s="128"/>
      <c r="K43" s="82">
        <f t="shared" ref="K43:K45" si="4">+(H43-H43*I43/100)*J43</f>
        <v>0</v>
      </c>
      <c r="L43"/>
      <c r="M43"/>
    </row>
    <row r="44" spans="2:13" ht="18" x14ac:dyDescent="0.3">
      <c r="B44" s="81"/>
      <c r="C44" s="241"/>
      <c r="D44" s="81"/>
      <c r="E44" s="81"/>
      <c r="F44" s="81"/>
      <c r="G44" s="81"/>
      <c r="H44" s="149">
        <f t="shared" si="3"/>
        <v>0</v>
      </c>
      <c r="I44" s="128"/>
      <c r="J44" s="128"/>
      <c r="K44" s="82">
        <f t="shared" si="4"/>
        <v>0</v>
      </c>
      <c r="L44"/>
      <c r="M44"/>
    </row>
    <row r="45" spans="2:13" ht="18" x14ac:dyDescent="0.3">
      <c r="B45" s="81"/>
      <c r="C45" s="241"/>
      <c r="D45" s="81"/>
      <c r="E45" s="81"/>
      <c r="F45" s="81"/>
      <c r="G45" s="81"/>
      <c r="H45" s="149">
        <f t="shared" si="3"/>
        <v>0</v>
      </c>
      <c r="I45" s="128"/>
      <c r="J45" s="128"/>
      <c r="K45" s="82">
        <f t="shared" si="4"/>
        <v>0</v>
      </c>
    </row>
    <row r="46" spans="2:13" ht="18" x14ac:dyDescent="0.3">
      <c r="B46" s="81"/>
      <c r="C46" s="241"/>
      <c r="D46" s="81"/>
      <c r="E46" s="81"/>
      <c r="F46" s="81"/>
      <c r="G46" s="81"/>
      <c r="H46" s="149">
        <f t="shared" ref="H46" si="5">+F46-G46</f>
        <v>0</v>
      </c>
      <c r="I46" s="128"/>
      <c r="J46" s="128"/>
      <c r="K46" s="82">
        <f t="shared" ref="K46" si="6">+(H46-H46*I46/100)*J46</f>
        <v>0</v>
      </c>
    </row>
    <row r="47" spans="2:13" x14ac:dyDescent="0.3">
      <c r="D47"/>
      <c r="E47"/>
      <c r="F47"/>
      <c r="G47"/>
      <c r="H47"/>
      <c r="I47"/>
      <c r="J47"/>
      <c r="K47"/>
    </row>
    <row r="48" spans="2:13" x14ac:dyDescent="0.3">
      <c r="D48"/>
      <c r="E48"/>
      <c r="F48"/>
      <c r="G48"/>
      <c r="H48"/>
      <c r="I48"/>
      <c r="J48"/>
      <c r="K48"/>
      <c r="L48"/>
      <c r="M48"/>
    </row>
    <row r="49" spans="2:13" x14ac:dyDescent="0.3">
      <c r="D49"/>
      <c r="E49"/>
      <c r="F49"/>
      <c r="G49"/>
      <c r="H49"/>
      <c r="I49"/>
      <c r="J49"/>
      <c r="K49"/>
      <c r="L49"/>
      <c r="M49"/>
    </row>
    <row r="50" spans="2:13" x14ac:dyDescent="0.3">
      <c r="D50"/>
      <c r="E50"/>
      <c r="F50"/>
      <c r="G50"/>
      <c r="H50"/>
      <c r="I50"/>
      <c r="J50"/>
      <c r="K50"/>
      <c r="L50"/>
      <c r="M50"/>
    </row>
    <row r="51" spans="2:13" x14ac:dyDescent="0.3">
      <c r="D51"/>
      <c r="E51"/>
      <c r="F51"/>
      <c r="G51"/>
      <c r="H51"/>
      <c r="I51"/>
      <c r="J51"/>
      <c r="K51"/>
      <c r="L51"/>
      <c r="M51"/>
    </row>
    <row r="52" spans="2:13" x14ac:dyDescent="0.3">
      <c r="D52"/>
      <c r="E52"/>
      <c r="F52"/>
      <c r="G52"/>
      <c r="H52"/>
      <c r="I52"/>
      <c r="J52"/>
      <c r="K52"/>
      <c r="L52"/>
      <c r="M52"/>
    </row>
    <row r="53" spans="2:13" x14ac:dyDescent="0.3">
      <c r="D53"/>
      <c r="E53"/>
      <c r="F53"/>
      <c r="G53"/>
      <c r="H53"/>
      <c r="I53"/>
      <c r="J53"/>
      <c r="K53"/>
      <c r="L53"/>
      <c r="M53"/>
    </row>
    <row r="54" spans="2:13" x14ac:dyDescent="0.3">
      <c r="H54" s="129"/>
    </row>
    <row r="55" spans="2:13" x14ac:dyDescent="0.3">
      <c r="H55" s="129"/>
    </row>
    <row r="56" spans="2:13" x14ac:dyDescent="0.3">
      <c r="H56" s="129"/>
    </row>
    <row r="57" spans="2:13" ht="36" x14ac:dyDescent="0.3">
      <c r="B57" s="122" t="s">
        <v>0</v>
      </c>
      <c r="C57" s="238" t="s">
        <v>223</v>
      </c>
      <c r="D57" s="122" t="s">
        <v>5</v>
      </c>
      <c r="E57" s="122" t="s">
        <v>220</v>
      </c>
      <c r="F57" s="122" t="s">
        <v>59</v>
      </c>
      <c r="G57" s="122" t="s">
        <v>61</v>
      </c>
      <c r="H57" s="147" t="s">
        <v>221</v>
      </c>
      <c r="I57" s="125" t="s">
        <v>222</v>
      </c>
      <c r="J57" s="125" t="s">
        <v>63</v>
      </c>
      <c r="K57" s="123" t="s">
        <v>813</v>
      </c>
      <c r="L57" s="124"/>
      <c r="M57" s="124"/>
    </row>
    <row r="58" spans="2:13" ht="18" x14ac:dyDescent="0.3">
      <c r="B58" s="121"/>
      <c r="C58" s="239"/>
      <c r="D58" s="121">
        <f>+SUM(D59:D107)</f>
        <v>223288000</v>
      </c>
      <c r="E58" s="121"/>
      <c r="F58" s="121"/>
      <c r="G58" s="121"/>
      <c r="H58" s="121">
        <f>+SUM(H59:H107)</f>
        <v>60780</v>
      </c>
      <c r="I58" s="126"/>
      <c r="J58" s="126"/>
      <c r="K58" s="121">
        <f>+SUM(K59:K107)</f>
        <v>211472295</v>
      </c>
      <c r="L58" s="118" t="s">
        <v>22</v>
      </c>
      <c r="M58" s="117">
        <f>+D58</f>
        <v>223288000</v>
      </c>
    </row>
    <row r="59" spans="2:13" ht="18" x14ac:dyDescent="0.3">
      <c r="B59" s="26" t="s">
        <v>1895</v>
      </c>
      <c r="C59" s="240" t="s">
        <v>1896</v>
      </c>
      <c r="D59" s="26">
        <f>190*3200</f>
        <v>608000</v>
      </c>
      <c r="E59" s="26"/>
      <c r="F59" s="26"/>
      <c r="G59" s="26"/>
      <c r="H59" s="148">
        <f t="shared" ref="H59:H67" si="7">+F59-G59</f>
        <v>0</v>
      </c>
      <c r="I59" s="127"/>
      <c r="J59" s="127"/>
      <c r="K59" s="82">
        <f t="shared" ref="K59:K106" si="8">+(H59-H59*I59/100)*J59</f>
        <v>0</v>
      </c>
      <c r="L59" s="118" t="str">
        <f>+K57</f>
        <v>шамсилло</v>
      </c>
      <c r="M59" s="119">
        <f>+K58</f>
        <v>211472295</v>
      </c>
    </row>
    <row r="60" spans="2:13" ht="18" x14ac:dyDescent="0.3">
      <c r="B60" s="81" t="s">
        <v>1895</v>
      </c>
      <c r="C60" s="241">
        <v>4000</v>
      </c>
      <c r="D60" s="81">
        <f>4000*11825</f>
        <v>47300000</v>
      </c>
      <c r="E60" s="26"/>
      <c r="F60" s="26"/>
      <c r="G60" s="26"/>
      <c r="H60" s="148">
        <f t="shared" si="7"/>
        <v>0</v>
      </c>
      <c r="I60" s="128"/>
      <c r="J60" s="128"/>
      <c r="K60" s="82">
        <f t="shared" si="8"/>
        <v>0</v>
      </c>
      <c r="L60" s="118" t="s">
        <v>57</v>
      </c>
      <c r="M60" s="120">
        <f>+M58-M59</f>
        <v>11815705</v>
      </c>
    </row>
    <row r="61" spans="2:13" ht="18" x14ac:dyDescent="0.3">
      <c r="B61" s="81" t="s">
        <v>1913</v>
      </c>
      <c r="C61" s="241">
        <v>5000</v>
      </c>
      <c r="D61" s="81">
        <f>5000*11850</f>
        <v>59250000</v>
      </c>
      <c r="E61" s="81">
        <v>467</v>
      </c>
      <c r="F61" s="81">
        <v>22310</v>
      </c>
      <c r="G61" s="81">
        <v>12990</v>
      </c>
      <c r="H61" s="148">
        <f t="shared" si="7"/>
        <v>9320</v>
      </c>
      <c r="I61" s="128">
        <v>0.5</v>
      </c>
      <c r="J61" s="128">
        <v>3750</v>
      </c>
      <c r="K61" s="82">
        <f t="shared" si="8"/>
        <v>34775250</v>
      </c>
    </row>
    <row r="62" spans="2:13" ht="18" x14ac:dyDescent="0.3">
      <c r="B62" s="81"/>
      <c r="C62" s="241"/>
      <c r="D62" s="81"/>
      <c r="E62" s="81">
        <v>834</v>
      </c>
      <c r="F62" s="81">
        <v>24090</v>
      </c>
      <c r="G62" s="81">
        <v>12580</v>
      </c>
      <c r="H62" s="148">
        <f t="shared" si="7"/>
        <v>11510</v>
      </c>
      <c r="I62" s="128">
        <v>3</v>
      </c>
      <c r="J62" s="128">
        <v>3600</v>
      </c>
      <c r="K62" s="82">
        <f t="shared" si="8"/>
        <v>40192920</v>
      </c>
    </row>
    <row r="63" spans="2:13" ht="18" x14ac:dyDescent="0.3">
      <c r="B63" s="81" t="s">
        <v>1918</v>
      </c>
      <c r="C63" s="241"/>
      <c r="D63" s="81"/>
      <c r="E63" s="81">
        <v>576</v>
      </c>
      <c r="F63" s="81">
        <v>13040</v>
      </c>
      <c r="G63" s="81">
        <v>9310</v>
      </c>
      <c r="H63" s="148">
        <f t="shared" si="7"/>
        <v>3730</v>
      </c>
      <c r="I63" s="128">
        <v>1</v>
      </c>
      <c r="J63" s="128">
        <v>3750</v>
      </c>
      <c r="K63" s="82">
        <f t="shared" si="8"/>
        <v>13847625</v>
      </c>
    </row>
    <row r="64" spans="2:13" ht="18" x14ac:dyDescent="0.3">
      <c r="B64" s="81" t="s">
        <v>1927</v>
      </c>
      <c r="C64" s="241">
        <v>3800</v>
      </c>
      <c r="D64" s="81">
        <f>3800*11850</f>
        <v>45030000</v>
      </c>
      <c r="E64" s="81">
        <v>886</v>
      </c>
      <c r="F64" s="81">
        <v>26040</v>
      </c>
      <c r="G64" s="216">
        <v>12900</v>
      </c>
      <c r="H64" s="148">
        <f t="shared" si="7"/>
        <v>13140</v>
      </c>
      <c r="I64" s="128">
        <v>3</v>
      </c>
      <c r="J64" s="128">
        <v>3300</v>
      </c>
      <c r="K64" s="82">
        <f t="shared" si="8"/>
        <v>42061140</v>
      </c>
    </row>
    <row r="65" spans="2:11" ht="18" x14ac:dyDescent="0.3">
      <c r="B65" s="81"/>
      <c r="C65" s="241"/>
      <c r="D65" s="81"/>
      <c r="E65" s="81">
        <v>773</v>
      </c>
      <c r="F65" s="81">
        <v>28730</v>
      </c>
      <c r="G65" s="81">
        <v>14730</v>
      </c>
      <c r="H65" s="148">
        <f t="shared" si="7"/>
        <v>14000</v>
      </c>
      <c r="I65" s="128">
        <v>3</v>
      </c>
      <c r="J65" s="128">
        <v>3600</v>
      </c>
      <c r="K65" s="82">
        <f t="shared" si="8"/>
        <v>48888000</v>
      </c>
    </row>
    <row r="66" spans="2:11" ht="18" x14ac:dyDescent="0.3">
      <c r="B66" s="81"/>
      <c r="C66" s="241"/>
      <c r="D66" s="81"/>
      <c r="E66" s="81">
        <v>267</v>
      </c>
      <c r="F66" s="81">
        <v>17450</v>
      </c>
      <c r="G66" s="81">
        <v>8370</v>
      </c>
      <c r="H66" s="148">
        <f t="shared" si="7"/>
        <v>9080</v>
      </c>
      <c r="I66" s="128">
        <v>3</v>
      </c>
      <c r="J66" s="128">
        <v>3600</v>
      </c>
      <c r="K66" s="82">
        <f t="shared" si="8"/>
        <v>31707360</v>
      </c>
    </row>
    <row r="67" spans="2:11" ht="18" x14ac:dyDescent="0.3">
      <c r="B67" s="81" t="s">
        <v>1939</v>
      </c>
      <c r="C67" s="241">
        <v>6000</v>
      </c>
      <c r="D67" s="81">
        <f>6000*11850</f>
        <v>71100000</v>
      </c>
      <c r="E67" s="81"/>
      <c r="F67" s="81"/>
      <c r="G67" s="81"/>
      <c r="H67" s="148">
        <f t="shared" si="7"/>
        <v>0</v>
      </c>
      <c r="I67" s="128"/>
      <c r="J67" s="128"/>
      <c r="K67" s="82">
        <f t="shared" si="8"/>
        <v>0</v>
      </c>
    </row>
    <row r="68" spans="2:11" ht="18" x14ac:dyDescent="0.3">
      <c r="B68" s="81"/>
      <c r="C68" s="241"/>
      <c r="D68" s="81"/>
      <c r="E68" s="81"/>
      <c r="F68" s="81"/>
      <c r="G68" s="81"/>
      <c r="H68" s="148">
        <f t="shared" ref="H68:H106" si="9">+F68-G68</f>
        <v>0</v>
      </c>
      <c r="I68" s="128"/>
      <c r="J68" s="128"/>
      <c r="K68" s="82">
        <f t="shared" si="8"/>
        <v>0</v>
      </c>
    </row>
    <row r="69" spans="2:11" ht="18" x14ac:dyDescent="0.3">
      <c r="B69" s="81"/>
      <c r="C69" s="241"/>
      <c r="D69" s="81"/>
      <c r="E69" s="81"/>
      <c r="F69" s="81"/>
      <c r="G69" s="81"/>
      <c r="H69" s="148">
        <f t="shared" si="9"/>
        <v>0</v>
      </c>
      <c r="I69" s="128"/>
      <c r="J69" s="128"/>
      <c r="K69" s="82">
        <f t="shared" si="8"/>
        <v>0</v>
      </c>
    </row>
    <row r="70" spans="2:11" ht="18" x14ac:dyDescent="0.3">
      <c r="B70" s="81"/>
      <c r="C70" s="241"/>
      <c r="D70" s="81"/>
      <c r="E70" s="81"/>
      <c r="F70" s="81"/>
      <c r="G70" s="81"/>
      <c r="H70" s="148">
        <f t="shared" si="9"/>
        <v>0</v>
      </c>
      <c r="I70" s="128"/>
      <c r="J70" s="128"/>
      <c r="K70" s="82">
        <f t="shared" si="8"/>
        <v>0</v>
      </c>
    </row>
    <row r="71" spans="2:11" ht="18" x14ac:dyDescent="0.3">
      <c r="B71" s="81"/>
      <c r="C71" s="241"/>
      <c r="D71" s="81"/>
      <c r="E71" s="81"/>
      <c r="F71" s="81"/>
      <c r="G71" s="81"/>
      <c r="H71" s="148">
        <f t="shared" si="9"/>
        <v>0</v>
      </c>
      <c r="I71" s="128"/>
      <c r="J71" s="128"/>
      <c r="K71" s="82">
        <f t="shared" si="8"/>
        <v>0</v>
      </c>
    </row>
    <row r="72" spans="2:11" ht="18" x14ac:dyDescent="0.3">
      <c r="B72" s="81"/>
      <c r="C72" s="241"/>
      <c r="D72" s="81"/>
      <c r="E72" s="81"/>
      <c r="F72" s="81"/>
      <c r="G72" s="81"/>
      <c r="H72" s="148">
        <f t="shared" si="9"/>
        <v>0</v>
      </c>
      <c r="I72" s="128"/>
      <c r="J72" s="128"/>
      <c r="K72" s="82">
        <f t="shared" si="8"/>
        <v>0</v>
      </c>
    </row>
    <row r="73" spans="2:11" ht="18" x14ac:dyDescent="0.3">
      <c r="B73" s="81"/>
      <c r="C73" s="241"/>
      <c r="D73" s="81"/>
      <c r="E73" s="81"/>
      <c r="F73" s="81"/>
      <c r="G73" s="81"/>
      <c r="H73" s="148">
        <f t="shared" si="9"/>
        <v>0</v>
      </c>
      <c r="I73" s="128"/>
      <c r="J73" s="128"/>
      <c r="K73" s="82">
        <f t="shared" si="8"/>
        <v>0</v>
      </c>
    </row>
    <row r="74" spans="2:11" ht="18" x14ac:dyDescent="0.3">
      <c r="B74" s="81"/>
      <c r="C74" s="241"/>
      <c r="D74" s="81"/>
      <c r="E74" s="81"/>
      <c r="F74" s="81"/>
      <c r="G74" s="81"/>
      <c r="H74" s="148">
        <f t="shared" si="9"/>
        <v>0</v>
      </c>
      <c r="I74" s="128"/>
      <c r="J74" s="128"/>
      <c r="K74" s="82">
        <f t="shared" si="8"/>
        <v>0</v>
      </c>
    </row>
    <row r="75" spans="2:11" ht="18" x14ac:dyDescent="0.3">
      <c r="B75" s="81"/>
      <c r="C75" s="241"/>
      <c r="D75" s="81"/>
      <c r="E75" s="81"/>
      <c r="F75" s="81"/>
      <c r="G75" s="81"/>
      <c r="H75" s="148">
        <f t="shared" si="9"/>
        <v>0</v>
      </c>
      <c r="I75" s="128"/>
      <c r="J75" s="128"/>
      <c r="K75" s="82">
        <f t="shared" si="8"/>
        <v>0</v>
      </c>
    </row>
    <row r="76" spans="2:11" ht="18" x14ac:dyDescent="0.3">
      <c r="B76" s="81"/>
      <c r="C76" s="241"/>
      <c r="D76" s="81"/>
      <c r="E76" s="81"/>
      <c r="F76" s="81"/>
      <c r="G76" s="81"/>
      <c r="H76" s="148">
        <f t="shared" si="9"/>
        <v>0</v>
      </c>
      <c r="I76" s="128"/>
      <c r="J76" s="128"/>
      <c r="K76" s="82">
        <f t="shared" si="8"/>
        <v>0</v>
      </c>
    </row>
    <row r="77" spans="2:11" ht="18" x14ac:dyDescent="0.3">
      <c r="B77" s="81"/>
      <c r="C77" s="241"/>
      <c r="D77" s="81"/>
      <c r="E77" s="81"/>
      <c r="F77" s="81"/>
      <c r="G77" s="81"/>
      <c r="H77" s="148">
        <f t="shared" si="9"/>
        <v>0</v>
      </c>
      <c r="I77" s="128"/>
      <c r="J77" s="128"/>
      <c r="K77" s="82">
        <f t="shared" si="8"/>
        <v>0</v>
      </c>
    </row>
    <row r="78" spans="2:11" ht="18" x14ac:dyDescent="0.3">
      <c r="B78" s="81"/>
      <c r="C78" s="241"/>
      <c r="D78" s="81"/>
      <c r="E78" s="81"/>
      <c r="F78" s="81"/>
      <c r="G78" s="81"/>
      <c r="H78" s="148">
        <f t="shared" si="9"/>
        <v>0</v>
      </c>
      <c r="I78" s="128"/>
      <c r="J78" s="128"/>
      <c r="K78" s="82">
        <f t="shared" si="8"/>
        <v>0</v>
      </c>
    </row>
    <row r="79" spans="2:11" ht="18" x14ac:dyDescent="0.3">
      <c r="B79" s="81"/>
      <c r="C79" s="241"/>
      <c r="D79" s="81"/>
      <c r="E79" s="81"/>
      <c r="F79" s="81"/>
      <c r="G79" s="81"/>
      <c r="H79" s="148">
        <f t="shared" si="9"/>
        <v>0</v>
      </c>
      <c r="I79" s="128"/>
      <c r="J79" s="128"/>
      <c r="K79" s="82">
        <f t="shared" si="8"/>
        <v>0</v>
      </c>
    </row>
    <row r="80" spans="2:11" ht="18" x14ac:dyDescent="0.3">
      <c r="B80" s="81"/>
      <c r="C80" s="241"/>
      <c r="D80" s="81"/>
      <c r="E80" s="81"/>
      <c r="F80" s="81"/>
      <c r="G80" s="81"/>
      <c r="H80" s="148">
        <f t="shared" si="9"/>
        <v>0</v>
      </c>
      <c r="I80" s="128"/>
      <c r="J80" s="128"/>
      <c r="K80" s="82">
        <f t="shared" si="8"/>
        <v>0</v>
      </c>
    </row>
    <row r="81" spans="2:11" ht="18" x14ac:dyDescent="0.3">
      <c r="B81" s="81"/>
      <c r="C81" s="241"/>
      <c r="D81" s="81"/>
      <c r="E81" s="81"/>
      <c r="F81" s="81"/>
      <c r="G81" s="81"/>
      <c r="H81" s="148">
        <f t="shared" si="9"/>
        <v>0</v>
      </c>
      <c r="I81" s="128"/>
      <c r="J81" s="128"/>
      <c r="K81" s="82">
        <f t="shared" si="8"/>
        <v>0</v>
      </c>
    </row>
    <row r="82" spans="2:11" ht="18" x14ac:dyDescent="0.3">
      <c r="B82" s="81"/>
      <c r="C82" s="241"/>
      <c r="D82" s="81"/>
      <c r="E82" s="81"/>
      <c r="F82" s="81"/>
      <c r="G82" s="81"/>
      <c r="H82" s="148">
        <f t="shared" si="9"/>
        <v>0</v>
      </c>
      <c r="I82" s="128"/>
      <c r="J82" s="128"/>
      <c r="K82" s="82">
        <f t="shared" si="8"/>
        <v>0</v>
      </c>
    </row>
    <row r="83" spans="2:11" ht="18" x14ac:dyDescent="0.3">
      <c r="B83" s="81"/>
      <c r="C83" s="241"/>
      <c r="D83" s="81"/>
      <c r="E83" s="81"/>
      <c r="F83" s="81"/>
      <c r="G83" s="81"/>
      <c r="H83" s="148">
        <f t="shared" si="9"/>
        <v>0</v>
      </c>
      <c r="I83" s="128"/>
      <c r="J83" s="128"/>
      <c r="K83" s="82">
        <f t="shared" si="8"/>
        <v>0</v>
      </c>
    </row>
    <row r="84" spans="2:11" ht="18" x14ac:dyDescent="0.3">
      <c r="B84" s="81"/>
      <c r="C84" s="241"/>
      <c r="D84" s="81"/>
      <c r="E84" s="81"/>
      <c r="F84" s="81"/>
      <c r="G84" s="81"/>
      <c r="H84" s="148">
        <f t="shared" si="9"/>
        <v>0</v>
      </c>
      <c r="I84" s="128"/>
      <c r="J84" s="128"/>
      <c r="K84" s="82">
        <f t="shared" si="8"/>
        <v>0</v>
      </c>
    </row>
    <row r="85" spans="2:11" ht="18" x14ac:dyDescent="0.3">
      <c r="B85" s="81"/>
      <c r="C85" s="241"/>
      <c r="D85" s="81"/>
      <c r="E85" s="81"/>
      <c r="F85" s="81"/>
      <c r="G85" s="81"/>
      <c r="H85" s="148">
        <f t="shared" si="9"/>
        <v>0</v>
      </c>
      <c r="I85" s="128"/>
      <c r="J85" s="128"/>
      <c r="K85" s="82">
        <f t="shared" si="8"/>
        <v>0</v>
      </c>
    </row>
    <row r="86" spans="2:11" ht="18" x14ac:dyDescent="0.3">
      <c r="B86" s="81"/>
      <c r="C86" s="241"/>
      <c r="D86" s="81"/>
      <c r="E86" s="81"/>
      <c r="F86" s="81"/>
      <c r="G86" s="81"/>
      <c r="H86" s="148">
        <f t="shared" si="9"/>
        <v>0</v>
      </c>
      <c r="I86" s="128"/>
      <c r="J86" s="128"/>
      <c r="K86" s="82">
        <f t="shared" si="8"/>
        <v>0</v>
      </c>
    </row>
    <row r="87" spans="2:11" ht="18" x14ac:dyDescent="0.3">
      <c r="B87" s="81"/>
      <c r="C87" s="241"/>
      <c r="D87" s="81"/>
      <c r="E87" s="81"/>
      <c r="F87" s="81"/>
      <c r="G87" s="81"/>
      <c r="H87" s="148">
        <f t="shared" si="9"/>
        <v>0</v>
      </c>
      <c r="I87" s="128"/>
      <c r="J87" s="128"/>
      <c r="K87" s="82">
        <f t="shared" si="8"/>
        <v>0</v>
      </c>
    </row>
    <row r="88" spans="2:11" ht="18" x14ac:dyDescent="0.3">
      <c r="B88" s="81"/>
      <c r="C88" s="241"/>
      <c r="D88" s="81"/>
      <c r="E88" s="81"/>
      <c r="F88" s="81"/>
      <c r="G88" s="81"/>
      <c r="H88" s="148">
        <f t="shared" si="9"/>
        <v>0</v>
      </c>
      <c r="I88" s="128"/>
      <c r="J88" s="128"/>
      <c r="K88" s="82">
        <f t="shared" ref="K88" si="10">+(H88-H88*I88/100)*J88</f>
        <v>0</v>
      </c>
    </row>
    <row r="89" spans="2:11" ht="18" x14ac:dyDescent="0.3">
      <c r="B89" s="81"/>
      <c r="C89" s="241"/>
      <c r="D89" s="81"/>
      <c r="E89" s="81"/>
      <c r="F89" s="81"/>
      <c r="G89" s="81"/>
      <c r="H89" s="148">
        <f t="shared" si="9"/>
        <v>0</v>
      </c>
      <c r="I89" s="128"/>
      <c r="J89" s="128"/>
      <c r="K89" s="82">
        <f t="shared" si="8"/>
        <v>0</v>
      </c>
    </row>
    <row r="90" spans="2:11" ht="18" x14ac:dyDescent="0.3">
      <c r="B90" s="81"/>
      <c r="C90" s="241"/>
      <c r="D90" s="81"/>
      <c r="E90" s="81"/>
      <c r="F90" s="81"/>
      <c r="G90" s="81"/>
      <c r="H90" s="148">
        <f t="shared" si="9"/>
        <v>0</v>
      </c>
      <c r="I90" s="128"/>
      <c r="J90" s="128"/>
      <c r="K90" s="82">
        <f t="shared" si="8"/>
        <v>0</v>
      </c>
    </row>
    <row r="91" spans="2:11" ht="18" x14ac:dyDescent="0.3">
      <c r="B91" s="81"/>
      <c r="C91" s="241"/>
      <c r="D91" s="81"/>
      <c r="E91" s="81"/>
      <c r="F91" s="81"/>
      <c r="G91" s="81"/>
      <c r="H91" s="148">
        <f t="shared" si="9"/>
        <v>0</v>
      </c>
      <c r="I91" s="128"/>
      <c r="J91" s="128"/>
      <c r="K91" s="82">
        <f t="shared" si="8"/>
        <v>0</v>
      </c>
    </row>
    <row r="92" spans="2:11" ht="18" x14ac:dyDescent="0.3">
      <c r="B92" s="81"/>
      <c r="C92" s="241"/>
      <c r="D92" s="81"/>
      <c r="E92" s="81"/>
      <c r="F92" s="81"/>
      <c r="G92" s="81"/>
      <c r="H92" s="148">
        <f t="shared" si="9"/>
        <v>0</v>
      </c>
      <c r="I92" s="128"/>
      <c r="J92" s="128"/>
      <c r="K92" s="82">
        <f t="shared" si="8"/>
        <v>0</v>
      </c>
    </row>
    <row r="93" spans="2:11" ht="18" x14ac:dyDescent="0.3">
      <c r="B93" s="81"/>
      <c r="C93" s="241"/>
      <c r="D93" s="81"/>
      <c r="E93" s="81"/>
      <c r="F93" s="81"/>
      <c r="G93" s="81"/>
      <c r="H93" s="148">
        <f t="shared" si="9"/>
        <v>0</v>
      </c>
      <c r="I93" s="128"/>
      <c r="J93" s="128"/>
      <c r="K93" s="82">
        <f t="shared" si="8"/>
        <v>0</v>
      </c>
    </row>
    <row r="94" spans="2:11" ht="18" x14ac:dyDescent="0.3">
      <c r="B94" s="81"/>
      <c r="C94" s="241"/>
      <c r="D94" s="81"/>
      <c r="E94" s="81"/>
      <c r="F94" s="81"/>
      <c r="G94" s="81"/>
      <c r="H94" s="148">
        <f t="shared" si="9"/>
        <v>0</v>
      </c>
      <c r="I94" s="128"/>
      <c r="J94" s="128"/>
      <c r="K94" s="82">
        <f t="shared" si="8"/>
        <v>0</v>
      </c>
    </row>
    <row r="95" spans="2:11" ht="18" x14ac:dyDescent="0.3">
      <c r="B95" s="81"/>
      <c r="C95" s="241"/>
      <c r="D95" s="81"/>
      <c r="E95" s="81"/>
      <c r="F95" s="81"/>
      <c r="G95" s="81"/>
      <c r="H95" s="148">
        <f t="shared" si="9"/>
        <v>0</v>
      </c>
      <c r="I95" s="128"/>
      <c r="J95" s="128"/>
      <c r="K95" s="82">
        <f t="shared" si="8"/>
        <v>0</v>
      </c>
    </row>
    <row r="96" spans="2:11" ht="18" x14ac:dyDescent="0.3">
      <c r="B96" s="81"/>
      <c r="C96" s="241"/>
      <c r="D96" s="81"/>
      <c r="E96" s="81"/>
      <c r="F96" s="81"/>
      <c r="G96" s="81"/>
      <c r="H96" s="148">
        <f t="shared" si="9"/>
        <v>0</v>
      </c>
      <c r="I96" s="128"/>
      <c r="J96" s="128"/>
      <c r="K96" s="82">
        <f t="shared" si="8"/>
        <v>0</v>
      </c>
    </row>
    <row r="97" spans="2:13" ht="18" x14ac:dyDescent="0.3">
      <c r="B97" s="81"/>
      <c r="C97" s="241"/>
      <c r="D97" s="81"/>
      <c r="E97" s="81"/>
      <c r="F97" s="81"/>
      <c r="G97" s="81"/>
      <c r="H97" s="148">
        <f t="shared" si="9"/>
        <v>0</v>
      </c>
      <c r="I97" s="128"/>
      <c r="J97" s="128"/>
      <c r="K97" s="82">
        <f t="shared" si="8"/>
        <v>0</v>
      </c>
    </row>
    <row r="98" spans="2:13" ht="18" x14ac:dyDescent="0.3">
      <c r="B98" s="81"/>
      <c r="C98" s="241"/>
      <c r="D98" s="81"/>
      <c r="E98" s="81"/>
      <c r="F98" s="81"/>
      <c r="G98" s="81"/>
      <c r="H98" s="148">
        <f t="shared" si="9"/>
        <v>0</v>
      </c>
      <c r="I98" s="128"/>
      <c r="J98" s="128"/>
      <c r="K98" s="82">
        <f t="shared" si="8"/>
        <v>0</v>
      </c>
    </row>
    <row r="99" spans="2:13" ht="18" x14ac:dyDescent="0.3">
      <c r="B99" s="81"/>
      <c r="C99" s="241"/>
      <c r="D99" s="81"/>
      <c r="E99" s="81"/>
      <c r="F99" s="81"/>
      <c r="G99" s="81"/>
      <c r="H99" s="148">
        <f t="shared" si="9"/>
        <v>0</v>
      </c>
      <c r="I99" s="128"/>
      <c r="J99" s="128"/>
      <c r="K99" s="82">
        <f t="shared" si="8"/>
        <v>0</v>
      </c>
    </row>
    <row r="100" spans="2:13" ht="18" x14ac:dyDescent="0.3">
      <c r="B100" s="81"/>
      <c r="C100" s="241"/>
      <c r="D100" s="81"/>
      <c r="E100" s="81"/>
      <c r="F100" s="81"/>
      <c r="G100" s="81"/>
      <c r="H100" s="148">
        <f t="shared" si="9"/>
        <v>0</v>
      </c>
      <c r="I100" s="128"/>
      <c r="J100" s="128"/>
      <c r="K100" s="82">
        <f t="shared" si="8"/>
        <v>0</v>
      </c>
    </row>
    <row r="101" spans="2:13" ht="18" x14ac:dyDescent="0.3">
      <c r="B101" s="81"/>
      <c r="C101" s="241"/>
      <c r="D101" s="81"/>
      <c r="E101" s="81"/>
      <c r="F101" s="81"/>
      <c r="G101" s="81"/>
      <c r="H101" s="148">
        <f t="shared" si="9"/>
        <v>0</v>
      </c>
      <c r="I101" s="128"/>
      <c r="J101" s="128"/>
      <c r="K101" s="82">
        <f t="shared" si="8"/>
        <v>0</v>
      </c>
    </row>
    <row r="102" spans="2:13" ht="18" x14ac:dyDescent="0.3">
      <c r="B102" s="81"/>
      <c r="C102" s="241"/>
      <c r="D102" s="81"/>
      <c r="E102" s="81"/>
      <c r="F102" s="81"/>
      <c r="G102" s="81"/>
      <c r="H102" s="148">
        <f t="shared" si="9"/>
        <v>0</v>
      </c>
      <c r="I102" s="128"/>
      <c r="J102" s="128"/>
      <c r="K102" s="82">
        <f t="shared" si="8"/>
        <v>0</v>
      </c>
    </row>
    <row r="103" spans="2:13" ht="18" x14ac:dyDescent="0.3">
      <c r="B103" s="81"/>
      <c r="C103" s="241"/>
      <c r="D103" s="81"/>
      <c r="E103" s="81"/>
      <c r="F103" s="81"/>
      <c r="G103" s="81"/>
      <c r="H103" s="148">
        <f t="shared" si="9"/>
        <v>0</v>
      </c>
      <c r="I103" s="128"/>
      <c r="J103" s="128"/>
      <c r="K103" s="82">
        <f t="shared" si="8"/>
        <v>0</v>
      </c>
    </row>
    <row r="104" spans="2:13" ht="18" x14ac:dyDescent="0.3">
      <c r="B104" s="81"/>
      <c r="C104" s="241"/>
      <c r="D104" s="81"/>
      <c r="E104" s="81"/>
      <c r="F104" s="81"/>
      <c r="G104" s="81"/>
      <c r="H104" s="148">
        <f t="shared" si="9"/>
        <v>0</v>
      </c>
      <c r="I104" s="128"/>
      <c r="J104" s="128"/>
      <c r="K104" s="82">
        <f t="shared" si="8"/>
        <v>0</v>
      </c>
    </row>
    <row r="105" spans="2:13" ht="18" x14ac:dyDescent="0.3">
      <c r="B105" s="81"/>
      <c r="C105" s="241"/>
      <c r="D105" s="81"/>
      <c r="E105" s="81"/>
      <c r="F105" s="81"/>
      <c r="G105" s="81"/>
      <c r="H105" s="148">
        <f t="shared" si="9"/>
        <v>0</v>
      </c>
      <c r="I105" s="128"/>
      <c r="J105" s="128"/>
      <c r="K105" s="82">
        <f t="shared" si="8"/>
        <v>0</v>
      </c>
    </row>
    <row r="106" spans="2:13" ht="18" x14ac:dyDescent="0.3">
      <c r="B106" s="81"/>
      <c r="C106" s="241"/>
      <c r="D106" s="81"/>
      <c r="E106" s="81"/>
      <c r="F106" s="81"/>
      <c r="G106" s="81"/>
      <c r="H106" s="148">
        <f t="shared" si="9"/>
        <v>0</v>
      </c>
      <c r="I106" s="128"/>
      <c r="J106" s="128"/>
      <c r="K106" s="82">
        <f t="shared" si="8"/>
        <v>0</v>
      </c>
    </row>
    <row r="107" spans="2:13" ht="18" x14ac:dyDescent="0.3">
      <c r="B107" s="81"/>
      <c r="C107" s="241"/>
      <c r="D107" s="81"/>
      <c r="E107" s="81"/>
      <c r="F107" s="81"/>
      <c r="G107" s="81"/>
      <c r="H107" s="148">
        <f t="shared" ref="H107" si="11">+F107-G107</f>
        <v>0</v>
      </c>
      <c r="I107" s="128"/>
      <c r="J107" s="128"/>
      <c r="K107" s="82">
        <f t="shared" ref="K107" si="12">+(H107-H107*I107/100)*J107</f>
        <v>0</v>
      </c>
    </row>
    <row r="108" spans="2:13" x14ac:dyDescent="0.3">
      <c r="H108" s="129"/>
    </row>
    <row r="109" spans="2:13" x14ac:dyDescent="0.3">
      <c r="H109" s="129"/>
    </row>
    <row r="110" spans="2:13" ht="36" x14ac:dyDescent="0.3">
      <c r="B110" s="122" t="s">
        <v>886</v>
      </c>
      <c r="C110" s="238" t="s">
        <v>223</v>
      </c>
      <c r="D110" s="122" t="s">
        <v>5</v>
      </c>
      <c r="E110" s="122" t="s">
        <v>220</v>
      </c>
      <c r="F110" s="122" t="s">
        <v>59</v>
      </c>
      <c r="G110" s="122" t="s">
        <v>61</v>
      </c>
      <c r="H110" s="147" t="s">
        <v>221</v>
      </c>
      <c r="I110" s="125" t="s">
        <v>222</v>
      </c>
      <c r="J110" s="125" t="s">
        <v>63</v>
      </c>
      <c r="K110" s="123" t="s">
        <v>1884</v>
      </c>
      <c r="L110" s="124"/>
      <c r="M110" s="124"/>
    </row>
    <row r="111" spans="2:13" ht="18" x14ac:dyDescent="0.3">
      <c r="B111" s="121"/>
      <c r="C111" s="239"/>
      <c r="D111" s="121">
        <f>+SUM(D112:D130)</f>
        <v>10000000</v>
      </c>
      <c r="E111" s="121"/>
      <c r="F111" s="121"/>
      <c r="G111" s="121"/>
      <c r="H111" s="121">
        <f>+SUM(H112:H130)</f>
        <v>0</v>
      </c>
      <c r="I111" s="126"/>
      <c r="J111" s="126"/>
      <c r="K111" s="121">
        <f>+SUM(K112:K130)</f>
        <v>0</v>
      </c>
      <c r="L111" s="118" t="s">
        <v>22</v>
      </c>
      <c r="M111" s="117">
        <f>+D111</f>
        <v>10000000</v>
      </c>
    </row>
    <row r="112" spans="2:13" ht="18" x14ac:dyDescent="0.3">
      <c r="B112" s="26" t="s">
        <v>1880</v>
      </c>
      <c r="C112" s="240">
        <v>844</v>
      </c>
      <c r="D112" s="26">
        <v>10000000</v>
      </c>
      <c r="E112" s="26"/>
      <c r="F112" s="26"/>
      <c r="G112" s="26"/>
      <c r="H112" s="149">
        <f t="shared" ref="H112:H127" si="13">+F112-G112</f>
        <v>0</v>
      </c>
      <c r="I112" s="127"/>
      <c r="J112" s="127"/>
      <c r="K112" s="82">
        <f t="shared" ref="K112:K128" si="14">+(H112-H112*I112/100)*J112</f>
        <v>0</v>
      </c>
      <c r="L112" s="118" t="str">
        <f>+K110</f>
        <v xml:space="preserve">сает </v>
      </c>
      <c r="M112" s="119">
        <f>+K111</f>
        <v>0</v>
      </c>
    </row>
    <row r="113" spans="2:13" ht="18" x14ac:dyDescent="0.3">
      <c r="B113" s="81"/>
      <c r="C113" s="241"/>
      <c r="D113" s="81"/>
      <c r="E113" s="81"/>
      <c r="F113" s="81"/>
      <c r="G113" s="81"/>
      <c r="H113" s="149">
        <f t="shared" si="13"/>
        <v>0</v>
      </c>
      <c r="I113" s="128"/>
      <c r="J113" s="128"/>
      <c r="K113" s="82">
        <f t="shared" si="14"/>
        <v>0</v>
      </c>
      <c r="L113" s="118" t="s">
        <v>57</v>
      </c>
      <c r="M113" s="120">
        <f>+M111-M112</f>
        <v>10000000</v>
      </c>
    </row>
    <row r="114" spans="2:13" ht="18" x14ac:dyDescent="0.3">
      <c r="B114" s="81"/>
      <c r="C114" s="241"/>
      <c r="D114" s="81"/>
      <c r="E114" s="81"/>
      <c r="F114" s="81"/>
      <c r="G114" s="81"/>
      <c r="H114" s="149">
        <f t="shared" si="13"/>
        <v>0</v>
      </c>
      <c r="I114" s="128"/>
      <c r="J114" s="128"/>
      <c r="K114" s="82">
        <f t="shared" si="14"/>
        <v>0</v>
      </c>
      <c r="L114" s="216"/>
      <c r="M114"/>
    </row>
    <row r="115" spans="2:13" ht="18" x14ac:dyDescent="0.3">
      <c r="B115" s="26"/>
      <c r="C115" s="241"/>
      <c r="D115" s="81"/>
      <c r="E115" s="81"/>
      <c r="F115" s="81"/>
      <c r="G115" s="81"/>
      <c r="H115" s="149">
        <f t="shared" si="13"/>
        <v>0</v>
      </c>
      <c r="I115" s="128"/>
      <c r="J115" s="128"/>
      <c r="K115" s="82">
        <f t="shared" si="14"/>
        <v>0</v>
      </c>
      <c r="L115"/>
      <c r="M115"/>
    </row>
    <row r="116" spans="2:13" ht="18" x14ac:dyDescent="0.3">
      <c r="B116" s="81"/>
      <c r="C116" s="241"/>
      <c r="D116" s="81"/>
      <c r="E116" s="81"/>
      <c r="F116" s="81"/>
      <c r="G116" s="81"/>
      <c r="H116" s="149">
        <f t="shared" si="13"/>
        <v>0</v>
      </c>
      <c r="I116" s="128"/>
      <c r="J116" s="128"/>
      <c r="K116" s="82">
        <f t="shared" si="14"/>
        <v>0</v>
      </c>
      <c r="L116"/>
      <c r="M116"/>
    </row>
    <row r="117" spans="2:13" ht="18" x14ac:dyDescent="0.3">
      <c r="B117" s="81"/>
      <c r="C117" s="241"/>
      <c r="D117" s="81"/>
      <c r="E117" s="81"/>
      <c r="F117" s="81"/>
      <c r="G117" s="81"/>
      <c r="H117" s="149">
        <f t="shared" si="13"/>
        <v>0</v>
      </c>
      <c r="I117" s="128"/>
      <c r="J117" s="128"/>
      <c r="K117" s="82">
        <f t="shared" si="14"/>
        <v>0</v>
      </c>
      <c r="L117"/>
      <c r="M117"/>
    </row>
    <row r="118" spans="2:13" ht="18" x14ac:dyDescent="0.3">
      <c r="B118" s="81"/>
      <c r="C118" s="241"/>
      <c r="D118" s="81"/>
      <c r="E118" s="81"/>
      <c r="F118" s="81"/>
      <c r="G118" s="81"/>
      <c r="H118" s="149">
        <f t="shared" si="13"/>
        <v>0</v>
      </c>
      <c r="I118" s="128"/>
      <c r="J118" s="128"/>
      <c r="K118" s="82">
        <f t="shared" si="14"/>
        <v>0</v>
      </c>
      <c r="L118"/>
      <c r="M118"/>
    </row>
    <row r="119" spans="2:13" ht="18" x14ac:dyDescent="0.3">
      <c r="B119" s="81"/>
      <c r="C119" s="241"/>
      <c r="D119" s="81"/>
      <c r="E119" s="81"/>
      <c r="F119" s="81"/>
      <c r="G119" s="81"/>
      <c r="H119" s="149">
        <f t="shared" si="13"/>
        <v>0</v>
      </c>
      <c r="I119" s="128"/>
      <c r="J119" s="128"/>
      <c r="K119" s="82">
        <f t="shared" si="14"/>
        <v>0</v>
      </c>
      <c r="L119"/>
      <c r="M119"/>
    </row>
    <row r="120" spans="2:13" ht="18" x14ac:dyDescent="0.3">
      <c r="B120" s="81"/>
      <c r="C120" s="241"/>
      <c r="D120" s="81"/>
      <c r="E120" s="81"/>
      <c r="F120" s="81"/>
      <c r="G120" s="81"/>
      <c r="H120" s="149">
        <f t="shared" si="13"/>
        <v>0</v>
      </c>
      <c r="I120" s="128"/>
      <c r="J120" s="128"/>
      <c r="K120" s="82">
        <f t="shared" si="14"/>
        <v>0</v>
      </c>
      <c r="L120"/>
      <c r="M120"/>
    </row>
    <row r="121" spans="2:13" ht="18" x14ac:dyDescent="0.3">
      <c r="B121" s="81"/>
      <c r="C121" s="241"/>
      <c r="D121" s="81"/>
      <c r="E121" s="81"/>
      <c r="F121" s="81"/>
      <c r="G121" s="81"/>
      <c r="H121" s="149">
        <f t="shared" si="13"/>
        <v>0</v>
      </c>
      <c r="I121" s="128"/>
      <c r="J121" s="128"/>
      <c r="K121" s="82">
        <f t="shared" si="14"/>
        <v>0</v>
      </c>
      <c r="L121"/>
      <c r="M121"/>
    </row>
    <row r="122" spans="2:13" ht="18" x14ac:dyDescent="0.3">
      <c r="B122" s="81"/>
      <c r="C122" s="241"/>
      <c r="D122" s="81"/>
      <c r="E122" s="81"/>
      <c r="F122" s="81"/>
      <c r="G122" s="81"/>
      <c r="H122" s="149">
        <f t="shared" si="13"/>
        <v>0</v>
      </c>
      <c r="I122" s="128"/>
      <c r="J122" s="128"/>
      <c r="K122" s="82">
        <f t="shared" si="14"/>
        <v>0</v>
      </c>
      <c r="L122"/>
      <c r="M122"/>
    </row>
    <row r="123" spans="2:13" ht="18" x14ac:dyDescent="0.3">
      <c r="B123" s="81"/>
      <c r="C123" s="241"/>
      <c r="D123" s="81"/>
      <c r="E123" s="81"/>
      <c r="F123" s="81"/>
      <c r="G123" s="81"/>
      <c r="H123" s="149">
        <f t="shared" si="13"/>
        <v>0</v>
      </c>
      <c r="I123" s="128"/>
      <c r="J123" s="128"/>
      <c r="K123" s="82">
        <f t="shared" si="14"/>
        <v>0</v>
      </c>
      <c r="L123"/>
      <c r="M123"/>
    </row>
    <row r="124" spans="2:13" ht="18" x14ac:dyDescent="0.3">
      <c r="B124" s="81"/>
      <c r="C124" s="242"/>
      <c r="D124" s="216"/>
      <c r="E124" s="81"/>
      <c r="F124" s="81"/>
      <c r="G124" s="81"/>
      <c r="H124" s="149">
        <f t="shared" si="13"/>
        <v>0</v>
      </c>
      <c r="I124" s="128"/>
      <c r="J124" s="128"/>
      <c r="K124" s="82">
        <f t="shared" si="14"/>
        <v>0</v>
      </c>
      <c r="L124"/>
      <c r="M124"/>
    </row>
    <row r="125" spans="2:13" ht="18" x14ac:dyDescent="0.3">
      <c r="B125" s="81"/>
      <c r="C125" s="242"/>
      <c r="D125" s="216"/>
      <c r="E125" s="81"/>
      <c r="F125" s="81"/>
      <c r="G125" s="81"/>
      <c r="H125" s="149">
        <f t="shared" si="13"/>
        <v>0</v>
      </c>
      <c r="I125" s="128"/>
      <c r="J125" s="128"/>
      <c r="K125" s="82">
        <f t="shared" si="14"/>
        <v>0</v>
      </c>
      <c r="L125"/>
      <c r="M125"/>
    </row>
    <row r="126" spans="2:13" ht="18" x14ac:dyDescent="0.3">
      <c r="B126" s="81"/>
      <c r="C126" s="241"/>
      <c r="D126" s="81"/>
      <c r="E126" s="81"/>
      <c r="F126" s="81"/>
      <c r="G126" s="81"/>
      <c r="H126" s="149">
        <f t="shared" si="13"/>
        <v>0</v>
      </c>
      <c r="I126" s="128"/>
      <c r="J126" s="128"/>
      <c r="K126" s="82">
        <f t="shared" si="14"/>
        <v>0</v>
      </c>
      <c r="L126"/>
      <c r="M126"/>
    </row>
    <row r="127" spans="2:13" ht="18" x14ac:dyDescent="0.3">
      <c r="B127" s="81"/>
      <c r="C127" s="241"/>
      <c r="D127" s="81"/>
      <c r="E127" s="81"/>
      <c r="F127" s="81"/>
      <c r="G127" s="81"/>
      <c r="H127" s="149">
        <f t="shared" si="13"/>
        <v>0</v>
      </c>
      <c r="I127" s="128"/>
      <c r="J127" s="128"/>
      <c r="K127" s="82">
        <f t="shared" si="14"/>
        <v>0</v>
      </c>
      <c r="L127"/>
      <c r="M127"/>
    </row>
    <row r="128" spans="2:13" ht="18" x14ac:dyDescent="0.3">
      <c r="B128" s="81"/>
      <c r="C128" s="241"/>
      <c r="D128" s="81"/>
      <c r="E128" s="81"/>
      <c r="F128" s="81"/>
      <c r="G128" s="81"/>
      <c r="H128" s="149">
        <f t="shared" ref="H128:H129" si="15">+F128-G128</f>
        <v>0</v>
      </c>
      <c r="I128" s="128"/>
      <c r="J128" s="128"/>
      <c r="K128" s="82">
        <f t="shared" si="14"/>
        <v>0</v>
      </c>
      <c r="L128"/>
      <c r="M128"/>
    </row>
    <row r="129" spans="2:13" ht="18" x14ac:dyDescent="0.3">
      <c r="B129" s="81"/>
      <c r="C129" s="241"/>
      <c r="D129" s="81"/>
      <c r="E129" s="81"/>
      <c r="F129" s="81"/>
      <c r="G129" s="81"/>
      <c r="H129" s="149">
        <f t="shared" si="15"/>
        <v>0</v>
      </c>
      <c r="I129" s="128"/>
      <c r="J129" s="128"/>
      <c r="K129" s="82">
        <f t="shared" ref="K129" si="16">+(H129-H129*I129/100)*J129</f>
        <v>0</v>
      </c>
      <c r="L129"/>
      <c r="M129"/>
    </row>
    <row r="130" spans="2:13" ht="18" x14ac:dyDescent="0.3">
      <c r="B130" s="81"/>
      <c r="C130" s="241"/>
      <c r="D130" s="81"/>
      <c r="E130" s="81"/>
      <c r="F130" s="81"/>
      <c r="G130" s="81"/>
      <c r="H130" s="149">
        <f t="shared" ref="H130" si="17">+F130-G130</f>
        <v>0</v>
      </c>
      <c r="I130" s="128"/>
      <c r="J130" s="128"/>
      <c r="K130" s="82">
        <f t="shared" ref="K130" si="18">+(H130-H130*I130/100)*J130</f>
        <v>0</v>
      </c>
      <c r="L130"/>
      <c r="M130"/>
    </row>
    <row r="131" spans="2:13" x14ac:dyDescent="0.3">
      <c r="H131" s="129"/>
      <c r="L131"/>
      <c r="M131"/>
    </row>
    <row r="132" spans="2:13" x14ac:dyDescent="0.3">
      <c r="H132" s="129"/>
      <c r="L132"/>
      <c r="M132"/>
    </row>
    <row r="133" spans="2:13" x14ac:dyDescent="0.3">
      <c r="H133" s="129"/>
      <c r="L133"/>
      <c r="M133"/>
    </row>
    <row r="134" spans="2:13" ht="36" x14ac:dyDescent="0.3">
      <c r="B134" s="122" t="s">
        <v>0</v>
      </c>
      <c r="C134" s="238" t="s">
        <v>223</v>
      </c>
      <c r="D134" s="122" t="s">
        <v>5</v>
      </c>
      <c r="E134" s="122" t="s">
        <v>220</v>
      </c>
      <c r="F134" s="122" t="s">
        <v>59</v>
      </c>
      <c r="G134" s="122" t="s">
        <v>61</v>
      </c>
      <c r="H134" s="147" t="s">
        <v>221</v>
      </c>
      <c r="I134" s="125" t="s">
        <v>222</v>
      </c>
      <c r="J134" s="125" t="s">
        <v>63</v>
      </c>
      <c r="K134" s="123" t="s">
        <v>856</v>
      </c>
      <c r="L134" s="124"/>
      <c r="M134" s="124"/>
    </row>
    <row r="135" spans="2:13" ht="18" x14ac:dyDescent="0.3">
      <c r="B135" s="121"/>
      <c r="C135" s="239"/>
      <c r="D135" s="121">
        <f>+SUM(D136:D145)</f>
        <v>56734000</v>
      </c>
      <c r="E135" s="121"/>
      <c r="F135" s="121"/>
      <c r="G135" s="121"/>
      <c r="H135" s="121">
        <f>+SUM(H136:H152)</f>
        <v>6950</v>
      </c>
      <c r="I135" s="126"/>
      <c r="J135" s="126"/>
      <c r="K135" s="121">
        <f>+SUM(K136:K152)</f>
        <v>37382500</v>
      </c>
      <c r="L135" s="118" t="s">
        <v>22</v>
      </c>
      <c r="M135" s="117">
        <f>+D135</f>
        <v>56734000</v>
      </c>
    </row>
    <row r="136" spans="2:13" ht="18" x14ac:dyDescent="0.3">
      <c r="B136" s="26" t="s">
        <v>1517</v>
      </c>
      <c r="C136" s="240" t="s">
        <v>748</v>
      </c>
      <c r="D136" s="26">
        <v>6000000</v>
      </c>
      <c r="E136" s="26"/>
      <c r="F136" s="26"/>
      <c r="G136" s="26"/>
      <c r="H136" s="148">
        <f t="shared" ref="H136:H139" si="19">+F136-G136</f>
        <v>0</v>
      </c>
      <c r="I136" s="127"/>
      <c r="J136" s="127"/>
      <c r="K136" s="82">
        <f t="shared" ref="K136" si="20">+(H136-H136*I136/100)*J136</f>
        <v>0</v>
      </c>
      <c r="L136" s="118" t="str">
        <f>+K134</f>
        <v>хасан</v>
      </c>
      <c r="M136" s="119">
        <f>+K135</f>
        <v>37382500</v>
      </c>
    </row>
    <row r="137" spans="2:13" ht="18" x14ac:dyDescent="0.3">
      <c r="B137" s="81" t="s">
        <v>1690</v>
      </c>
      <c r="C137" s="241" t="s">
        <v>748</v>
      </c>
      <c r="D137" s="81">
        <v>6015000</v>
      </c>
      <c r="E137" s="81"/>
      <c r="F137" s="26"/>
      <c r="G137" s="26"/>
      <c r="H137" s="148">
        <f t="shared" si="19"/>
        <v>0</v>
      </c>
      <c r="I137" s="127"/>
      <c r="J137" s="127"/>
      <c r="K137" s="82">
        <v>9330000</v>
      </c>
      <c r="L137" s="118" t="s">
        <v>57</v>
      </c>
      <c r="M137" s="120">
        <f>+M135-M136</f>
        <v>19351500</v>
      </c>
    </row>
    <row r="138" spans="2:13" ht="18" x14ac:dyDescent="0.3">
      <c r="B138" s="81"/>
      <c r="C138" s="241"/>
      <c r="D138" s="81"/>
      <c r="E138" s="81"/>
      <c r="F138" s="26"/>
      <c r="G138" s="26"/>
      <c r="H138" s="148">
        <f t="shared" si="19"/>
        <v>0</v>
      </c>
      <c r="I138" s="127"/>
      <c r="J138" s="127"/>
      <c r="K138" s="82">
        <v>2685000</v>
      </c>
    </row>
    <row r="139" spans="2:13" ht="18" x14ac:dyDescent="0.3">
      <c r="B139" s="81" t="s">
        <v>1691</v>
      </c>
      <c r="C139" s="241" t="s">
        <v>1693</v>
      </c>
      <c r="D139" s="81">
        <v>10000000</v>
      </c>
      <c r="E139" s="81"/>
      <c r="F139" s="26"/>
      <c r="G139" s="26"/>
      <c r="H139" s="148">
        <f t="shared" si="19"/>
        <v>0</v>
      </c>
      <c r="I139" s="127"/>
      <c r="J139" s="127"/>
      <c r="K139" s="82">
        <f>+(H139-H139*I139/100)*J139</f>
        <v>0</v>
      </c>
    </row>
    <row r="140" spans="2:13" ht="18" x14ac:dyDescent="0.3">
      <c r="B140" s="81" t="s">
        <v>1696</v>
      </c>
      <c r="C140" s="241"/>
      <c r="D140" s="81"/>
      <c r="E140" s="81"/>
      <c r="F140" s="26"/>
      <c r="G140" s="26"/>
      <c r="H140" s="148">
        <v>2230</v>
      </c>
      <c r="I140" s="127"/>
      <c r="J140" s="127">
        <v>3650</v>
      </c>
      <c r="K140" s="82">
        <f t="shared" ref="K140:K144" si="21">+(H140-H140*I140/100)*J140</f>
        <v>8139500</v>
      </c>
    </row>
    <row r="141" spans="2:13" ht="18" x14ac:dyDescent="0.3">
      <c r="B141" s="81"/>
      <c r="C141" s="241"/>
      <c r="D141" s="81"/>
      <c r="E141" s="81"/>
      <c r="F141" s="26"/>
      <c r="G141" s="26"/>
      <c r="H141" s="148">
        <v>4720</v>
      </c>
      <c r="I141" s="127"/>
      <c r="J141" s="127">
        <v>3650</v>
      </c>
      <c r="K141" s="82">
        <f t="shared" si="21"/>
        <v>17228000</v>
      </c>
    </row>
    <row r="142" spans="2:13" ht="18" x14ac:dyDescent="0.3">
      <c r="B142" s="81" t="s">
        <v>1704</v>
      </c>
      <c r="C142" s="241" t="s">
        <v>1709</v>
      </c>
      <c r="D142" s="81">
        <f>1900*12010</f>
        <v>22819000</v>
      </c>
      <c r="E142" s="81"/>
      <c r="F142" s="26"/>
      <c r="G142" s="26"/>
      <c r="H142" s="148">
        <f t="shared" ref="H142:H152" si="22">+F142-G142</f>
        <v>0</v>
      </c>
      <c r="I142" s="127"/>
      <c r="J142" s="127"/>
      <c r="K142" s="82">
        <f t="shared" si="21"/>
        <v>0</v>
      </c>
    </row>
    <row r="143" spans="2:13" ht="18" x14ac:dyDescent="0.3">
      <c r="B143" s="81" t="s">
        <v>1716</v>
      </c>
      <c r="C143" s="241"/>
      <c r="D143" s="81"/>
      <c r="E143" s="81"/>
      <c r="F143" s="26"/>
      <c r="G143" s="26"/>
      <c r="H143" s="148">
        <f t="shared" si="22"/>
        <v>0</v>
      </c>
      <c r="I143" s="127"/>
      <c r="J143" s="127"/>
      <c r="K143" s="82">
        <f t="shared" si="21"/>
        <v>0</v>
      </c>
    </row>
    <row r="144" spans="2:13" ht="18" x14ac:dyDescent="0.3">
      <c r="B144" s="81" t="s">
        <v>1786</v>
      </c>
      <c r="C144" s="241" t="s">
        <v>511</v>
      </c>
      <c r="D144" s="81">
        <v>11900000</v>
      </c>
      <c r="E144" s="81"/>
      <c r="F144" s="26"/>
      <c r="G144" s="26"/>
      <c r="H144" s="148">
        <f t="shared" si="22"/>
        <v>0</v>
      </c>
      <c r="I144" s="127"/>
      <c r="J144" s="127"/>
      <c r="K144" s="82">
        <f t="shared" si="21"/>
        <v>0</v>
      </c>
    </row>
    <row r="145" spans="2:13" ht="18" x14ac:dyDescent="0.3">
      <c r="B145" s="81"/>
      <c r="C145" s="241"/>
      <c r="D145" s="81"/>
      <c r="E145" s="81"/>
      <c r="F145" s="26"/>
      <c r="G145" s="26"/>
      <c r="H145" s="148">
        <f t="shared" si="22"/>
        <v>0</v>
      </c>
      <c r="I145" s="127"/>
      <c r="J145" s="127"/>
      <c r="K145" s="82">
        <f>+(H145-H145*I145/100)*J145</f>
        <v>0</v>
      </c>
    </row>
    <row r="146" spans="2:13" ht="18" x14ac:dyDescent="0.3">
      <c r="B146" s="81"/>
      <c r="C146" s="241"/>
      <c r="D146" s="81"/>
      <c r="E146" s="81"/>
      <c r="F146" s="26"/>
      <c r="G146" s="26"/>
      <c r="H146" s="148">
        <f t="shared" si="22"/>
        <v>0</v>
      </c>
      <c r="I146" s="127"/>
      <c r="J146" s="127"/>
      <c r="K146" s="82">
        <f t="shared" ref="K146:K152" si="23">+(H146-H146*I146/100)*J146</f>
        <v>0</v>
      </c>
    </row>
    <row r="147" spans="2:13" ht="18" x14ac:dyDescent="0.3">
      <c r="B147" s="81"/>
      <c r="C147" s="241"/>
      <c r="D147" s="81"/>
      <c r="E147" s="81"/>
      <c r="F147" s="26"/>
      <c r="G147" s="26"/>
      <c r="H147" s="148">
        <f t="shared" si="22"/>
        <v>0</v>
      </c>
      <c r="I147" s="127"/>
      <c r="J147" s="127"/>
      <c r="K147" s="82">
        <f t="shared" si="23"/>
        <v>0</v>
      </c>
    </row>
    <row r="148" spans="2:13" ht="18" x14ac:dyDescent="0.3">
      <c r="B148" s="81"/>
      <c r="C148" s="241"/>
      <c r="D148" s="81"/>
      <c r="E148" s="81"/>
      <c r="F148" s="26"/>
      <c r="G148" s="26"/>
      <c r="H148" s="148">
        <f t="shared" si="22"/>
        <v>0</v>
      </c>
      <c r="I148" s="127"/>
      <c r="J148" s="127"/>
      <c r="K148" s="82">
        <f t="shared" si="23"/>
        <v>0</v>
      </c>
    </row>
    <row r="149" spans="2:13" ht="18" x14ac:dyDescent="0.3">
      <c r="B149" s="81"/>
      <c r="C149" s="241"/>
      <c r="D149" s="81"/>
      <c r="E149" s="81"/>
      <c r="F149" s="26"/>
      <c r="G149" s="26"/>
      <c r="H149" s="148">
        <f t="shared" si="22"/>
        <v>0</v>
      </c>
      <c r="I149" s="127"/>
      <c r="J149" s="127"/>
      <c r="K149" s="82">
        <f t="shared" si="23"/>
        <v>0</v>
      </c>
    </row>
    <row r="150" spans="2:13" ht="18" x14ac:dyDescent="0.3">
      <c r="B150" s="81"/>
      <c r="C150" s="241"/>
      <c r="D150" s="81"/>
      <c r="E150" s="81"/>
      <c r="F150" s="26"/>
      <c r="G150" s="26"/>
      <c r="H150" s="148">
        <f t="shared" si="22"/>
        <v>0</v>
      </c>
      <c r="I150" s="127"/>
      <c r="J150" s="127"/>
      <c r="K150" s="82">
        <f t="shared" si="23"/>
        <v>0</v>
      </c>
    </row>
    <row r="151" spans="2:13" ht="18" x14ac:dyDescent="0.3">
      <c r="B151" s="81"/>
      <c r="C151" s="241"/>
      <c r="D151" s="81"/>
      <c r="E151" s="81"/>
      <c r="F151" s="26"/>
      <c r="G151" s="26"/>
      <c r="H151" s="148">
        <f t="shared" si="22"/>
        <v>0</v>
      </c>
      <c r="I151" s="127"/>
      <c r="J151" s="127"/>
      <c r="K151" s="82">
        <f t="shared" si="23"/>
        <v>0</v>
      </c>
    </row>
    <row r="152" spans="2:13" ht="18" x14ac:dyDescent="0.3">
      <c r="B152" s="81"/>
      <c r="C152" s="241"/>
      <c r="D152" s="81"/>
      <c r="E152" s="81"/>
      <c r="F152" s="26"/>
      <c r="G152" s="26"/>
      <c r="H152" s="148">
        <f t="shared" si="22"/>
        <v>0</v>
      </c>
      <c r="I152" s="127"/>
      <c r="J152" s="127"/>
      <c r="K152" s="82">
        <f t="shared" si="23"/>
        <v>0</v>
      </c>
    </row>
    <row r="153" spans="2:13" x14ac:dyDescent="0.3">
      <c r="H153" s="129"/>
    </row>
    <row r="154" spans="2:13" x14ac:dyDescent="0.3">
      <c r="H154" s="129"/>
    </row>
    <row r="155" spans="2:13" ht="36" x14ac:dyDescent="0.3">
      <c r="B155" s="122" t="s">
        <v>0</v>
      </c>
      <c r="C155" s="238" t="s">
        <v>223</v>
      </c>
      <c r="D155" s="122" t="s">
        <v>5</v>
      </c>
      <c r="E155" s="122" t="s">
        <v>220</v>
      </c>
      <c r="F155" s="122" t="s">
        <v>59</v>
      </c>
      <c r="G155" s="122" t="s">
        <v>61</v>
      </c>
      <c r="H155" s="147" t="s">
        <v>221</v>
      </c>
      <c r="I155" s="125" t="s">
        <v>222</v>
      </c>
      <c r="J155" s="125" t="s">
        <v>63</v>
      </c>
      <c r="K155" s="123" t="s">
        <v>1349</v>
      </c>
      <c r="L155" s="124"/>
      <c r="M155" s="124"/>
    </row>
    <row r="156" spans="2:13" ht="18" x14ac:dyDescent="0.3">
      <c r="B156" s="121"/>
      <c r="C156" s="239"/>
      <c r="D156" s="121">
        <f>+SUM(D157:D166)</f>
        <v>26605000</v>
      </c>
      <c r="E156" s="121"/>
      <c r="F156" s="121"/>
      <c r="G156" s="121"/>
      <c r="H156" s="121">
        <f>+SUM(H157:H166)</f>
        <v>8765</v>
      </c>
      <c r="I156" s="126"/>
      <c r="J156" s="126"/>
      <c r="K156" s="121">
        <f>+SUM(K157:K166)</f>
        <v>30070750</v>
      </c>
      <c r="L156" s="118" t="s">
        <v>22</v>
      </c>
      <c r="M156" s="117">
        <f>+D156</f>
        <v>26605000</v>
      </c>
    </row>
    <row r="157" spans="2:13" ht="18" x14ac:dyDescent="0.3">
      <c r="B157" s="26" t="s">
        <v>1612</v>
      </c>
      <c r="C157" s="240" t="s">
        <v>1585</v>
      </c>
      <c r="D157" s="26">
        <f>700*12100</f>
        <v>8470000</v>
      </c>
      <c r="E157" s="26"/>
      <c r="F157" s="26"/>
      <c r="G157" s="26"/>
      <c r="H157" s="149">
        <f t="shared" ref="H157:H165" si="24">+F157-G157</f>
        <v>0</v>
      </c>
      <c r="I157" s="127"/>
      <c r="J157" s="127"/>
      <c r="K157" s="82">
        <f t="shared" ref="K157:K165" si="25">+(H157-H157*I157/100)*J157</f>
        <v>0</v>
      </c>
      <c r="L157" s="118" t="str">
        <f>+K155</f>
        <v>мехри вобкент</v>
      </c>
      <c r="M157" s="119">
        <f>+K156</f>
        <v>30070750</v>
      </c>
    </row>
    <row r="158" spans="2:13" ht="18" x14ac:dyDescent="0.3">
      <c r="B158" s="26" t="s">
        <v>1622</v>
      </c>
      <c r="C158" s="241" t="s">
        <v>1623</v>
      </c>
      <c r="D158" s="81">
        <f>1500*12090</f>
        <v>18135000</v>
      </c>
      <c r="E158" s="81"/>
      <c r="F158" s="81"/>
      <c r="G158" s="81"/>
      <c r="H158" s="149">
        <v>6020</v>
      </c>
      <c r="I158" s="128"/>
      <c r="J158" s="128">
        <v>3650</v>
      </c>
      <c r="K158" s="82">
        <f t="shared" si="25"/>
        <v>21973000</v>
      </c>
      <c r="L158" s="118" t="s">
        <v>57</v>
      </c>
      <c r="M158" s="120">
        <f>+M156-M157</f>
        <v>-3465750</v>
      </c>
    </row>
    <row r="159" spans="2:13" ht="18" x14ac:dyDescent="0.3">
      <c r="B159" s="81" t="s">
        <v>1642</v>
      </c>
      <c r="C159" s="241"/>
      <c r="D159" s="81"/>
      <c r="E159" s="81"/>
      <c r="F159" s="81"/>
      <c r="G159" s="81"/>
      <c r="H159" s="149">
        <v>2745</v>
      </c>
      <c r="I159" s="128"/>
      <c r="J159" s="128">
        <v>2950</v>
      </c>
      <c r="K159" s="82">
        <f t="shared" si="25"/>
        <v>8097750</v>
      </c>
    </row>
    <row r="160" spans="2:13" ht="18" x14ac:dyDescent="0.3">
      <c r="B160" s="81"/>
      <c r="C160" s="241"/>
      <c r="D160" s="81"/>
      <c r="E160" s="81"/>
      <c r="F160" s="81"/>
      <c r="G160" s="81"/>
      <c r="H160" s="149">
        <f t="shared" si="24"/>
        <v>0</v>
      </c>
      <c r="I160" s="128"/>
      <c r="J160" s="128"/>
      <c r="K160" s="82">
        <f t="shared" si="25"/>
        <v>0</v>
      </c>
    </row>
    <row r="161" spans="2:13" ht="18" x14ac:dyDescent="0.3">
      <c r="B161" s="81"/>
      <c r="C161" s="241"/>
      <c r="D161" s="81"/>
      <c r="E161" s="81"/>
      <c r="F161" s="81"/>
      <c r="G161" s="81"/>
      <c r="H161" s="149">
        <f t="shared" si="24"/>
        <v>0</v>
      </c>
      <c r="I161" s="128"/>
      <c r="J161" s="128"/>
      <c r="K161" s="82">
        <f t="shared" si="25"/>
        <v>0</v>
      </c>
    </row>
    <row r="162" spans="2:13" ht="18" x14ac:dyDescent="0.3">
      <c r="B162" s="81"/>
      <c r="C162" s="241"/>
      <c r="D162" s="81"/>
      <c r="E162" s="81"/>
      <c r="F162" s="81"/>
      <c r="G162" s="81"/>
      <c r="H162" s="149">
        <f t="shared" si="24"/>
        <v>0</v>
      </c>
      <c r="I162" s="128"/>
      <c r="J162" s="128"/>
      <c r="K162" s="82">
        <f t="shared" si="25"/>
        <v>0</v>
      </c>
    </row>
    <row r="163" spans="2:13" ht="18" x14ac:dyDescent="0.3">
      <c r="B163" s="81"/>
      <c r="C163" s="241"/>
      <c r="D163" s="81"/>
      <c r="E163" s="81"/>
      <c r="F163" s="81"/>
      <c r="G163" s="81"/>
      <c r="H163" s="149">
        <f t="shared" si="24"/>
        <v>0</v>
      </c>
      <c r="I163" s="128"/>
      <c r="J163" s="128"/>
      <c r="K163" s="82">
        <f t="shared" si="25"/>
        <v>0</v>
      </c>
    </row>
    <row r="164" spans="2:13" ht="18" x14ac:dyDescent="0.3">
      <c r="B164" s="81"/>
      <c r="C164" s="241"/>
      <c r="D164" s="81"/>
      <c r="E164" s="81"/>
      <c r="F164" s="81"/>
      <c r="G164" s="81"/>
      <c r="H164" s="149">
        <f t="shared" si="24"/>
        <v>0</v>
      </c>
      <c r="I164" s="128"/>
      <c r="J164" s="128"/>
      <c r="K164" s="82">
        <f t="shared" si="25"/>
        <v>0</v>
      </c>
    </row>
    <row r="165" spans="2:13" ht="18" x14ac:dyDescent="0.3">
      <c r="B165" s="81"/>
      <c r="C165" s="241"/>
      <c r="D165" s="81"/>
      <c r="E165" s="81"/>
      <c r="F165" s="81"/>
      <c r="G165" s="81"/>
      <c r="H165" s="149">
        <f t="shared" si="24"/>
        <v>0</v>
      </c>
      <c r="I165" s="128"/>
      <c r="J165" s="128"/>
      <c r="K165" s="82">
        <f t="shared" si="25"/>
        <v>0</v>
      </c>
    </row>
    <row r="166" spans="2:13" ht="18" x14ac:dyDescent="0.3">
      <c r="B166" s="81"/>
      <c r="C166" s="241"/>
      <c r="D166" s="81"/>
      <c r="E166" s="81"/>
      <c r="F166" s="81"/>
      <c r="G166" s="81"/>
      <c r="H166" s="149">
        <f t="shared" ref="H166" si="26">+F166-G166</f>
        <v>0</v>
      </c>
      <c r="I166" s="128"/>
      <c r="J166" s="128"/>
      <c r="K166" s="82">
        <f t="shared" ref="K166" si="27">+(H166-H166*I166/100)*J166</f>
        <v>0</v>
      </c>
    </row>
    <row r="169" spans="2:13" ht="36" x14ac:dyDescent="0.3">
      <c r="B169" s="122" t="s">
        <v>1689</v>
      </c>
      <c r="C169" s="238" t="s">
        <v>223</v>
      </c>
      <c r="D169" s="122" t="s">
        <v>5</v>
      </c>
      <c r="E169" s="122" t="s">
        <v>220</v>
      </c>
      <c r="F169" s="122" t="s">
        <v>59</v>
      </c>
      <c r="G169" s="122" t="s">
        <v>61</v>
      </c>
      <c r="H169" s="147" t="s">
        <v>221</v>
      </c>
      <c r="I169" s="125" t="s">
        <v>222</v>
      </c>
      <c r="J169" s="125" t="s">
        <v>63</v>
      </c>
      <c r="K169" s="123" t="s">
        <v>1923</v>
      </c>
      <c r="L169" s="124"/>
      <c r="M169" s="124"/>
    </row>
    <row r="170" spans="2:13" ht="18" x14ac:dyDescent="0.3">
      <c r="B170" s="121"/>
      <c r="C170" s="239"/>
      <c r="D170" s="121">
        <f>+SUM(D171:D180)</f>
        <v>17775000</v>
      </c>
      <c r="E170" s="121"/>
      <c r="F170" s="121"/>
      <c r="G170" s="121"/>
      <c r="H170" s="121">
        <f>+SUM(H171:H180)</f>
        <v>11460</v>
      </c>
      <c r="I170" s="126"/>
      <c r="J170" s="126"/>
      <c r="K170" s="121">
        <f>+SUM(K171:K180)</f>
        <v>41765970</v>
      </c>
      <c r="L170" s="118" t="s">
        <v>22</v>
      </c>
      <c r="M170" s="117">
        <f>+D170</f>
        <v>17775000</v>
      </c>
    </row>
    <row r="171" spans="2:13" ht="18" x14ac:dyDescent="0.3">
      <c r="B171" s="26" t="s">
        <v>1918</v>
      </c>
      <c r="C171" s="240">
        <v>1500</v>
      </c>
      <c r="D171" s="26">
        <f>1500*11850</f>
        <v>17775000</v>
      </c>
      <c r="E171" s="26">
        <v>576</v>
      </c>
      <c r="F171" s="26">
        <v>24510</v>
      </c>
      <c r="G171" s="26">
        <v>13050</v>
      </c>
      <c r="H171" s="148">
        <f t="shared" ref="H171:H176" si="28">+F171-G171</f>
        <v>11460</v>
      </c>
      <c r="I171" s="127">
        <v>1.5</v>
      </c>
      <c r="J171" s="127">
        <v>3700</v>
      </c>
      <c r="K171" s="82">
        <f t="shared" ref="K171:K174" si="29">+(H171-H171*I171/100)*J171</f>
        <v>41765970</v>
      </c>
      <c r="L171" s="118" t="str">
        <f>+K169</f>
        <v>мавлон</v>
      </c>
      <c r="M171" s="119">
        <f>+K170</f>
        <v>41765970</v>
      </c>
    </row>
    <row r="172" spans="2:13" ht="18" x14ac:dyDescent="0.3">
      <c r="B172" s="26"/>
      <c r="C172" s="241"/>
      <c r="D172" s="81"/>
      <c r="E172" s="81"/>
      <c r="F172" s="81"/>
      <c r="G172" s="81"/>
      <c r="H172" s="148">
        <f t="shared" si="28"/>
        <v>0</v>
      </c>
      <c r="I172" s="128"/>
      <c r="J172" s="128"/>
      <c r="K172" s="82">
        <f t="shared" si="29"/>
        <v>0</v>
      </c>
      <c r="L172" s="118" t="s">
        <v>57</v>
      </c>
      <c r="M172" s="120">
        <f>+M170-M171</f>
        <v>-23990970</v>
      </c>
    </row>
    <row r="173" spans="2:13" ht="18" x14ac:dyDescent="0.3">
      <c r="B173" s="81"/>
      <c r="C173" s="241"/>
      <c r="D173" s="81"/>
      <c r="E173" s="81"/>
      <c r="F173" s="81"/>
      <c r="G173" s="81"/>
      <c r="H173" s="148">
        <f t="shared" si="28"/>
        <v>0</v>
      </c>
      <c r="I173" s="128"/>
      <c r="J173" s="128"/>
      <c r="K173" s="82">
        <f t="shared" si="29"/>
        <v>0</v>
      </c>
    </row>
    <row r="174" spans="2:13" ht="18" x14ac:dyDescent="0.3">
      <c r="B174" s="81"/>
      <c r="C174" s="241"/>
      <c r="D174" s="81"/>
      <c r="E174" s="81"/>
      <c r="F174" s="81"/>
      <c r="G174" s="81"/>
      <c r="H174" s="148">
        <f t="shared" si="28"/>
        <v>0</v>
      </c>
      <c r="I174" s="128"/>
      <c r="J174" s="128"/>
      <c r="K174" s="82">
        <f t="shared" si="29"/>
        <v>0</v>
      </c>
      <c r="L174" s="177"/>
      <c r="M174" s="176"/>
    </row>
    <row r="175" spans="2:13" ht="18" x14ac:dyDescent="0.3">
      <c r="B175" s="81"/>
      <c r="C175" s="241"/>
      <c r="D175" s="81"/>
      <c r="E175" s="81"/>
      <c r="F175" s="81"/>
      <c r="G175" s="81"/>
      <c r="H175" s="148">
        <f t="shared" si="28"/>
        <v>0</v>
      </c>
      <c r="I175" s="128"/>
      <c r="J175" s="128"/>
      <c r="K175" s="82">
        <f t="shared" ref="K175:K180" si="30">+(H175-H175*I175/100)*J175</f>
        <v>0</v>
      </c>
    </row>
    <row r="176" spans="2:13" ht="18.600000000000001" customHeight="1" x14ac:dyDescent="0.3">
      <c r="B176" s="81"/>
      <c r="C176" s="241"/>
      <c r="D176" s="81"/>
      <c r="E176" s="81"/>
      <c r="F176" s="81"/>
      <c r="G176" s="81"/>
      <c r="H176" s="148">
        <f t="shared" si="28"/>
        <v>0</v>
      </c>
      <c r="I176" s="128"/>
      <c r="J176" s="128"/>
      <c r="K176" s="82">
        <f t="shared" si="30"/>
        <v>0</v>
      </c>
    </row>
    <row r="177" spans="2:13" ht="18" x14ac:dyDescent="0.3">
      <c r="B177" s="81"/>
      <c r="C177" s="241"/>
      <c r="D177" s="81"/>
      <c r="E177" s="81"/>
      <c r="F177" s="81"/>
      <c r="G177" s="81"/>
      <c r="H177" s="148">
        <f t="shared" ref="H177:H178" si="31">+F177-G177</f>
        <v>0</v>
      </c>
      <c r="I177" s="128"/>
      <c r="J177" s="128"/>
      <c r="K177" s="82">
        <f t="shared" si="30"/>
        <v>0</v>
      </c>
    </row>
    <row r="178" spans="2:13" ht="18" x14ac:dyDescent="0.3">
      <c r="B178" s="81"/>
      <c r="C178" s="241"/>
      <c r="D178" s="81"/>
      <c r="E178" s="81"/>
      <c r="F178" s="81"/>
      <c r="G178" s="81"/>
      <c r="H178" s="148">
        <f t="shared" si="31"/>
        <v>0</v>
      </c>
      <c r="I178" s="128"/>
      <c r="J178" s="128"/>
      <c r="K178" s="82">
        <f t="shared" si="30"/>
        <v>0</v>
      </c>
    </row>
    <row r="179" spans="2:13" ht="18" x14ac:dyDescent="0.3">
      <c r="B179" s="81"/>
      <c r="C179" s="241"/>
      <c r="D179" s="81"/>
      <c r="E179" s="81"/>
      <c r="F179" s="81"/>
      <c r="G179" s="81"/>
      <c r="H179" s="148">
        <f t="shared" ref="H179:H180" si="32">+F179-G179</f>
        <v>0</v>
      </c>
      <c r="I179" s="128"/>
      <c r="J179" s="128"/>
      <c r="K179" s="82">
        <f t="shared" si="30"/>
        <v>0</v>
      </c>
    </row>
    <row r="180" spans="2:13" ht="18" x14ac:dyDescent="0.3">
      <c r="B180" s="81" t="s">
        <v>33</v>
      </c>
      <c r="C180" s="241"/>
      <c r="D180" s="81"/>
      <c r="E180" s="81"/>
      <c r="F180" s="81"/>
      <c r="G180" s="81"/>
      <c r="H180" s="148">
        <f t="shared" si="32"/>
        <v>0</v>
      </c>
      <c r="I180" s="128"/>
      <c r="J180" s="128"/>
      <c r="K180" s="82">
        <f t="shared" si="30"/>
        <v>0</v>
      </c>
    </row>
    <row r="183" spans="2:13" x14ac:dyDescent="0.3">
      <c r="H183" s="129"/>
    </row>
    <row r="184" spans="2:13" x14ac:dyDescent="0.3">
      <c r="H184" s="129"/>
    </row>
    <row r="185" spans="2:13" ht="36" x14ac:dyDescent="0.3">
      <c r="B185" s="122" t="s">
        <v>0</v>
      </c>
      <c r="C185" s="238" t="s">
        <v>223</v>
      </c>
      <c r="D185" s="122" t="s">
        <v>5</v>
      </c>
      <c r="E185" s="122" t="s">
        <v>220</v>
      </c>
      <c r="F185" s="122" t="s">
        <v>59</v>
      </c>
      <c r="G185" s="122" t="s">
        <v>61</v>
      </c>
      <c r="H185" s="147" t="s">
        <v>221</v>
      </c>
      <c r="I185" s="125" t="s">
        <v>222</v>
      </c>
      <c r="J185" s="125" t="s">
        <v>63</v>
      </c>
      <c r="K185" s="123" t="s">
        <v>1932</v>
      </c>
      <c r="L185" s="124"/>
      <c r="M185" s="124"/>
    </row>
    <row r="186" spans="2:13" ht="18" x14ac:dyDescent="0.3">
      <c r="B186" s="121"/>
      <c r="C186" s="239"/>
      <c r="D186" s="121">
        <f>+SUM(D187:D201)</f>
        <v>23700000</v>
      </c>
      <c r="E186" s="121"/>
      <c r="F186" s="121"/>
      <c r="G186" s="121"/>
      <c r="H186" s="121">
        <f>+SUM(H187:H203)</f>
        <v>14540</v>
      </c>
      <c r="I186" s="126"/>
      <c r="J186" s="126"/>
      <c r="K186" s="121">
        <f>+SUM(K187:K201)</f>
        <v>50635550</v>
      </c>
      <c r="L186" s="118" t="s">
        <v>22</v>
      </c>
      <c r="M186" s="117">
        <f>+D186</f>
        <v>23700000</v>
      </c>
    </row>
    <row r="187" spans="2:13" ht="18" x14ac:dyDescent="0.3">
      <c r="B187" s="26" t="s">
        <v>1927</v>
      </c>
      <c r="C187" s="240"/>
      <c r="D187" s="26"/>
      <c r="E187" s="26">
        <v>812</v>
      </c>
      <c r="F187" s="26">
        <v>26820</v>
      </c>
      <c r="G187" s="26">
        <v>12280</v>
      </c>
      <c r="H187" s="148">
        <f t="shared" ref="H187:H198" si="33">+F187-G187</f>
        <v>14540</v>
      </c>
      <c r="I187" s="127">
        <v>0.5</v>
      </c>
      <c r="J187" s="127">
        <v>3500</v>
      </c>
      <c r="K187" s="82">
        <f t="shared" ref="K187:K193" si="34">+(H187-H187*I187/100)*J187</f>
        <v>50635550</v>
      </c>
      <c r="L187" s="118" t="str">
        <f>+K185</f>
        <v>бобир того</v>
      </c>
      <c r="M187" s="119">
        <f>+K186</f>
        <v>50635550</v>
      </c>
    </row>
    <row r="188" spans="2:13" ht="18" x14ac:dyDescent="0.3">
      <c r="B188" s="26" t="s">
        <v>1939</v>
      </c>
      <c r="C188" s="241">
        <v>2000</v>
      </c>
      <c r="D188" s="81">
        <f>2000*11850</f>
        <v>23700000</v>
      </c>
      <c r="E188" s="81"/>
      <c r="F188" s="81"/>
      <c r="G188" s="81"/>
      <c r="H188" s="148">
        <f t="shared" si="33"/>
        <v>0</v>
      </c>
      <c r="I188" s="128"/>
      <c r="J188" s="128"/>
      <c r="K188" s="82">
        <f t="shared" si="34"/>
        <v>0</v>
      </c>
      <c r="L188" s="118" t="s">
        <v>57</v>
      </c>
      <c r="M188" s="120">
        <f>+M186-M187</f>
        <v>-26935550</v>
      </c>
    </row>
    <row r="189" spans="2:13" ht="18" x14ac:dyDescent="0.3">
      <c r="B189" s="26"/>
      <c r="C189" s="241"/>
      <c r="D189" s="81"/>
      <c r="E189" s="81"/>
      <c r="F189" s="81"/>
      <c r="G189" s="81"/>
      <c r="H189" s="148">
        <f t="shared" si="33"/>
        <v>0</v>
      </c>
      <c r="I189" s="128"/>
      <c r="J189" s="128"/>
      <c r="K189" s="82">
        <f t="shared" si="34"/>
        <v>0</v>
      </c>
    </row>
    <row r="190" spans="2:13" ht="18" x14ac:dyDescent="0.3">
      <c r="B190" s="81"/>
      <c r="C190" s="241"/>
      <c r="D190" s="81"/>
      <c r="E190" s="81"/>
      <c r="F190" s="81"/>
      <c r="G190" s="81"/>
      <c r="H190" s="148">
        <f t="shared" si="33"/>
        <v>0</v>
      </c>
      <c r="I190" s="128"/>
      <c r="J190" s="128"/>
      <c r="K190" s="82">
        <f t="shared" si="34"/>
        <v>0</v>
      </c>
    </row>
    <row r="191" spans="2:13" ht="18" x14ac:dyDescent="0.3">
      <c r="B191" s="81"/>
      <c r="C191" s="241"/>
      <c r="D191" s="81"/>
      <c r="E191" s="81"/>
      <c r="F191" s="81"/>
      <c r="G191" s="81"/>
      <c r="H191" s="148">
        <f t="shared" si="33"/>
        <v>0</v>
      </c>
      <c r="I191" s="128"/>
      <c r="J191" s="128"/>
      <c r="K191" s="82">
        <f t="shared" si="34"/>
        <v>0</v>
      </c>
    </row>
    <row r="192" spans="2:13" ht="18" x14ac:dyDescent="0.3">
      <c r="B192" s="81"/>
      <c r="C192" s="241"/>
      <c r="D192" s="81"/>
      <c r="E192" s="81"/>
      <c r="F192" s="81"/>
      <c r="G192" s="81"/>
      <c r="H192" s="148">
        <f t="shared" si="33"/>
        <v>0</v>
      </c>
      <c r="I192" s="128"/>
      <c r="J192" s="128"/>
      <c r="K192" s="82">
        <f t="shared" si="34"/>
        <v>0</v>
      </c>
    </row>
    <row r="193" spans="2:13" ht="18" x14ac:dyDescent="0.3">
      <c r="B193" s="81"/>
      <c r="C193" s="241"/>
      <c r="D193" s="81"/>
      <c r="E193" s="81"/>
      <c r="F193" s="81"/>
      <c r="G193" s="81"/>
      <c r="H193" s="148">
        <f t="shared" si="33"/>
        <v>0</v>
      </c>
      <c r="I193" s="128"/>
      <c r="J193" s="128"/>
      <c r="K193" s="82">
        <f t="shared" si="34"/>
        <v>0</v>
      </c>
    </row>
    <row r="194" spans="2:13" ht="18" x14ac:dyDescent="0.3">
      <c r="B194" s="81"/>
      <c r="C194" s="241"/>
      <c r="D194" s="81"/>
      <c r="E194"/>
      <c r="F194" s="81"/>
      <c r="G194" s="81"/>
      <c r="H194" s="148">
        <f t="shared" si="33"/>
        <v>0</v>
      </c>
      <c r="I194" s="128"/>
      <c r="J194" s="128"/>
      <c r="K194" s="82">
        <f t="shared" ref="K194:K201" si="35">+(H194-H194*I194/100)*J194</f>
        <v>0</v>
      </c>
    </row>
    <row r="195" spans="2:13" ht="18" x14ac:dyDescent="0.3">
      <c r="B195" s="81"/>
      <c r="C195" s="241"/>
      <c r="D195" s="81"/>
      <c r="E195" s="81"/>
      <c r="F195" s="81"/>
      <c r="G195" s="81"/>
      <c r="H195" s="148">
        <f t="shared" si="33"/>
        <v>0</v>
      </c>
      <c r="I195" s="128"/>
      <c r="J195" s="128"/>
      <c r="K195" s="82">
        <f t="shared" si="35"/>
        <v>0</v>
      </c>
    </row>
    <row r="196" spans="2:13" ht="18" x14ac:dyDescent="0.3">
      <c r="B196" s="81"/>
      <c r="C196" s="241"/>
      <c r="D196" s="81"/>
      <c r="E196" s="81"/>
      <c r="F196" s="81"/>
      <c r="G196" s="81"/>
      <c r="H196" s="148">
        <f t="shared" si="33"/>
        <v>0</v>
      </c>
      <c r="I196" s="128"/>
      <c r="J196" s="128"/>
      <c r="K196" s="82">
        <f t="shared" si="35"/>
        <v>0</v>
      </c>
    </row>
    <row r="197" spans="2:13" ht="18" x14ac:dyDescent="0.3">
      <c r="B197" s="81"/>
      <c r="C197" s="241"/>
      <c r="D197" s="81"/>
      <c r="E197" s="81"/>
      <c r="F197" s="81"/>
      <c r="G197" s="81"/>
      <c r="H197" s="148">
        <f t="shared" si="33"/>
        <v>0</v>
      </c>
      <c r="I197" s="128"/>
      <c r="J197" s="128"/>
      <c r="K197" s="82">
        <f t="shared" si="35"/>
        <v>0</v>
      </c>
    </row>
    <row r="198" spans="2:13" ht="18" x14ac:dyDescent="0.3">
      <c r="B198" s="81"/>
      <c r="C198" s="241"/>
      <c r="D198" s="81"/>
      <c r="E198" s="81"/>
      <c r="F198" s="81"/>
      <c r="G198" s="81"/>
      <c r="H198" s="148">
        <f t="shared" si="33"/>
        <v>0</v>
      </c>
      <c r="I198" s="128"/>
      <c r="J198" s="128"/>
      <c r="K198" s="82">
        <f t="shared" si="35"/>
        <v>0</v>
      </c>
    </row>
    <row r="199" spans="2:13" ht="18" x14ac:dyDescent="0.3">
      <c r="B199" s="81"/>
      <c r="C199" s="241"/>
      <c r="D199" s="81"/>
      <c r="E199" s="81"/>
      <c r="F199" s="81"/>
      <c r="G199" s="81"/>
      <c r="H199" s="148">
        <f t="shared" ref="H199:H201" si="36">+F199-G199</f>
        <v>0</v>
      </c>
      <c r="I199" s="128"/>
      <c r="J199" s="128"/>
      <c r="K199" s="82">
        <f t="shared" si="35"/>
        <v>0</v>
      </c>
    </row>
    <row r="200" spans="2:13" ht="18" x14ac:dyDescent="0.3">
      <c r="B200" s="81"/>
      <c r="C200" s="241"/>
      <c r="D200" s="81"/>
      <c r="E200" s="81"/>
      <c r="F200" s="81"/>
      <c r="G200" s="81"/>
      <c r="H200" s="148">
        <f t="shared" si="36"/>
        <v>0</v>
      </c>
      <c r="I200" s="128"/>
      <c r="J200" s="128"/>
      <c r="K200" s="82">
        <f t="shared" si="35"/>
        <v>0</v>
      </c>
    </row>
    <row r="201" spans="2:13" ht="18" x14ac:dyDescent="0.3">
      <c r="B201" s="81"/>
      <c r="C201" s="241"/>
      <c r="D201" s="81"/>
      <c r="E201" s="81"/>
      <c r="F201" s="81"/>
      <c r="G201" s="81"/>
      <c r="H201" s="148">
        <f t="shared" si="36"/>
        <v>0</v>
      </c>
      <c r="I201" s="128"/>
      <c r="J201" s="128"/>
      <c r="K201" s="82">
        <f t="shared" si="35"/>
        <v>0</v>
      </c>
    </row>
    <row r="204" spans="2:13" ht="36" x14ac:dyDescent="0.3">
      <c r="B204" s="122" t="s">
        <v>33</v>
      </c>
      <c r="C204" s="238" t="s">
        <v>223</v>
      </c>
      <c r="D204" s="122" t="s">
        <v>5</v>
      </c>
      <c r="E204" s="122" t="s">
        <v>220</v>
      </c>
      <c r="F204" s="122" t="s">
        <v>59</v>
      </c>
      <c r="G204" s="122" t="s">
        <v>61</v>
      </c>
      <c r="H204" s="147" t="s">
        <v>221</v>
      </c>
      <c r="I204" s="125" t="s">
        <v>222</v>
      </c>
      <c r="J204" s="125" t="s">
        <v>63</v>
      </c>
      <c r="K204" s="123" t="s">
        <v>1892</v>
      </c>
      <c r="L204" s="124"/>
      <c r="M204" s="124"/>
    </row>
    <row r="205" spans="2:13" ht="18" x14ac:dyDescent="0.3">
      <c r="B205" s="121"/>
      <c r="C205" s="239"/>
      <c r="D205" s="121">
        <f>+SUM(D206:D215)</f>
        <v>-60000000</v>
      </c>
      <c r="E205" s="121"/>
      <c r="F205" s="121"/>
      <c r="G205" s="121"/>
      <c r="H205" s="121">
        <f>+SUM(H206:H215)</f>
        <v>0</v>
      </c>
      <c r="I205" s="126"/>
      <c r="J205" s="126"/>
      <c r="K205" s="121">
        <f>+SUM(K206:K215)</f>
        <v>0</v>
      </c>
      <c r="L205" s="118" t="s">
        <v>22</v>
      </c>
      <c r="M205" s="117">
        <f>+D205</f>
        <v>-60000000</v>
      </c>
    </row>
    <row r="206" spans="2:13" ht="18" x14ac:dyDescent="0.3">
      <c r="B206" s="26" t="s">
        <v>1880</v>
      </c>
      <c r="C206" s="240" t="s">
        <v>1893</v>
      </c>
      <c r="D206" s="26">
        <v>-60000000</v>
      </c>
      <c r="E206" s="26"/>
      <c r="F206" s="26"/>
      <c r="G206" s="26"/>
      <c r="H206" s="148">
        <f t="shared" ref="H206:H213" si="37">+F206-G206</f>
        <v>0</v>
      </c>
      <c r="I206" s="127"/>
      <c r="J206" s="127"/>
      <c r="K206" s="82">
        <f t="shared" ref="K206:K212" si="38">+(H206-H206*I206/100)*J206</f>
        <v>0</v>
      </c>
      <c r="L206" s="118" t="str">
        <f>+K204</f>
        <v>сироч ака 20 тн</v>
      </c>
      <c r="M206" s="119">
        <f>+K205</f>
        <v>0</v>
      </c>
    </row>
    <row r="207" spans="2:13" ht="18" x14ac:dyDescent="0.3">
      <c r="B207" s="81"/>
      <c r="C207" s="241"/>
      <c r="D207" s="81"/>
      <c r="E207" s="81"/>
      <c r="F207" s="81"/>
      <c r="G207" s="81"/>
      <c r="H207" s="148">
        <f t="shared" si="37"/>
        <v>0</v>
      </c>
      <c r="I207" s="128"/>
      <c r="J207" s="128"/>
      <c r="K207" s="82">
        <f t="shared" si="38"/>
        <v>0</v>
      </c>
      <c r="L207" s="118" t="s">
        <v>57</v>
      </c>
      <c r="M207" s="120">
        <f>+M205-M206</f>
        <v>-60000000</v>
      </c>
    </row>
    <row r="208" spans="2:13" ht="18" x14ac:dyDescent="0.3">
      <c r="B208" s="81"/>
      <c r="C208" s="241"/>
      <c r="D208" s="81"/>
      <c r="E208" s="81"/>
      <c r="F208" s="81"/>
      <c r="G208" s="81"/>
      <c r="H208" s="148">
        <f t="shared" si="37"/>
        <v>0</v>
      </c>
      <c r="I208" s="128"/>
      <c r="J208" s="128"/>
      <c r="K208" s="82">
        <f t="shared" si="38"/>
        <v>0</v>
      </c>
    </row>
    <row r="209" spans="2:14" ht="18" x14ac:dyDescent="0.3">
      <c r="B209" s="81"/>
      <c r="C209" s="241"/>
      <c r="D209" s="81"/>
      <c r="E209" s="81"/>
      <c r="F209" s="81"/>
      <c r="G209" s="81"/>
      <c r="H209" s="148">
        <f t="shared" si="37"/>
        <v>0</v>
      </c>
      <c r="I209" s="128"/>
      <c r="J209" s="128"/>
      <c r="K209" s="82">
        <f t="shared" si="38"/>
        <v>0</v>
      </c>
    </row>
    <row r="210" spans="2:14" ht="18" x14ac:dyDescent="0.3">
      <c r="B210" s="81"/>
      <c r="C210" s="241"/>
      <c r="D210" s="81"/>
      <c r="E210" s="81"/>
      <c r="F210" s="81"/>
      <c r="G210" s="81"/>
      <c r="H210" s="148">
        <f t="shared" si="37"/>
        <v>0</v>
      </c>
      <c r="I210" s="128"/>
      <c r="J210" s="128"/>
      <c r="K210" s="82">
        <f t="shared" si="38"/>
        <v>0</v>
      </c>
      <c r="L210" s="26" t="s">
        <v>33</v>
      </c>
      <c r="M210" s="26" t="s">
        <v>33</v>
      </c>
      <c r="N210" s="26" t="s">
        <v>109</v>
      </c>
    </row>
    <row r="211" spans="2:14" ht="18" x14ac:dyDescent="0.3">
      <c r="B211" s="81"/>
      <c r="C211" s="241"/>
      <c r="D211" s="81"/>
      <c r="E211" s="81"/>
      <c r="F211" s="81"/>
      <c r="G211" s="81"/>
      <c r="H211" s="148">
        <f t="shared" si="37"/>
        <v>0</v>
      </c>
      <c r="I211" s="128"/>
      <c r="J211" s="128"/>
      <c r="K211" s="82">
        <f t="shared" si="38"/>
        <v>0</v>
      </c>
    </row>
    <row r="212" spans="2:14" ht="18" x14ac:dyDescent="0.3">
      <c r="B212" s="81"/>
      <c r="C212" s="241"/>
      <c r="D212" s="81"/>
      <c r="E212" s="81"/>
      <c r="F212" s="81"/>
      <c r="G212" s="81"/>
      <c r="H212" s="148">
        <f t="shared" si="37"/>
        <v>0</v>
      </c>
      <c r="I212" s="128"/>
      <c r="J212" s="128"/>
      <c r="K212" s="82">
        <f t="shared" si="38"/>
        <v>0</v>
      </c>
    </row>
    <row r="213" spans="2:14" ht="18" x14ac:dyDescent="0.3">
      <c r="B213" s="81"/>
      <c r="C213" s="241"/>
      <c r="D213" s="81"/>
      <c r="E213" s="81"/>
      <c r="F213" s="81"/>
      <c r="G213" s="81"/>
      <c r="H213" s="148">
        <f t="shared" si="37"/>
        <v>0</v>
      </c>
      <c r="I213" s="128"/>
      <c r="J213" s="128"/>
      <c r="K213" s="82">
        <f t="shared" ref="K213:K215" si="39">+(H213-H213*I213/100)*J213</f>
        <v>0</v>
      </c>
    </row>
    <row r="214" spans="2:14" ht="18" x14ac:dyDescent="0.3">
      <c r="B214" s="81"/>
      <c r="C214" s="241"/>
      <c r="D214" s="81"/>
      <c r="E214" s="81"/>
      <c r="F214" s="81"/>
      <c r="G214" s="81"/>
      <c r="H214" s="148">
        <f t="shared" ref="H214:H215" si="40">+F214-G214</f>
        <v>0</v>
      </c>
      <c r="I214" s="128"/>
      <c r="J214" s="128"/>
      <c r="K214" s="82">
        <f t="shared" si="39"/>
        <v>0</v>
      </c>
    </row>
    <row r="215" spans="2:14" ht="18" x14ac:dyDescent="0.3">
      <c r="B215" s="81"/>
      <c r="C215" s="241"/>
      <c r="D215" s="81"/>
      <c r="E215" s="81"/>
      <c r="F215" s="81"/>
      <c r="G215" s="81"/>
      <c r="H215" s="148">
        <f t="shared" si="40"/>
        <v>0</v>
      </c>
      <c r="I215" s="128"/>
      <c r="J215" s="128"/>
      <c r="K215" s="82">
        <f t="shared" si="39"/>
        <v>0</v>
      </c>
    </row>
    <row r="216" spans="2:14" x14ac:dyDescent="0.3">
      <c r="H216" s="129"/>
    </row>
    <row r="217" spans="2:14" x14ac:dyDescent="0.3">
      <c r="H217" s="129"/>
    </row>
    <row r="218" spans="2:14" ht="36" x14ac:dyDescent="0.3">
      <c r="B218" s="122" t="s">
        <v>0</v>
      </c>
      <c r="C218" s="238" t="s">
        <v>223</v>
      </c>
      <c r="D218" s="122" t="s">
        <v>5</v>
      </c>
      <c r="E218" s="122" t="s">
        <v>220</v>
      </c>
      <c r="F218" s="122" t="s">
        <v>59</v>
      </c>
      <c r="G218" s="122" t="s">
        <v>61</v>
      </c>
      <c r="H218" s="147" t="s">
        <v>221</v>
      </c>
      <c r="I218" s="125" t="s">
        <v>222</v>
      </c>
      <c r="J218" s="125" t="s">
        <v>63</v>
      </c>
      <c r="K218" s="123" t="s">
        <v>1908</v>
      </c>
      <c r="L218" s="124"/>
      <c r="M218" s="124"/>
    </row>
    <row r="219" spans="2:14" ht="18" x14ac:dyDescent="0.3">
      <c r="B219" s="121"/>
      <c r="C219" s="239"/>
      <c r="D219" s="121">
        <f>+SUM(D220:D236)</f>
        <v>14220000</v>
      </c>
      <c r="E219" s="121"/>
      <c r="F219" s="121"/>
      <c r="G219" s="121"/>
      <c r="H219" s="121">
        <f>+SUM(H220:H236)</f>
        <v>4220</v>
      </c>
      <c r="I219" s="126"/>
      <c r="J219" s="126"/>
      <c r="K219" s="121">
        <f>+SUM(K220:K236)</f>
        <v>14474600.000000002</v>
      </c>
      <c r="L219" s="118" t="s">
        <v>22</v>
      </c>
      <c r="M219" s="117">
        <f>+D219</f>
        <v>14220000</v>
      </c>
    </row>
    <row r="220" spans="2:14" ht="18" x14ac:dyDescent="0.3">
      <c r="B220" s="26" t="s">
        <v>1895</v>
      </c>
      <c r="C220" s="240">
        <v>1200</v>
      </c>
      <c r="D220" s="26">
        <f>1200*11850</f>
        <v>14220000</v>
      </c>
      <c r="E220" s="26">
        <v>377</v>
      </c>
      <c r="F220" s="26">
        <v>18960</v>
      </c>
      <c r="G220" s="26">
        <v>14740</v>
      </c>
      <c r="H220" s="148">
        <f t="shared" ref="H220:H233" si="41">+F220-G220</f>
        <v>4220</v>
      </c>
      <c r="I220" s="127">
        <v>2</v>
      </c>
      <c r="J220" s="127">
        <v>3500</v>
      </c>
      <c r="K220" s="82">
        <f t="shared" ref="K220:K233" si="42">+(H220-H220*I220/100)*J220</f>
        <v>14474600.000000002</v>
      </c>
      <c r="L220" s="118" t="str">
        <f>+K218</f>
        <v>САРДОР</v>
      </c>
      <c r="M220" s="119">
        <f>+K219</f>
        <v>14474600.000000002</v>
      </c>
    </row>
    <row r="221" spans="2:14" ht="18" x14ac:dyDescent="0.3">
      <c r="B221" s="81"/>
      <c r="C221" s="241"/>
      <c r="D221" s="81"/>
      <c r="E221" s="81"/>
      <c r="F221" s="81"/>
      <c r="G221" s="81"/>
      <c r="H221" s="148">
        <f t="shared" si="41"/>
        <v>0</v>
      </c>
      <c r="I221" s="128"/>
      <c r="J221" s="128"/>
      <c r="K221" s="82">
        <f t="shared" si="42"/>
        <v>0</v>
      </c>
      <c r="L221" s="118" t="s">
        <v>57</v>
      </c>
      <c r="M221" s="120">
        <f>+M219-M220</f>
        <v>-254600.00000000186</v>
      </c>
    </row>
    <row r="222" spans="2:14" ht="18" x14ac:dyDescent="0.3">
      <c r="B222" s="26"/>
      <c r="C222" s="241"/>
      <c r="D222" s="81"/>
      <c r="E222" s="81"/>
      <c r="F222" s="81"/>
      <c r="G222" s="81"/>
      <c r="H222" s="148">
        <f t="shared" si="41"/>
        <v>0</v>
      </c>
      <c r="I222" s="128"/>
      <c r="J222" s="128"/>
      <c r="K222" s="82">
        <f t="shared" si="42"/>
        <v>0</v>
      </c>
    </row>
    <row r="223" spans="2:14" ht="18" x14ac:dyDescent="0.3">
      <c r="B223" s="81"/>
      <c r="C223" s="241"/>
      <c r="D223" s="81"/>
      <c r="E223" s="81"/>
      <c r="F223" s="81"/>
      <c r="G223" s="81"/>
      <c r="H223" s="148">
        <f t="shared" si="41"/>
        <v>0</v>
      </c>
      <c r="I223" s="128"/>
      <c r="J223" s="128"/>
      <c r="K223" s="82">
        <f t="shared" si="42"/>
        <v>0</v>
      </c>
    </row>
    <row r="224" spans="2:14" ht="18" x14ac:dyDescent="0.3">
      <c r="B224" s="81"/>
      <c r="C224" s="241"/>
      <c r="D224" s="81"/>
      <c r="E224" s="81"/>
      <c r="F224" s="81"/>
      <c r="G224" s="81"/>
      <c r="H224" s="148">
        <f t="shared" si="41"/>
        <v>0</v>
      </c>
      <c r="I224" s="128"/>
      <c r="J224" s="128"/>
      <c r="K224" s="82">
        <f t="shared" si="42"/>
        <v>0</v>
      </c>
    </row>
    <row r="225" spans="2:13" ht="18" x14ac:dyDescent="0.3">
      <c r="B225" s="81"/>
      <c r="C225" s="241"/>
      <c r="D225" s="81"/>
      <c r="E225" s="81"/>
      <c r="F225" s="81"/>
      <c r="G225" s="81"/>
      <c r="H225" s="148">
        <f t="shared" si="41"/>
        <v>0</v>
      </c>
      <c r="I225" s="128"/>
      <c r="J225" s="128"/>
      <c r="K225" s="82">
        <f t="shared" si="42"/>
        <v>0</v>
      </c>
    </row>
    <row r="226" spans="2:13" ht="18" x14ac:dyDescent="0.3">
      <c r="B226" s="81"/>
      <c r="C226" s="241"/>
      <c r="D226" s="81"/>
      <c r="E226" s="81"/>
      <c r="F226" s="81"/>
      <c r="G226" s="81"/>
      <c r="H226" s="148">
        <f t="shared" si="41"/>
        <v>0</v>
      </c>
      <c r="I226" s="128"/>
      <c r="J226" s="128"/>
      <c r="K226" s="82">
        <f t="shared" si="42"/>
        <v>0</v>
      </c>
    </row>
    <row r="227" spans="2:13" ht="18" x14ac:dyDescent="0.3">
      <c r="B227" s="81"/>
      <c r="C227" s="241"/>
      <c r="D227" s="81"/>
      <c r="E227" s="81"/>
      <c r="F227" s="81"/>
      <c r="G227" s="81"/>
      <c r="H227" s="148">
        <f t="shared" si="41"/>
        <v>0</v>
      </c>
      <c r="I227" s="128"/>
      <c r="J227" s="128"/>
      <c r="K227" s="82">
        <f t="shared" si="42"/>
        <v>0</v>
      </c>
    </row>
    <row r="228" spans="2:13" ht="18" x14ac:dyDescent="0.3">
      <c r="B228" s="81"/>
      <c r="C228" s="241"/>
      <c r="D228" s="81"/>
      <c r="E228" s="81"/>
      <c r="F228" s="81"/>
      <c r="G228" s="81"/>
      <c r="H228" s="148">
        <f t="shared" si="41"/>
        <v>0</v>
      </c>
      <c r="I228" s="128"/>
      <c r="J228" s="128"/>
      <c r="K228" s="82">
        <f t="shared" si="42"/>
        <v>0</v>
      </c>
    </row>
    <row r="229" spans="2:13" ht="18" x14ac:dyDescent="0.3">
      <c r="B229" s="81"/>
      <c r="C229" s="241"/>
      <c r="D229" s="81"/>
      <c r="E229" s="216"/>
      <c r="F229" s="216"/>
      <c r="G229" s="216"/>
      <c r="H229" s="148">
        <f t="shared" si="41"/>
        <v>0</v>
      </c>
      <c r="I229" s="229"/>
      <c r="J229" s="229"/>
      <c r="K229" s="82">
        <f t="shared" si="42"/>
        <v>0</v>
      </c>
    </row>
    <row r="230" spans="2:13" ht="18" x14ac:dyDescent="0.3">
      <c r="B230" s="81"/>
      <c r="C230" s="241"/>
      <c r="D230" s="81"/>
      <c r="E230" s="216"/>
      <c r="F230" s="216"/>
      <c r="G230" s="216"/>
      <c r="H230" s="148">
        <f t="shared" si="41"/>
        <v>0</v>
      </c>
      <c r="I230" s="229"/>
      <c r="J230" s="229"/>
      <c r="K230" s="82">
        <f t="shared" si="42"/>
        <v>0</v>
      </c>
    </row>
    <row r="231" spans="2:13" ht="18" x14ac:dyDescent="0.3">
      <c r="B231" s="81"/>
      <c r="C231" s="241"/>
      <c r="D231" s="81"/>
      <c r="E231" s="216"/>
      <c r="F231" s="216"/>
      <c r="G231" s="216"/>
      <c r="H231" s="148">
        <f t="shared" si="41"/>
        <v>0</v>
      </c>
      <c r="I231" s="229"/>
      <c r="J231" s="229"/>
      <c r="K231" s="82">
        <f t="shared" si="42"/>
        <v>0</v>
      </c>
    </row>
    <row r="232" spans="2:13" ht="18" x14ac:dyDescent="0.3">
      <c r="B232" s="81"/>
      <c r="C232" s="241"/>
      <c r="D232" s="81"/>
      <c r="E232" s="216"/>
      <c r="F232" s="216"/>
      <c r="G232" s="216"/>
      <c r="H232" s="148">
        <f t="shared" si="41"/>
        <v>0</v>
      </c>
      <c r="I232" s="229"/>
      <c r="J232" s="229"/>
      <c r="K232" s="82">
        <f t="shared" si="42"/>
        <v>0</v>
      </c>
    </row>
    <row r="233" spans="2:13" ht="18" x14ac:dyDescent="0.3">
      <c r="B233" s="81"/>
      <c r="C233" s="241"/>
      <c r="D233" s="81"/>
      <c r="E233" s="81"/>
      <c r="F233" s="81"/>
      <c r="G233" s="81"/>
      <c r="H233" s="148">
        <f t="shared" si="41"/>
        <v>0</v>
      </c>
      <c r="I233" s="128"/>
      <c r="J233" s="128"/>
      <c r="K233" s="82">
        <f t="shared" si="42"/>
        <v>0</v>
      </c>
    </row>
    <row r="234" spans="2:13" ht="18" x14ac:dyDescent="0.3">
      <c r="B234" s="81"/>
      <c r="C234" s="241"/>
      <c r="D234" s="81"/>
      <c r="E234" s="81"/>
      <c r="F234" s="81"/>
      <c r="G234" s="81"/>
      <c r="H234" s="148">
        <f t="shared" ref="H234:H236" si="43">+F234-G234</f>
        <v>0</v>
      </c>
      <c r="I234" s="128"/>
      <c r="J234" s="128"/>
      <c r="K234" s="82">
        <f t="shared" ref="K234:K236" si="44">+(H234-H234*I234/100)*J234</f>
        <v>0</v>
      </c>
    </row>
    <row r="235" spans="2:13" ht="18" x14ac:dyDescent="0.3">
      <c r="B235" s="81"/>
      <c r="C235" s="241"/>
      <c r="D235" s="81"/>
      <c r="E235" s="81"/>
      <c r="F235" s="81"/>
      <c r="G235" s="81"/>
      <c r="H235" s="148">
        <f t="shared" si="43"/>
        <v>0</v>
      </c>
      <c r="I235" s="128"/>
      <c r="J235" s="128"/>
      <c r="K235" s="82">
        <f t="shared" si="44"/>
        <v>0</v>
      </c>
    </row>
    <row r="236" spans="2:13" ht="18" x14ac:dyDescent="0.3">
      <c r="B236" s="81"/>
      <c r="C236" s="241"/>
      <c r="D236" s="81"/>
      <c r="E236" s="81"/>
      <c r="F236" s="81"/>
      <c r="G236" s="81"/>
      <c r="H236" s="148">
        <f t="shared" si="43"/>
        <v>0</v>
      </c>
      <c r="I236" s="128"/>
      <c r="J236" s="128"/>
      <c r="K236" s="82">
        <f t="shared" si="44"/>
        <v>0</v>
      </c>
    </row>
    <row r="237" spans="2:13" x14ac:dyDescent="0.3">
      <c r="D237"/>
      <c r="E237"/>
      <c r="F237"/>
      <c r="G237"/>
      <c r="H237"/>
      <c r="I237"/>
      <c r="J237"/>
      <c r="K237"/>
      <c r="L237"/>
      <c r="M237"/>
    </row>
    <row r="238" spans="2:13" x14ac:dyDescent="0.3">
      <c r="D238"/>
      <c r="E238"/>
      <c r="F238"/>
      <c r="G238"/>
      <c r="H238"/>
      <c r="I238"/>
      <c r="J238"/>
      <c r="K238"/>
      <c r="L238"/>
      <c r="M238"/>
    </row>
    <row r="239" spans="2:13" x14ac:dyDescent="0.3">
      <c r="D239"/>
      <c r="E239"/>
      <c r="F239"/>
      <c r="G239"/>
      <c r="H239"/>
      <c r="I239"/>
      <c r="J239"/>
      <c r="K239"/>
      <c r="L239"/>
      <c r="M239" s="9"/>
    </row>
    <row r="240" spans="2:13" x14ac:dyDescent="0.3">
      <c r="D240"/>
      <c r="E240"/>
      <c r="F240"/>
      <c r="G240"/>
      <c r="H240"/>
      <c r="I240"/>
      <c r="J240"/>
      <c r="K240"/>
      <c r="L240"/>
      <c r="M240"/>
    </row>
    <row r="241" spans="2:13" x14ac:dyDescent="0.3">
      <c r="D241"/>
      <c r="E241"/>
      <c r="F241"/>
      <c r="G241"/>
      <c r="H241"/>
      <c r="I241"/>
      <c r="J241"/>
      <c r="K241"/>
      <c r="L241"/>
      <c r="M241"/>
    </row>
    <row r="242" spans="2:13" x14ac:dyDescent="0.3">
      <c r="D242"/>
      <c r="E242"/>
      <c r="F242"/>
      <c r="G242"/>
      <c r="H242"/>
      <c r="I242"/>
      <c r="J242"/>
      <c r="K242"/>
      <c r="L242"/>
      <c r="M242"/>
    </row>
    <row r="243" spans="2:13" x14ac:dyDescent="0.3">
      <c r="D243"/>
      <c r="E243"/>
      <c r="F243"/>
      <c r="G243"/>
      <c r="H243"/>
      <c r="I243"/>
      <c r="J243"/>
      <c r="K243"/>
      <c r="L243"/>
      <c r="M243"/>
    </row>
    <row r="244" spans="2:13" x14ac:dyDescent="0.3">
      <c r="D244"/>
      <c r="E244"/>
      <c r="F244"/>
      <c r="G244"/>
      <c r="H244"/>
      <c r="I244"/>
      <c r="J244"/>
      <c r="K244"/>
      <c r="L244"/>
      <c r="M244"/>
    </row>
    <row r="245" spans="2:13" x14ac:dyDescent="0.3">
      <c r="H245" s="129"/>
    </row>
    <row r="246" spans="2:13" x14ac:dyDescent="0.3">
      <c r="H246" s="129"/>
    </row>
    <row r="247" spans="2:13" ht="36" x14ac:dyDescent="0.3">
      <c r="B247" s="122" t="s">
        <v>0</v>
      </c>
      <c r="C247" s="238" t="s">
        <v>223</v>
      </c>
      <c r="D247" s="122" t="s">
        <v>5</v>
      </c>
      <c r="E247" s="122" t="s">
        <v>220</v>
      </c>
      <c r="F247" s="122" t="s">
        <v>59</v>
      </c>
      <c r="G247" s="122" t="s">
        <v>61</v>
      </c>
      <c r="H247" s="147" t="s">
        <v>221</v>
      </c>
      <c r="I247" s="125" t="s">
        <v>222</v>
      </c>
      <c r="J247" s="125" t="s">
        <v>63</v>
      </c>
      <c r="K247" s="123" t="s">
        <v>1887</v>
      </c>
      <c r="L247" s="124"/>
      <c r="M247" s="124"/>
    </row>
    <row r="248" spans="2:13" ht="18" x14ac:dyDescent="0.3">
      <c r="B248" s="121"/>
      <c r="C248" s="239"/>
      <c r="D248" s="121">
        <f>+SUM(D249:D263)</f>
        <v>14280000</v>
      </c>
      <c r="E248" s="121"/>
      <c r="F248" s="121"/>
      <c r="G248" s="121"/>
      <c r="H248" s="121">
        <f>+SUM(H249:H263)</f>
        <v>0</v>
      </c>
      <c r="I248" s="126"/>
      <c r="J248" s="126"/>
      <c r="K248" s="121">
        <f>+SUM(K249:K263)</f>
        <v>0</v>
      </c>
      <c r="L248" s="118" t="s">
        <v>22</v>
      </c>
      <c r="M248" s="117">
        <f>+D248</f>
        <v>14280000</v>
      </c>
    </row>
    <row r="249" spans="2:13" ht="18" x14ac:dyDescent="0.3">
      <c r="B249" s="26" t="s">
        <v>1822</v>
      </c>
      <c r="C249" s="240">
        <v>1200</v>
      </c>
      <c r="D249" s="26">
        <v>14280000</v>
      </c>
      <c r="E249" s="26"/>
      <c r="F249" s="26"/>
      <c r="G249" s="26"/>
      <c r="H249" s="148">
        <f t="shared" ref="H249:H257" si="45">+F249-G249</f>
        <v>0</v>
      </c>
      <c r="I249" s="127"/>
      <c r="J249" s="127"/>
      <c r="K249" s="82">
        <f>+(H249-H249*I249/100)*J249</f>
        <v>0</v>
      </c>
      <c r="L249" s="118" t="str">
        <f>+K247</f>
        <v>али,</v>
      </c>
      <c r="M249" s="119">
        <f>+K248</f>
        <v>0</v>
      </c>
    </row>
    <row r="250" spans="2:13" ht="18" x14ac:dyDescent="0.3">
      <c r="B250" s="81"/>
      <c r="C250" s="241"/>
      <c r="D250" s="81"/>
      <c r="E250" s="81"/>
      <c r="F250" s="81"/>
      <c r="G250" s="81"/>
      <c r="H250" s="148">
        <f t="shared" si="45"/>
        <v>0</v>
      </c>
      <c r="I250" s="128"/>
      <c r="J250" s="128"/>
      <c r="K250" s="82">
        <f>+(H250-H250*I250/100)*J250</f>
        <v>0</v>
      </c>
      <c r="L250" s="118" t="s">
        <v>57</v>
      </c>
      <c r="M250" s="120">
        <f>+M248-M249</f>
        <v>14280000</v>
      </c>
    </row>
    <row r="251" spans="2:13" ht="18" x14ac:dyDescent="0.3">
      <c r="B251" s="81"/>
      <c r="C251" s="241"/>
      <c r="D251" s="81"/>
      <c r="E251" s="81"/>
      <c r="F251" s="81"/>
      <c r="G251" s="81"/>
      <c r="H251" s="148">
        <f t="shared" si="45"/>
        <v>0</v>
      </c>
      <c r="I251" s="128"/>
      <c r="J251" s="128"/>
      <c r="K251" s="82">
        <f>+(H251-H251*I251/100)*J251</f>
        <v>0</v>
      </c>
    </row>
    <row r="252" spans="2:13" ht="18" x14ac:dyDescent="0.3">
      <c r="B252" s="81"/>
      <c r="C252" s="241"/>
      <c r="D252" s="81"/>
      <c r="E252" s="81"/>
      <c r="F252" s="81"/>
      <c r="G252" s="81"/>
      <c r="H252" s="148">
        <f t="shared" si="45"/>
        <v>0</v>
      </c>
      <c r="I252" s="128"/>
      <c r="J252" s="128"/>
      <c r="K252" s="82">
        <f>+(H252-H252*I252/100)*J252</f>
        <v>0</v>
      </c>
    </row>
    <row r="253" spans="2:13" ht="18" x14ac:dyDescent="0.3">
      <c r="B253" s="81"/>
      <c r="C253" s="241"/>
      <c r="D253" s="81"/>
      <c r="E253" s="81"/>
      <c r="F253" s="81"/>
      <c r="G253" s="81"/>
      <c r="H253" s="148">
        <f t="shared" si="45"/>
        <v>0</v>
      </c>
      <c r="I253" s="128"/>
      <c r="J253" s="128"/>
      <c r="K253" s="82">
        <f t="shared" ref="K253:K262" si="46">+(H253-H253*I253/100)*J253</f>
        <v>0</v>
      </c>
    </row>
    <row r="254" spans="2:13" ht="18" x14ac:dyDescent="0.3">
      <c r="B254" s="81"/>
      <c r="C254" s="241"/>
      <c r="D254" s="81"/>
      <c r="E254" s="81"/>
      <c r="F254" s="81"/>
      <c r="G254" s="81"/>
      <c r="H254" s="148">
        <f t="shared" si="45"/>
        <v>0</v>
      </c>
      <c r="I254" s="128"/>
      <c r="J254" s="128"/>
      <c r="K254" s="82">
        <f t="shared" si="46"/>
        <v>0</v>
      </c>
    </row>
    <row r="255" spans="2:13" ht="18" x14ac:dyDescent="0.3">
      <c r="B255" s="81"/>
      <c r="C255" s="241"/>
      <c r="D255" s="81"/>
      <c r="E255" s="81"/>
      <c r="F255" s="81"/>
      <c r="G255" s="81"/>
      <c r="H255" s="148">
        <f t="shared" si="45"/>
        <v>0</v>
      </c>
      <c r="I255" s="128"/>
      <c r="J255" s="128"/>
      <c r="K255" s="82">
        <f t="shared" si="46"/>
        <v>0</v>
      </c>
    </row>
    <row r="256" spans="2:13" ht="18" x14ac:dyDescent="0.3">
      <c r="B256" s="81"/>
      <c r="C256" s="241"/>
      <c r="D256" s="81"/>
      <c r="E256" s="81"/>
      <c r="F256" s="81"/>
      <c r="G256" s="81"/>
      <c r="H256" s="148">
        <f t="shared" si="45"/>
        <v>0</v>
      </c>
      <c r="I256" s="128"/>
      <c r="J256" s="128"/>
      <c r="K256" s="82">
        <f t="shared" si="46"/>
        <v>0</v>
      </c>
    </row>
    <row r="257" spans="2:13" ht="18" x14ac:dyDescent="0.3">
      <c r="B257" s="81"/>
      <c r="C257" s="241"/>
      <c r="D257" s="81"/>
      <c r="E257" s="81"/>
      <c r="F257" s="81"/>
      <c r="G257" s="81"/>
      <c r="H257" s="148">
        <f t="shared" si="45"/>
        <v>0</v>
      </c>
      <c r="I257" s="128"/>
      <c r="J257" s="128"/>
      <c r="K257" s="82">
        <f t="shared" si="46"/>
        <v>0</v>
      </c>
    </row>
    <row r="258" spans="2:13" ht="18" x14ac:dyDescent="0.3">
      <c r="B258" s="81"/>
      <c r="C258" s="241"/>
      <c r="D258" s="81"/>
      <c r="E258" s="81"/>
      <c r="F258" s="81"/>
      <c r="G258" s="81"/>
      <c r="H258" s="148">
        <f t="shared" ref="H258:H262" si="47">+F258-G258</f>
        <v>0</v>
      </c>
      <c r="I258" s="128"/>
      <c r="J258" s="128"/>
      <c r="K258" s="82">
        <f t="shared" si="46"/>
        <v>0</v>
      </c>
    </row>
    <row r="259" spans="2:13" ht="18" x14ac:dyDescent="0.3">
      <c r="B259" s="81"/>
      <c r="C259" s="241"/>
      <c r="D259" s="81"/>
      <c r="E259" s="81"/>
      <c r="F259" s="81"/>
      <c r="G259" s="81"/>
      <c r="H259" s="148">
        <f t="shared" si="47"/>
        <v>0</v>
      </c>
      <c r="I259" s="128"/>
      <c r="J259" s="128"/>
      <c r="K259" s="82">
        <f t="shared" si="46"/>
        <v>0</v>
      </c>
    </row>
    <row r="260" spans="2:13" ht="18" x14ac:dyDescent="0.3">
      <c r="B260" s="81"/>
      <c r="C260" s="241"/>
      <c r="D260" s="81"/>
      <c r="E260" s="81"/>
      <c r="F260" s="81"/>
      <c r="G260" s="81"/>
      <c r="H260" s="148">
        <f t="shared" si="47"/>
        <v>0</v>
      </c>
      <c r="I260" s="128"/>
      <c r="J260" s="128"/>
      <c r="K260" s="82">
        <f t="shared" si="46"/>
        <v>0</v>
      </c>
    </row>
    <row r="261" spans="2:13" ht="18" x14ac:dyDescent="0.3">
      <c r="B261" s="81"/>
      <c r="C261" s="241"/>
      <c r="D261" s="81"/>
      <c r="E261" s="81"/>
      <c r="F261" s="81"/>
      <c r="G261" s="81"/>
      <c r="H261" s="148">
        <f t="shared" si="47"/>
        <v>0</v>
      </c>
      <c r="I261" s="128"/>
      <c r="J261" s="128"/>
      <c r="K261" s="82">
        <f t="shared" si="46"/>
        <v>0</v>
      </c>
    </row>
    <row r="262" spans="2:13" ht="18" x14ac:dyDescent="0.3">
      <c r="B262" s="81"/>
      <c r="C262" s="241"/>
      <c r="D262" s="81"/>
      <c r="E262" s="81"/>
      <c r="F262" s="81"/>
      <c r="G262" s="81"/>
      <c r="H262" s="148">
        <f t="shared" si="47"/>
        <v>0</v>
      </c>
      <c r="I262" s="128"/>
      <c r="J262" s="128"/>
      <c r="K262" s="82">
        <f t="shared" si="46"/>
        <v>0</v>
      </c>
    </row>
    <row r="263" spans="2:13" x14ac:dyDescent="0.3">
      <c r="H263" s="129"/>
    </row>
    <row r="264" spans="2:13" x14ac:dyDescent="0.3">
      <c r="H264" s="129"/>
    </row>
    <row r="265" spans="2:13" ht="36" x14ac:dyDescent="0.3">
      <c r="B265" s="122" t="s">
        <v>0</v>
      </c>
      <c r="C265" s="238" t="s">
        <v>223</v>
      </c>
      <c r="D265" s="122" t="s">
        <v>5</v>
      </c>
      <c r="E265" s="122" t="s">
        <v>220</v>
      </c>
      <c r="F265" s="122" t="s">
        <v>59</v>
      </c>
      <c r="G265" s="122" t="s">
        <v>61</v>
      </c>
      <c r="H265" s="147" t="s">
        <v>221</v>
      </c>
      <c r="I265" s="125" t="s">
        <v>222</v>
      </c>
      <c r="J265" s="125" t="s">
        <v>63</v>
      </c>
      <c r="K265" s="123" t="s">
        <v>1606</v>
      </c>
      <c r="L265" s="124"/>
      <c r="M265" s="124"/>
    </row>
    <row r="266" spans="2:13" ht="18" x14ac:dyDescent="0.3">
      <c r="B266" s="121"/>
      <c r="C266" s="239"/>
      <c r="D266" s="121">
        <f>+SUM(D267:D276)</f>
        <v>9030000</v>
      </c>
      <c r="E266" s="121"/>
      <c r="F266" s="121"/>
      <c r="G266" s="121"/>
      <c r="H266" s="148">
        <f>+SUM(H267:H276)</f>
        <v>1700</v>
      </c>
      <c r="I266" s="126"/>
      <c r="J266" s="126"/>
      <c r="K266" s="121">
        <f>+SUM(K267:K276)</f>
        <v>6205000</v>
      </c>
      <c r="L266" s="118" t="s">
        <v>22</v>
      </c>
      <c r="M266" s="117">
        <f>+D266</f>
        <v>9030000</v>
      </c>
    </row>
    <row r="267" spans="2:13" ht="18" x14ac:dyDescent="0.3">
      <c r="B267" s="26" t="s">
        <v>1602</v>
      </c>
      <c r="C267" s="240" t="s">
        <v>511</v>
      </c>
      <c r="D267" s="26">
        <v>12030000</v>
      </c>
      <c r="E267" s="26"/>
      <c r="F267" s="26"/>
      <c r="G267" s="26"/>
      <c r="H267" s="148">
        <f t="shared" ref="H267:H272" si="48">+F267-G267</f>
        <v>0</v>
      </c>
      <c r="I267" s="127"/>
      <c r="J267" s="127"/>
      <c r="K267" s="82">
        <f t="shared" ref="K267:K269" si="49">+(H267-H267*I267/100)*J267</f>
        <v>0</v>
      </c>
      <c r="L267" s="118" t="str">
        <f>+K265</f>
        <v>одил ака</v>
      </c>
      <c r="M267" s="119">
        <f>+K266</f>
        <v>6205000</v>
      </c>
    </row>
    <row r="268" spans="2:13" ht="18" x14ac:dyDescent="0.3">
      <c r="B268" s="26" t="s">
        <v>1704</v>
      </c>
      <c r="C268" s="241"/>
      <c r="D268" s="81"/>
      <c r="E268" s="81"/>
      <c r="F268" s="81"/>
      <c r="G268" s="81"/>
      <c r="H268" s="148">
        <v>1700</v>
      </c>
      <c r="I268" s="128"/>
      <c r="J268" s="128">
        <v>3650</v>
      </c>
      <c r="K268" s="82">
        <f t="shared" si="49"/>
        <v>6205000</v>
      </c>
      <c r="L268" s="118" t="s">
        <v>57</v>
      </c>
      <c r="M268" s="120">
        <f>+M266-M267</f>
        <v>2825000</v>
      </c>
    </row>
    <row r="269" spans="2:13" ht="18" x14ac:dyDescent="0.3">
      <c r="B269" s="26" t="s">
        <v>1786</v>
      </c>
      <c r="C269" s="241"/>
      <c r="D269" s="81">
        <v>-3000000</v>
      </c>
      <c r="E269" s="81"/>
      <c r="F269" s="81"/>
      <c r="G269" s="81"/>
      <c r="H269" s="148">
        <f t="shared" si="48"/>
        <v>0</v>
      </c>
      <c r="I269" s="128"/>
      <c r="J269" s="128"/>
      <c r="K269" s="82">
        <f t="shared" si="49"/>
        <v>0</v>
      </c>
    </row>
    <row r="270" spans="2:13" ht="18" x14ac:dyDescent="0.3">
      <c r="B270" s="81"/>
      <c r="C270" s="241"/>
      <c r="D270" s="81"/>
      <c r="E270" s="81"/>
      <c r="F270" s="81"/>
      <c r="G270" s="81"/>
      <c r="H270" s="148">
        <f t="shared" si="48"/>
        <v>0</v>
      </c>
      <c r="I270" s="128"/>
      <c r="J270" s="128"/>
      <c r="K270" s="82">
        <f>+(H270-H270*I270/100)*J270</f>
        <v>0</v>
      </c>
    </row>
    <row r="271" spans="2:13" ht="18" x14ac:dyDescent="0.3">
      <c r="B271" s="81"/>
      <c r="C271" s="241"/>
      <c r="D271" s="81"/>
      <c r="E271" s="81"/>
      <c r="F271" s="81"/>
      <c r="G271" s="81"/>
      <c r="H271" s="148">
        <f t="shared" si="48"/>
        <v>0</v>
      </c>
      <c r="I271" s="128"/>
      <c r="J271" s="128"/>
      <c r="K271" s="82">
        <f t="shared" ref="K271:K275" si="50">+(H271-H271*I271/100)*J271</f>
        <v>0</v>
      </c>
    </row>
    <row r="272" spans="2:13" ht="18" x14ac:dyDescent="0.3">
      <c r="B272" s="81"/>
      <c r="C272" s="241"/>
      <c r="D272" s="81"/>
      <c r="E272" s="81"/>
      <c r="F272" s="81"/>
      <c r="G272" s="81"/>
      <c r="H272" s="148">
        <f t="shared" si="48"/>
        <v>0</v>
      </c>
      <c r="I272" s="128"/>
      <c r="J272" s="128"/>
      <c r="K272" s="82">
        <f t="shared" si="50"/>
        <v>0</v>
      </c>
    </row>
    <row r="273" spans="2:13" ht="18" x14ac:dyDescent="0.3">
      <c r="B273" s="81"/>
      <c r="C273" s="241"/>
      <c r="D273" s="81"/>
      <c r="E273" s="81"/>
      <c r="F273" s="81"/>
      <c r="G273" s="81"/>
      <c r="H273" s="148">
        <f t="shared" ref="H273:H275" si="51">+F273-G273</f>
        <v>0</v>
      </c>
      <c r="I273" s="128"/>
      <c r="J273" s="128"/>
      <c r="K273" s="82">
        <f t="shared" si="50"/>
        <v>0</v>
      </c>
    </row>
    <row r="274" spans="2:13" ht="18" x14ac:dyDescent="0.3">
      <c r="B274" s="81"/>
      <c r="C274" s="241"/>
      <c r="D274" s="81"/>
      <c r="E274" s="81"/>
      <c r="F274" s="81"/>
      <c r="G274" s="81"/>
      <c r="H274" s="148">
        <f t="shared" si="51"/>
        <v>0</v>
      </c>
      <c r="I274" s="128"/>
      <c r="J274" s="128"/>
      <c r="K274" s="82">
        <f t="shared" si="50"/>
        <v>0</v>
      </c>
    </row>
    <row r="275" spans="2:13" ht="18" x14ac:dyDescent="0.3">
      <c r="B275" s="81"/>
      <c r="C275" s="241"/>
      <c r="D275" s="81"/>
      <c r="E275" s="81"/>
      <c r="F275" s="81"/>
      <c r="G275" s="81"/>
      <c r="H275" s="148">
        <f t="shared" si="51"/>
        <v>0</v>
      </c>
      <c r="I275" s="128"/>
      <c r="J275" s="128"/>
      <c r="K275" s="82">
        <f t="shared" si="50"/>
        <v>0</v>
      </c>
    </row>
    <row r="277" spans="2:13" ht="36" x14ac:dyDescent="0.3">
      <c r="B277" s="122" t="s">
        <v>0</v>
      </c>
      <c r="C277" s="238" t="s">
        <v>223</v>
      </c>
      <c r="D277" s="122" t="s">
        <v>5</v>
      </c>
      <c r="E277" s="122" t="s">
        <v>220</v>
      </c>
      <c r="F277" s="122" t="s">
        <v>59</v>
      </c>
      <c r="G277" s="122" t="s">
        <v>61</v>
      </c>
      <c r="H277" s="147" t="s">
        <v>221</v>
      </c>
      <c r="I277" s="125" t="s">
        <v>222</v>
      </c>
      <c r="J277" s="125" t="s">
        <v>63</v>
      </c>
      <c r="K277" s="123" t="s">
        <v>1838</v>
      </c>
      <c r="L277" s="124"/>
      <c r="M277" s="124"/>
    </row>
    <row r="278" spans="2:13" ht="18" x14ac:dyDescent="0.3">
      <c r="B278" s="121"/>
      <c r="C278" s="239"/>
      <c r="D278" s="121">
        <f>+SUM(D279:D291)</f>
        <v>35799000</v>
      </c>
      <c r="E278" s="121"/>
      <c r="F278" s="121"/>
      <c r="G278" s="121"/>
      <c r="H278" s="121">
        <f>+SUM(H279:H291)</f>
        <v>8020</v>
      </c>
      <c r="I278" s="126"/>
      <c r="J278" s="126"/>
      <c r="K278" s="121">
        <f>+SUM(K279:K291)</f>
        <v>27669000</v>
      </c>
      <c r="L278" s="118" t="s">
        <v>22</v>
      </c>
      <c r="M278" s="117">
        <f>+D278</f>
        <v>35799000</v>
      </c>
    </row>
    <row r="279" spans="2:13" ht="18" x14ac:dyDescent="0.3">
      <c r="B279" s="26" t="s">
        <v>1822</v>
      </c>
      <c r="C279" s="240"/>
      <c r="D279" s="26"/>
      <c r="E279" s="26">
        <v>266</v>
      </c>
      <c r="F279" s="26">
        <v>27060</v>
      </c>
      <c r="G279" s="26">
        <v>24240</v>
      </c>
      <c r="H279" s="148">
        <f t="shared" ref="H279:H286" si="52">+F279-G279</f>
        <v>2820</v>
      </c>
      <c r="I279" s="127"/>
      <c r="J279" s="127">
        <v>3450</v>
      </c>
      <c r="K279" s="82">
        <f t="shared" ref="K279:K281" si="53">+(H279-H279*I279/100)*J279</f>
        <v>9729000</v>
      </c>
      <c r="L279" s="118" t="str">
        <f>+K277</f>
        <v>фармон</v>
      </c>
      <c r="M279" s="119">
        <f>+K278</f>
        <v>27669000</v>
      </c>
    </row>
    <row r="280" spans="2:13" ht="18" x14ac:dyDescent="0.3">
      <c r="B280" s="81"/>
      <c r="C280" s="241"/>
      <c r="D280" s="81">
        <v>9729000</v>
      </c>
      <c r="E280" s="81"/>
      <c r="F280" s="81"/>
      <c r="G280" s="81"/>
      <c r="H280" s="148">
        <f t="shared" si="52"/>
        <v>0</v>
      </c>
      <c r="I280" s="128"/>
      <c r="J280" s="128"/>
      <c r="K280" s="82">
        <f t="shared" si="53"/>
        <v>0</v>
      </c>
      <c r="L280" s="118" t="s">
        <v>57</v>
      </c>
      <c r="M280" s="120">
        <f>+M278-M279</f>
        <v>8130000</v>
      </c>
    </row>
    <row r="281" spans="2:13" ht="18" x14ac:dyDescent="0.3">
      <c r="B281" s="81" t="s">
        <v>1840</v>
      </c>
      <c r="C281" s="241">
        <v>600</v>
      </c>
      <c r="D281" s="81">
        <f>600*11850</f>
        <v>7110000</v>
      </c>
      <c r="E281" s="81"/>
      <c r="F281" s="81"/>
      <c r="G281" s="81"/>
      <c r="H281" s="148">
        <f t="shared" si="52"/>
        <v>0</v>
      </c>
      <c r="I281" s="128"/>
      <c r="J281" s="128"/>
      <c r="K281" s="82">
        <f t="shared" si="53"/>
        <v>0</v>
      </c>
    </row>
    <row r="282" spans="2:13" ht="18" x14ac:dyDescent="0.3">
      <c r="B282" s="81" t="s">
        <v>1895</v>
      </c>
      <c r="C282" s="241">
        <v>1600</v>
      </c>
      <c r="D282" s="81">
        <f>1600*11850</f>
        <v>18960000</v>
      </c>
      <c r="E282" s="81">
        <v>377</v>
      </c>
      <c r="F282" s="81">
        <v>14740</v>
      </c>
      <c r="G282" s="81">
        <v>9540</v>
      </c>
      <c r="H282" s="148">
        <f t="shared" si="52"/>
        <v>5200</v>
      </c>
      <c r="I282" s="128"/>
      <c r="J282" s="128">
        <v>3450</v>
      </c>
      <c r="K282" s="82">
        <f>+(H282-H282*I282/100)*J282</f>
        <v>17940000</v>
      </c>
      <c r="M282" s="65" t="s">
        <v>33</v>
      </c>
    </row>
    <row r="283" spans="2:13" ht="18" x14ac:dyDescent="0.3">
      <c r="B283" s="81"/>
      <c r="C283" s="241"/>
      <c r="D283" s="81"/>
      <c r="E283" s="81"/>
      <c r="F283" s="81"/>
      <c r="G283" s="81"/>
      <c r="H283" s="148">
        <f t="shared" si="52"/>
        <v>0</v>
      </c>
      <c r="I283" s="128"/>
      <c r="J283" s="128"/>
      <c r="K283" s="82">
        <f t="shared" ref="K283:K286" si="54">+(H283-H283*I283/100)*J283</f>
        <v>0</v>
      </c>
    </row>
    <row r="284" spans="2:13" ht="18" x14ac:dyDescent="0.3">
      <c r="B284" s="81"/>
      <c r="C284" s="241"/>
      <c r="D284" s="81"/>
      <c r="E284" s="81"/>
      <c r="F284" s="81"/>
      <c r="G284" s="81"/>
      <c r="H284" s="148">
        <f t="shared" si="52"/>
        <v>0</v>
      </c>
      <c r="I284" s="128"/>
      <c r="J284" s="128"/>
      <c r="K284" s="82">
        <f t="shared" si="54"/>
        <v>0</v>
      </c>
    </row>
    <row r="285" spans="2:13" ht="18" x14ac:dyDescent="0.3">
      <c r="B285" s="81"/>
      <c r="C285" s="241"/>
      <c r="D285" s="81"/>
      <c r="E285" s="81"/>
      <c r="F285" s="81"/>
      <c r="G285" s="81"/>
      <c r="H285" s="148">
        <f t="shared" si="52"/>
        <v>0</v>
      </c>
      <c r="I285" s="128"/>
      <c r="J285" s="128"/>
      <c r="K285" s="82">
        <f t="shared" si="54"/>
        <v>0</v>
      </c>
    </row>
    <row r="286" spans="2:13" ht="18" x14ac:dyDescent="0.3">
      <c r="B286" s="81"/>
      <c r="C286" s="241"/>
      <c r="D286" s="81"/>
      <c r="E286" s="81"/>
      <c r="F286" s="81"/>
      <c r="G286" s="81"/>
      <c r="H286" s="148">
        <f t="shared" si="52"/>
        <v>0</v>
      </c>
      <c r="I286" s="128"/>
      <c r="J286" s="128"/>
      <c r="K286" s="82">
        <f t="shared" si="54"/>
        <v>0</v>
      </c>
    </row>
    <row r="287" spans="2:13" ht="18" x14ac:dyDescent="0.3">
      <c r="B287" s="81"/>
      <c r="C287" s="241"/>
      <c r="D287" s="81"/>
      <c r="E287" s="81"/>
      <c r="F287" s="81"/>
      <c r="G287" s="81"/>
      <c r="H287" s="148">
        <f t="shared" ref="H287" si="55">+F287-G287</f>
        <v>0</v>
      </c>
      <c r="I287" s="128"/>
      <c r="J287" s="128"/>
      <c r="K287" s="82">
        <f t="shared" ref="K287:K291" si="56">+(H287-H287*I287/100)*J287</f>
        <v>0</v>
      </c>
    </row>
    <row r="288" spans="2:13" ht="18" x14ac:dyDescent="0.3">
      <c r="B288" s="81"/>
      <c r="C288" s="241"/>
      <c r="D288" s="81"/>
      <c r="E288" s="81"/>
      <c r="F288" s="81"/>
      <c r="G288" s="81"/>
      <c r="H288" s="148">
        <f t="shared" ref="H288" si="57">+F288-G288</f>
        <v>0</v>
      </c>
      <c r="I288" s="128"/>
      <c r="J288" s="128"/>
      <c r="K288" s="82">
        <f t="shared" si="56"/>
        <v>0</v>
      </c>
    </row>
    <row r="289" spans="2:13" ht="18" x14ac:dyDescent="0.3">
      <c r="B289" s="81"/>
      <c r="C289" s="241"/>
      <c r="D289" s="81"/>
      <c r="E289" s="81"/>
      <c r="F289" s="81"/>
      <c r="G289" s="81"/>
      <c r="H289" s="148">
        <f t="shared" ref="H289:H291" si="58">+F289-G289</f>
        <v>0</v>
      </c>
      <c r="I289" s="128"/>
      <c r="J289" s="128"/>
      <c r="K289" s="82">
        <f t="shared" si="56"/>
        <v>0</v>
      </c>
    </row>
    <row r="290" spans="2:13" ht="18" x14ac:dyDescent="0.3">
      <c r="B290" s="81"/>
      <c r="C290" s="241"/>
      <c r="D290" s="81"/>
      <c r="E290" s="81"/>
      <c r="F290" s="81"/>
      <c r="G290" s="81"/>
      <c r="H290" s="148">
        <f t="shared" si="58"/>
        <v>0</v>
      </c>
      <c r="I290" s="128"/>
      <c r="J290" s="128"/>
      <c r="K290" s="82">
        <f t="shared" si="56"/>
        <v>0</v>
      </c>
    </row>
    <row r="291" spans="2:13" ht="18" x14ac:dyDescent="0.3">
      <c r="B291" s="81"/>
      <c r="C291" s="241"/>
      <c r="D291" s="81"/>
      <c r="E291" s="81"/>
      <c r="F291" s="81"/>
      <c r="G291" s="81"/>
      <c r="H291" s="148">
        <f t="shared" si="58"/>
        <v>0</v>
      </c>
      <c r="I291" s="128"/>
      <c r="J291" s="128"/>
      <c r="K291" s="82">
        <f t="shared" si="56"/>
        <v>0</v>
      </c>
    </row>
    <row r="292" spans="2:13" x14ac:dyDescent="0.3">
      <c r="H292" s="129"/>
    </row>
    <row r="293" spans="2:13" x14ac:dyDescent="0.3">
      <c r="H293" s="129"/>
    </row>
    <row r="294" spans="2:13" ht="36" x14ac:dyDescent="0.3">
      <c r="B294" s="122" t="s">
        <v>0</v>
      </c>
      <c r="C294" s="238" t="s">
        <v>223</v>
      </c>
      <c r="D294" s="122" t="s">
        <v>5</v>
      </c>
      <c r="E294" s="122" t="s">
        <v>220</v>
      </c>
      <c r="F294" s="122" t="s">
        <v>59</v>
      </c>
      <c r="G294" s="122" t="s">
        <v>61</v>
      </c>
      <c r="H294" s="147" t="s">
        <v>221</v>
      </c>
      <c r="I294" s="125" t="s">
        <v>222</v>
      </c>
      <c r="J294" s="125" t="s">
        <v>63</v>
      </c>
      <c r="K294" s="123" t="s">
        <v>1933</v>
      </c>
      <c r="L294" s="124"/>
      <c r="M294" s="124"/>
    </row>
    <row r="295" spans="2:13" ht="18" x14ac:dyDescent="0.3">
      <c r="B295" s="121"/>
      <c r="C295" s="239"/>
      <c r="D295" s="121">
        <f>+SUM(D296:D319)</f>
        <v>21330000</v>
      </c>
      <c r="E295" s="121"/>
      <c r="F295" s="121"/>
      <c r="G295" s="121"/>
      <c r="H295" s="121">
        <f>+SUM(H296:H319)</f>
        <v>15400</v>
      </c>
      <c r="I295" s="126"/>
      <c r="J295" s="126"/>
      <c r="K295" s="121">
        <f>+SUM(K296:K319)</f>
        <v>54670000</v>
      </c>
      <c r="L295" s="118" t="s">
        <v>22</v>
      </c>
      <c r="M295" s="117">
        <f>+D295</f>
        <v>21330000</v>
      </c>
    </row>
    <row r="296" spans="2:13" ht="18" x14ac:dyDescent="0.3">
      <c r="B296" s="26" t="s">
        <v>1927</v>
      </c>
      <c r="C296" s="241"/>
      <c r="D296" s="81"/>
      <c r="E296" s="81">
        <v>445</v>
      </c>
      <c r="F296" s="81">
        <v>24580</v>
      </c>
      <c r="G296" s="81">
        <v>9180</v>
      </c>
      <c r="H296" s="148">
        <f t="shared" ref="H296:H299" si="59">+F296-G296</f>
        <v>15400</v>
      </c>
      <c r="I296" s="128"/>
      <c r="J296" s="128">
        <v>3550</v>
      </c>
      <c r="K296" s="82">
        <f t="shared" ref="K296:K298" si="60">+(H296-H296*I296/100)*J296</f>
        <v>54670000</v>
      </c>
      <c r="L296" s="118" t="str">
        <f>+K294</f>
        <v>Достон пешку</v>
      </c>
      <c r="M296" s="119">
        <f>+K295</f>
        <v>54670000</v>
      </c>
    </row>
    <row r="297" spans="2:13" ht="18" x14ac:dyDescent="0.3">
      <c r="B297" s="81" t="s">
        <v>1939</v>
      </c>
      <c r="C297" s="241">
        <v>1800</v>
      </c>
      <c r="D297" s="81">
        <f>+C297*11850</f>
        <v>21330000</v>
      </c>
      <c r="E297" s="81"/>
      <c r="F297" s="81"/>
      <c r="G297" s="81"/>
      <c r="H297" s="148">
        <f t="shared" si="59"/>
        <v>0</v>
      </c>
      <c r="I297" s="128"/>
      <c r="J297" s="128"/>
      <c r="K297" s="82">
        <f t="shared" si="60"/>
        <v>0</v>
      </c>
      <c r="L297" s="118" t="s">
        <v>57</v>
      </c>
      <c r="M297" s="120">
        <f>+M295-M296</f>
        <v>-33340000</v>
      </c>
    </row>
    <row r="298" spans="2:13" ht="18" x14ac:dyDescent="0.3">
      <c r="B298" s="81"/>
      <c r="C298" s="241"/>
      <c r="D298" s="81"/>
      <c r="E298" s="81"/>
      <c r="F298" s="81"/>
      <c r="G298" s="81"/>
      <c r="H298" s="148">
        <f t="shared" si="59"/>
        <v>0</v>
      </c>
      <c r="I298" s="128"/>
      <c r="J298" s="128"/>
      <c r="K298" s="82">
        <f t="shared" si="60"/>
        <v>0</v>
      </c>
    </row>
    <row r="299" spans="2:13" ht="18" x14ac:dyDescent="0.3">
      <c r="B299" s="81"/>
      <c r="C299" s="241"/>
      <c r="D299" s="81"/>
      <c r="E299" s="81"/>
      <c r="F299" s="81"/>
      <c r="G299" s="81"/>
      <c r="H299" s="148">
        <f t="shared" si="59"/>
        <v>0</v>
      </c>
      <c r="I299" s="128"/>
      <c r="J299" s="128"/>
      <c r="K299" s="82">
        <f>+(H299-H299*I299/100)*J299</f>
        <v>0</v>
      </c>
    </row>
    <row r="300" spans="2:13" ht="18" x14ac:dyDescent="0.3">
      <c r="B300" s="81"/>
      <c r="C300" s="241"/>
      <c r="D300" s="81"/>
      <c r="E300" s="81"/>
      <c r="F300" s="81"/>
      <c r="G300" s="81"/>
      <c r="H300" s="148">
        <f t="shared" ref="H300:H318" si="61">+F300-G300</f>
        <v>0</v>
      </c>
      <c r="I300" s="128"/>
      <c r="J300" s="128"/>
      <c r="K300" s="82">
        <f t="shared" ref="K300:K318" si="62">+(H300-H300*I300/100)*J300</f>
        <v>0</v>
      </c>
    </row>
    <row r="301" spans="2:13" ht="18" x14ac:dyDescent="0.3">
      <c r="B301" s="81"/>
      <c r="C301" s="241"/>
      <c r="D301" s="81"/>
      <c r="E301" s="81"/>
      <c r="F301" s="81"/>
      <c r="G301" s="81"/>
      <c r="H301" s="148">
        <f t="shared" si="61"/>
        <v>0</v>
      </c>
      <c r="I301" s="128"/>
      <c r="J301" s="128"/>
      <c r="K301" s="82">
        <f t="shared" si="62"/>
        <v>0</v>
      </c>
    </row>
    <row r="302" spans="2:13" ht="18" x14ac:dyDescent="0.3">
      <c r="B302" s="81"/>
      <c r="C302" s="241"/>
      <c r="D302" s="81"/>
      <c r="E302" s="81"/>
      <c r="F302" s="81"/>
      <c r="G302" s="81"/>
      <c r="H302" s="148">
        <f t="shared" si="61"/>
        <v>0</v>
      </c>
      <c r="I302" s="128"/>
      <c r="J302" s="128"/>
      <c r="K302" s="82">
        <f t="shared" si="62"/>
        <v>0</v>
      </c>
    </row>
    <row r="303" spans="2:13" ht="18" x14ac:dyDescent="0.3">
      <c r="B303" s="81"/>
      <c r="C303" s="241"/>
      <c r="D303" s="81"/>
      <c r="E303" s="81"/>
      <c r="F303" s="81"/>
      <c r="G303" s="81"/>
      <c r="H303" s="148">
        <f t="shared" ref="H303" si="63">+F303-G303</f>
        <v>0</v>
      </c>
      <c r="I303" s="128"/>
      <c r="J303" s="128"/>
      <c r="K303" s="82">
        <f t="shared" ref="K303:K304" si="64">+(H303-H303*I303/100)*J303</f>
        <v>0</v>
      </c>
    </row>
    <row r="304" spans="2:13" ht="18" x14ac:dyDescent="0.3">
      <c r="B304" s="81"/>
      <c r="C304" s="241"/>
      <c r="D304" s="81"/>
      <c r="E304" s="81"/>
      <c r="F304" s="81"/>
      <c r="G304" s="81"/>
      <c r="H304" s="148">
        <f t="shared" si="61"/>
        <v>0</v>
      </c>
      <c r="I304" s="128"/>
      <c r="J304" s="128"/>
      <c r="K304" s="82">
        <f t="shared" si="64"/>
        <v>0</v>
      </c>
    </row>
    <row r="305" spans="2:11" ht="18" x14ac:dyDescent="0.3">
      <c r="B305" s="81"/>
      <c r="C305" s="241"/>
      <c r="D305" s="81"/>
      <c r="E305" s="81"/>
      <c r="F305" s="81"/>
      <c r="G305" s="81"/>
      <c r="H305" s="148">
        <f t="shared" si="61"/>
        <v>0</v>
      </c>
      <c r="I305" s="128"/>
      <c r="J305" s="128"/>
      <c r="K305" s="82">
        <f t="shared" si="62"/>
        <v>0</v>
      </c>
    </row>
    <row r="306" spans="2:11" ht="18" x14ac:dyDescent="0.3">
      <c r="B306" s="81"/>
      <c r="C306" s="241"/>
      <c r="D306" s="81"/>
      <c r="E306" s="81"/>
      <c r="F306" s="81"/>
      <c r="G306" s="81"/>
      <c r="H306" s="148">
        <f t="shared" si="61"/>
        <v>0</v>
      </c>
      <c r="I306" s="128"/>
      <c r="J306" s="128"/>
      <c r="K306" s="82">
        <f t="shared" si="62"/>
        <v>0</v>
      </c>
    </row>
    <row r="307" spans="2:11" ht="18" x14ac:dyDescent="0.3">
      <c r="B307" s="81"/>
      <c r="C307" s="241"/>
      <c r="D307" s="81"/>
      <c r="E307" s="81"/>
      <c r="F307" s="81"/>
      <c r="G307" s="81"/>
      <c r="H307" s="148">
        <f t="shared" si="61"/>
        <v>0</v>
      </c>
      <c r="I307" s="128"/>
      <c r="J307" s="128"/>
      <c r="K307" s="82">
        <f t="shared" si="62"/>
        <v>0</v>
      </c>
    </row>
    <row r="308" spans="2:11" ht="18" x14ac:dyDescent="0.3">
      <c r="B308" s="81"/>
      <c r="C308" s="241"/>
      <c r="D308" s="81"/>
      <c r="E308" s="81"/>
      <c r="F308" s="81"/>
      <c r="G308" s="81"/>
      <c r="H308" s="148">
        <f t="shared" si="61"/>
        <v>0</v>
      </c>
      <c r="I308" s="128"/>
      <c r="J308" s="128"/>
      <c r="K308" s="82">
        <f t="shared" si="62"/>
        <v>0</v>
      </c>
    </row>
    <row r="309" spans="2:11" ht="18" x14ac:dyDescent="0.3">
      <c r="B309" s="81"/>
      <c r="C309" s="241"/>
      <c r="D309" s="81"/>
      <c r="E309" s="81"/>
      <c r="F309" s="81"/>
      <c r="G309" s="81"/>
      <c r="H309" s="148">
        <f t="shared" si="61"/>
        <v>0</v>
      </c>
      <c r="I309" s="128"/>
      <c r="J309" s="128"/>
      <c r="K309" s="82">
        <f t="shared" si="62"/>
        <v>0</v>
      </c>
    </row>
    <row r="310" spans="2:11" ht="18" x14ac:dyDescent="0.3">
      <c r="B310" s="81"/>
      <c r="C310" s="241"/>
      <c r="D310" s="81"/>
      <c r="E310" s="81"/>
      <c r="F310" s="81"/>
      <c r="G310" s="81"/>
      <c r="H310" s="148">
        <f t="shared" si="61"/>
        <v>0</v>
      </c>
      <c r="I310" s="128"/>
      <c r="J310" s="128"/>
      <c r="K310" s="82">
        <f t="shared" si="62"/>
        <v>0</v>
      </c>
    </row>
    <row r="311" spans="2:11" ht="18" x14ac:dyDescent="0.3">
      <c r="B311" s="81"/>
      <c r="C311" s="241"/>
      <c r="D311" s="81"/>
      <c r="E311" s="81"/>
      <c r="F311" s="81"/>
      <c r="G311" s="81"/>
      <c r="H311" s="148">
        <f t="shared" si="61"/>
        <v>0</v>
      </c>
      <c r="I311" s="128"/>
      <c r="J311" s="128"/>
      <c r="K311" s="82">
        <f t="shared" si="62"/>
        <v>0</v>
      </c>
    </row>
    <row r="312" spans="2:11" ht="18" x14ac:dyDescent="0.3">
      <c r="B312" s="81"/>
      <c r="C312" s="241"/>
      <c r="D312" s="81"/>
      <c r="E312" s="81"/>
      <c r="F312" s="81"/>
      <c r="G312" s="81"/>
      <c r="H312" s="148">
        <f t="shared" si="61"/>
        <v>0</v>
      </c>
      <c r="I312" s="128"/>
      <c r="J312" s="128"/>
      <c r="K312" s="82">
        <f t="shared" si="62"/>
        <v>0</v>
      </c>
    </row>
    <row r="313" spans="2:11" ht="18" x14ac:dyDescent="0.3">
      <c r="B313" s="81"/>
      <c r="C313" s="241"/>
      <c r="D313" s="81"/>
      <c r="E313" s="81"/>
      <c r="F313" s="81"/>
      <c r="G313" s="81"/>
      <c r="H313" s="148">
        <f t="shared" si="61"/>
        <v>0</v>
      </c>
      <c r="I313" s="128"/>
      <c r="J313" s="128"/>
      <c r="K313" s="82">
        <f t="shared" si="62"/>
        <v>0</v>
      </c>
    </row>
    <row r="314" spans="2:11" ht="18" x14ac:dyDescent="0.3">
      <c r="B314" s="81"/>
      <c r="C314" s="241"/>
      <c r="D314" s="81"/>
      <c r="E314" s="81"/>
      <c r="F314" s="81"/>
      <c r="G314" s="81"/>
      <c r="H314" s="148">
        <f t="shared" si="61"/>
        <v>0</v>
      </c>
      <c r="I314" s="128"/>
      <c r="J314" s="128"/>
      <c r="K314" s="82">
        <f t="shared" si="62"/>
        <v>0</v>
      </c>
    </row>
    <row r="315" spans="2:11" ht="18" x14ac:dyDescent="0.3">
      <c r="B315" s="81"/>
      <c r="C315" s="241"/>
      <c r="D315" s="81"/>
      <c r="E315" s="81"/>
      <c r="F315" s="81"/>
      <c r="G315" s="81"/>
      <c r="H315" s="148">
        <f t="shared" si="61"/>
        <v>0</v>
      </c>
      <c r="I315" s="128"/>
      <c r="J315" s="128"/>
      <c r="K315" s="82">
        <f t="shared" si="62"/>
        <v>0</v>
      </c>
    </row>
    <row r="316" spans="2:11" ht="18" x14ac:dyDescent="0.3">
      <c r="B316" s="81"/>
      <c r="C316" s="241"/>
      <c r="D316" s="81"/>
      <c r="E316" s="81"/>
      <c r="F316" s="81"/>
      <c r="G316" s="81"/>
      <c r="H316" s="148">
        <f t="shared" si="61"/>
        <v>0</v>
      </c>
      <c r="I316" s="128"/>
      <c r="J316" s="128"/>
      <c r="K316" s="82">
        <f t="shared" si="62"/>
        <v>0</v>
      </c>
    </row>
    <row r="317" spans="2:11" ht="18" x14ac:dyDescent="0.3">
      <c r="B317" s="81"/>
      <c r="C317" s="241"/>
      <c r="D317" s="81"/>
      <c r="E317" s="81"/>
      <c r="F317" s="81"/>
      <c r="G317" s="81"/>
      <c r="H317" s="148">
        <f t="shared" si="61"/>
        <v>0</v>
      </c>
      <c r="I317" s="128"/>
      <c r="J317" s="128"/>
      <c r="K317" s="82">
        <f t="shared" si="62"/>
        <v>0</v>
      </c>
    </row>
    <row r="318" spans="2:11" ht="18" x14ac:dyDescent="0.3">
      <c r="B318" s="81"/>
      <c r="C318" s="241"/>
      <c r="D318" s="81"/>
      <c r="E318" s="81"/>
      <c r="F318" s="81"/>
      <c r="G318" s="81"/>
      <c r="H318" s="148">
        <f t="shared" si="61"/>
        <v>0</v>
      </c>
      <c r="I318" s="128"/>
      <c r="J318" s="128"/>
      <c r="K318" s="82">
        <f t="shared" si="62"/>
        <v>0</v>
      </c>
    </row>
    <row r="321" spans="2:13" ht="36" x14ac:dyDescent="0.3">
      <c r="B321" s="122" t="s">
        <v>0</v>
      </c>
      <c r="C321" s="238" t="s">
        <v>223</v>
      </c>
      <c r="D321" s="122" t="s">
        <v>5</v>
      </c>
      <c r="E321" s="122" t="s">
        <v>220</v>
      </c>
      <c r="F321" s="122" t="s">
        <v>59</v>
      </c>
      <c r="G321" s="122" t="s">
        <v>61</v>
      </c>
      <c r="H321" s="147" t="s">
        <v>221</v>
      </c>
      <c r="I321" s="125" t="s">
        <v>222</v>
      </c>
      <c r="J321" s="125" t="s">
        <v>63</v>
      </c>
      <c r="K321" s="123" t="s">
        <v>1935</v>
      </c>
      <c r="L321" s="124"/>
      <c r="M321" s="124"/>
    </row>
    <row r="322" spans="2:13" ht="18" x14ac:dyDescent="0.3">
      <c r="B322" s="121"/>
      <c r="C322" s="239"/>
      <c r="D322" s="121">
        <f>+SUM(D323:D336)</f>
        <v>3010000</v>
      </c>
      <c r="E322" s="121"/>
      <c r="F322" s="121"/>
      <c r="G322" s="121"/>
      <c r="H322" s="121">
        <f>+SUM(H323:H336)</f>
        <v>12040</v>
      </c>
      <c r="I322" s="126"/>
      <c r="J322" s="126"/>
      <c r="K322" s="148">
        <f>+SUM(K323:K335)</f>
        <v>45547320</v>
      </c>
      <c r="L322" s="118" t="s">
        <v>22</v>
      </c>
      <c r="M322" s="117">
        <f>+D322</f>
        <v>3010000</v>
      </c>
    </row>
    <row r="323" spans="2:13" ht="18" x14ac:dyDescent="0.3">
      <c r="B323" s="26" t="s">
        <v>1927</v>
      </c>
      <c r="C323" s="240" t="s">
        <v>1175</v>
      </c>
      <c r="D323" s="26">
        <f>12040*250</f>
        <v>3010000</v>
      </c>
      <c r="E323" s="26">
        <v>463</v>
      </c>
      <c r="F323" s="26">
        <v>22820</v>
      </c>
      <c r="G323" s="26">
        <v>10780</v>
      </c>
      <c r="H323" s="148">
        <f t="shared" ref="H323:H334" si="65">+F323-G323</f>
        <v>12040</v>
      </c>
      <c r="I323" s="127">
        <v>3</v>
      </c>
      <c r="J323" s="127">
        <v>3900</v>
      </c>
      <c r="K323" s="82">
        <f>+(H323-H323*I323/100)*J323</f>
        <v>45547320</v>
      </c>
      <c r="L323" s="118" t="str">
        <f>+K321</f>
        <v>истат</v>
      </c>
      <c r="M323" s="119">
        <f>+K322</f>
        <v>45547320</v>
      </c>
    </row>
    <row r="324" spans="2:13" ht="18" x14ac:dyDescent="0.3">
      <c r="B324" s="26"/>
      <c r="C324" s="241"/>
      <c r="D324" s="81"/>
      <c r="E324" s="81"/>
      <c r="F324" s="81"/>
      <c r="G324" s="81"/>
      <c r="H324" s="148">
        <f t="shared" si="65"/>
        <v>0</v>
      </c>
      <c r="I324" s="128"/>
      <c r="J324" s="128"/>
      <c r="K324" s="82">
        <f>+(H324-H324*I324/100)*J324</f>
        <v>0</v>
      </c>
      <c r="L324" s="118" t="s">
        <v>57</v>
      </c>
      <c r="M324" s="120">
        <f>+M322-M323</f>
        <v>-42537320</v>
      </c>
    </row>
    <row r="325" spans="2:13" ht="18" x14ac:dyDescent="0.3">
      <c r="B325" s="26"/>
      <c r="C325" s="241"/>
      <c r="D325" s="81"/>
      <c r="E325" s="81"/>
      <c r="F325" s="81"/>
      <c r="G325" s="81"/>
      <c r="H325" s="148">
        <f t="shared" si="65"/>
        <v>0</v>
      </c>
      <c r="I325" s="128"/>
      <c r="J325" s="128"/>
      <c r="K325" s="82">
        <f>+(H325-H325*I325/100)*J325</f>
        <v>0</v>
      </c>
    </row>
    <row r="326" spans="2:13" ht="18" x14ac:dyDescent="0.3">
      <c r="B326" s="26"/>
      <c r="C326" s="241"/>
      <c r="D326" s="81"/>
      <c r="E326" s="81"/>
      <c r="F326" s="81"/>
      <c r="G326" s="81"/>
      <c r="H326" s="148">
        <f t="shared" si="65"/>
        <v>0</v>
      </c>
      <c r="I326" s="128"/>
      <c r="J326" s="128"/>
      <c r="K326" s="82">
        <f>+(H326-H326*I326/100)*J326</f>
        <v>0</v>
      </c>
    </row>
    <row r="327" spans="2:13" ht="18" x14ac:dyDescent="0.3">
      <c r="B327" s="26"/>
      <c r="C327" s="241"/>
      <c r="D327" s="81"/>
      <c r="E327" s="81"/>
      <c r="F327" s="81"/>
      <c r="G327" s="81"/>
      <c r="H327" s="148">
        <f t="shared" si="65"/>
        <v>0</v>
      </c>
      <c r="I327" s="128"/>
      <c r="J327" s="128"/>
      <c r="K327" s="82">
        <f t="shared" ref="K327:K335" si="66">+(H327-H327*I327/100)*J327</f>
        <v>0</v>
      </c>
    </row>
    <row r="328" spans="2:13" ht="18" x14ac:dyDescent="0.3">
      <c r="B328" s="81"/>
      <c r="C328" s="241"/>
      <c r="D328" s="81"/>
      <c r="E328" s="81"/>
      <c r="F328" s="81"/>
      <c r="G328" s="81"/>
      <c r="H328" s="148">
        <f t="shared" si="65"/>
        <v>0</v>
      </c>
      <c r="I328" s="128"/>
      <c r="J328" s="128"/>
      <c r="K328" s="82">
        <f t="shared" si="66"/>
        <v>0</v>
      </c>
    </row>
    <row r="329" spans="2:13" ht="18" x14ac:dyDescent="0.3">
      <c r="B329" s="81"/>
      <c r="C329" s="241"/>
      <c r="D329" s="81"/>
      <c r="E329" s="81"/>
      <c r="F329" s="81"/>
      <c r="G329" s="81"/>
      <c r="H329" s="148">
        <f t="shared" si="65"/>
        <v>0</v>
      </c>
      <c r="I329" s="128"/>
      <c r="J329" s="128"/>
      <c r="K329" s="82">
        <f t="shared" si="66"/>
        <v>0</v>
      </c>
    </row>
    <row r="330" spans="2:13" ht="18" x14ac:dyDescent="0.3">
      <c r="B330" s="81"/>
      <c r="C330" s="241"/>
      <c r="D330" s="81"/>
      <c r="E330" s="81"/>
      <c r="F330" s="81"/>
      <c r="G330" s="81"/>
      <c r="H330" s="148">
        <f t="shared" si="65"/>
        <v>0</v>
      </c>
      <c r="I330" s="128"/>
      <c r="J330" s="128"/>
      <c r="K330" s="82">
        <f t="shared" si="66"/>
        <v>0</v>
      </c>
    </row>
    <row r="331" spans="2:13" ht="18" x14ac:dyDescent="0.3">
      <c r="B331" s="81"/>
      <c r="C331" s="241"/>
      <c r="D331" s="81"/>
      <c r="E331" s="81"/>
      <c r="F331" s="81"/>
      <c r="G331" s="81"/>
      <c r="H331" s="148">
        <f t="shared" si="65"/>
        <v>0</v>
      </c>
      <c r="I331" s="128"/>
      <c r="J331" s="128"/>
      <c r="K331" s="82">
        <f t="shared" si="66"/>
        <v>0</v>
      </c>
    </row>
    <row r="332" spans="2:13" ht="18" x14ac:dyDescent="0.3">
      <c r="B332" s="81"/>
      <c r="C332" s="242"/>
      <c r="D332" s="216"/>
      <c r="E332" s="81"/>
      <c r="F332" s="81"/>
      <c r="G332" s="81"/>
      <c r="H332" s="148">
        <f t="shared" si="65"/>
        <v>0</v>
      </c>
      <c r="I332" s="128"/>
      <c r="J332" s="128"/>
      <c r="K332" s="82">
        <f t="shared" si="66"/>
        <v>0</v>
      </c>
    </row>
    <row r="333" spans="2:13" ht="18" x14ac:dyDescent="0.3">
      <c r="B333" s="81"/>
      <c r="C333" s="241"/>
      <c r="D333" s="81"/>
      <c r="E333" s="81"/>
      <c r="F333" s="81"/>
      <c r="G333" s="81"/>
      <c r="H333" s="148">
        <f t="shared" si="65"/>
        <v>0</v>
      </c>
      <c r="I333" s="128"/>
      <c r="J333" s="128"/>
      <c r="K333" s="82">
        <f t="shared" si="66"/>
        <v>0</v>
      </c>
    </row>
    <row r="334" spans="2:13" ht="18" x14ac:dyDescent="0.3">
      <c r="B334" s="81"/>
      <c r="C334" s="241"/>
      <c r="D334" s="81"/>
      <c r="E334" s="81"/>
      <c r="F334" s="81"/>
      <c r="G334" s="81"/>
      <c r="H334" s="148">
        <f t="shared" si="65"/>
        <v>0</v>
      </c>
      <c r="I334" s="128"/>
      <c r="J334" s="128"/>
      <c r="K334" s="82">
        <f t="shared" si="66"/>
        <v>0</v>
      </c>
    </row>
    <row r="335" spans="2:13" ht="18" x14ac:dyDescent="0.3">
      <c r="B335" s="81"/>
      <c r="C335" s="241"/>
      <c r="D335" s="81"/>
      <c r="E335" s="81"/>
      <c r="F335" s="81"/>
      <c r="G335" s="81"/>
      <c r="H335" s="148">
        <f t="shared" ref="H335" si="67">+F335-G335</f>
        <v>0</v>
      </c>
      <c r="I335" s="128"/>
      <c r="J335" s="128"/>
      <c r="K335" s="82">
        <f t="shared" si="66"/>
        <v>0</v>
      </c>
    </row>
    <row r="336" spans="2:13" x14ac:dyDescent="0.3">
      <c r="H336" s="65"/>
    </row>
    <row r="337" spans="2:13" x14ac:dyDescent="0.3">
      <c r="H337" s="65"/>
    </row>
    <row r="338" spans="2:13" ht="36" x14ac:dyDescent="0.3">
      <c r="B338" s="122" t="s">
        <v>0</v>
      </c>
      <c r="C338" s="238" t="s">
        <v>223</v>
      </c>
      <c r="D338" s="122" t="s">
        <v>5</v>
      </c>
      <c r="E338" s="122" t="s">
        <v>220</v>
      </c>
      <c r="F338" s="122" t="s">
        <v>59</v>
      </c>
      <c r="G338" s="122" t="s">
        <v>61</v>
      </c>
      <c r="H338" s="147" t="s">
        <v>221</v>
      </c>
      <c r="I338" s="125" t="s">
        <v>222</v>
      </c>
      <c r="J338" s="125" t="s">
        <v>63</v>
      </c>
      <c r="K338" s="123" t="s">
        <v>805</v>
      </c>
      <c r="L338" s="124"/>
      <c r="M338" s="124"/>
    </row>
    <row r="339" spans="2:13" ht="18" x14ac:dyDescent="0.3">
      <c r="B339" s="121"/>
      <c r="C339" s="239"/>
      <c r="D339" s="121">
        <f>+SUM(D340:D349)</f>
        <v>0</v>
      </c>
      <c r="E339" s="121"/>
      <c r="F339" s="121"/>
      <c r="G339" s="121"/>
      <c r="H339" s="121">
        <f>+SUM(H340:H349)</f>
        <v>5760</v>
      </c>
      <c r="I339" s="126"/>
      <c r="J339" s="126"/>
      <c r="K339" s="148">
        <f>+SUM(K340:K349)</f>
        <v>20160000</v>
      </c>
      <c r="L339" s="118" t="s">
        <v>22</v>
      </c>
      <c r="M339" s="117">
        <f>+D339</f>
        <v>0</v>
      </c>
    </row>
    <row r="340" spans="2:13" ht="18" x14ac:dyDescent="0.3">
      <c r="B340" s="26" t="s">
        <v>1927</v>
      </c>
      <c r="C340" s="240"/>
      <c r="D340" s="26"/>
      <c r="E340" s="26">
        <v>421</v>
      </c>
      <c r="F340" s="26">
        <v>30460</v>
      </c>
      <c r="G340" s="26">
        <v>24700</v>
      </c>
      <c r="H340" s="149">
        <f t="shared" ref="H340:H346" si="68">+F340-G340</f>
        <v>5760</v>
      </c>
      <c r="I340" s="127"/>
      <c r="J340" s="127">
        <v>3500</v>
      </c>
      <c r="K340" s="82">
        <f>+(H340-H340*I340/100)*J340</f>
        <v>20160000</v>
      </c>
      <c r="L340" s="118" t="str">
        <f>+K338</f>
        <v>сироч еко</v>
      </c>
      <c r="M340" s="119">
        <f>+K339</f>
        <v>20160000</v>
      </c>
    </row>
    <row r="341" spans="2:13" ht="18" x14ac:dyDescent="0.3">
      <c r="B341" s="81"/>
      <c r="C341" s="241"/>
      <c r="D341" s="81"/>
      <c r="E341" s="81"/>
      <c r="F341" s="81"/>
      <c r="G341" s="81"/>
      <c r="H341" s="149">
        <f t="shared" si="68"/>
        <v>0</v>
      </c>
      <c r="I341" s="128"/>
      <c r="J341" s="128"/>
      <c r="K341" s="82">
        <f>+(H341-H341*I341/100)*J341</f>
        <v>0</v>
      </c>
      <c r="L341" s="118" t="s">
        <v>57</v>
      </c>
      <c r="M341" s="120">
        <f>+M339-M340</f>
        <v>-20160000</v>
      </c>
    </row>
    <row r="342" spans="2:13" ht="18" x14ac:dyDescent="0.3">
      <c r="B342" s="81"/>
      <c r="C342" s="241"/>
      <c r="D342" s="81"/>
      <c r="E342" s="81"/>
      <c r="F342" s="81"/>
      <c r="G342" s="81"/>
      <c r="H342" s="149">
        <f t="shared" si="68"/>
        <v>0</v>
      </c>
      <c r="I342" s="128"/>
      <c r="J342" s="128"/>
      <c r="K342" s="82">
        <f>+(H342-H342*I342/100)*J342</f>
        <v>0</v>
      </c>
    </row>
    <row r="343" spans="2:13" ht="18" x14ac:dyDescent="0.3">
      <c r="B343" s="81"/>
      <c r="C343" s="241"/>
      <c r="D343" s="81"/>
      <c r="E343" s="81"/>
      <c r="F343" s="81"/>
      <c r="G343" s="81"/>
      <c r="H343" s="149">
        <f t="shared" si="68"/>
        <v>0</v>
      </c>
      <c r="I343" s="128"/>
      <c r="J343" s="128"/>
      <c r="K343" s="82">
        <f>+(H343-H343*I343/100)*J343</f>
        <v>0</v>
      </c>
    </row>
    <row r="344" spans="2:13" ht="18" x14ac:dyDescent="0.3">
      <c r="B344" s="81"/>
      <c r="C344" s="241"/>
      <c r="D344" s="81"/>
      <c r="E344" s="81"/>
      <c r="F344" s="81"/>
      <c r="G344" s="81"/>
      <c r="H344" s="149">
        <f t="shared" si="68"/>
        <v>0</v>
      </c>
      <c r="I344" s="128"/>
      <c r="J344" s="128"/>
      <c r="K344" s="82">
        <f t="shared" ref="K344:K349" si="69">+(H344-H344*I344/100)*J344</f>
        <v>0</v>
      </c>
    </row>
    <row r="345" spans="2:13" ht="18" x14ac:dyDescent="0.3">
      <c r="B345" s="81"/>
      <c r="C345" s="241"/>
      <c r="D345" s="81"/>
      <c r="E345" s="81"/>
      <c r="F345" s="81"/>
      <c r="G345" s="81"/>
      <c r="H345" s="149">
        <f t="shared" si="68"/>
        <v>0</v>
      </c>
      <c r="I345" s="128"/>
      <c r="J345" s="128"/>
      <c r="K345" s="82">
        <f t="shared" si="69"/>
        <v>0</v>
      </c>
    </row>
    <row r="346" spans="2:13" ht="18" x14ac:dyDescent="0.3">
      <c r="B346" s="81"/>
      <c r="C346" s="241"/>
      <c r="D346" s="81"/>
      <c r="E346" s="81"/>
      <c r="F346" s="81"/>
      <c r="G346" s="81"/>
      <c r="H346" s="149">
        <f t="shared" si="68"/>
        <v>0</v>
      </c>
      <c r="I346" s="128"/>
      <c r="J346" s="128"/>
      <c r="K346" s="82">
        <f t="shared" si="69"/>
        <v>0</v>
      </c>
    </row>
    <row r="347" spans="2:13" ht="18" x14ac:dyDescent="0.3">
      <c r="B347" s="81"/>
      <c r="C347" s="241"/>
      <c r="D347" s="81"/>
      <c r="E347" s="81"/>
      <c r="F347" s="81"/>
      <c r="G347" s="81"/>
      <c r="H347" s="149">
        <f t="shared" ref="H347" si="70">+F347-G347</f>
        <v>0</v>
      </c>
      <c r="I347" s="128"/>
      <c r="J347" s="128"/>
      <c r="K347" s="82">
        <f t="shared" si="69"/>
        <v>0</v>
      </c>
    </row>
    <row r="348" spans="2:13" ht="18" x14ac:dyDescent="0.3">
      <c r="B348" s="81"/>
      <c r="C348" s="241"/>
      <c r="D348" s="81"/>
      <c r="E348" s="81"/>
      <c r="F348" s="81"/>
      <c r="G348" s="81"/>
      <c r="H348" s="149">
        <f t="shared" ref="H348:H349" si="71">+F348-G348</f>
        <v>0</v>
      </c>
      <c r="I348" s="128"/>
      <c r="J348" s="128"/>
      <c r="K348" s="82">
        <f t="shared" si="69"/>
        <v>0</v>
      </c>
    </row>
    <row r="349" spans="2:13" ht="18" x14ac:dyDescent="0.3">
      <c r="B349" s="81"/>
      <c r="C349" s="241"/>
      <c r="D349" s="81"/>
      <c r="E349" s="81"/>
      <c r="F349" s="81"/>
      <c r="G349" s="81"/>
      <c r="H349" s="149">
        <f t="shared" si="71"/>
        <v>0</v>
      </c>
      <c r="I349" s="128"/>
      <c r="J349" s="128"/>
      <c r="K349" s="82">
        <f t="shared" si="69"/>
        <v>0</v>
      </c>
    </row>
    <row r="350" spans="2:13" ht="18" x14ac:dyDescent="0.3">
      <c r="B350" s="172"/>
      <c r="C350" s="243"/>
      <c r="D350" s="172"/>
      <c r="E350" s="172"/>
      <c r="F350" s="172"/>
      <c r="H350" s="65"/>
    </row>
    <row r="351" spans="2:13" x14ac:dyDescent="0.3">
      <c r="H351" s="65"/>
    </row>
    <row r="352" spans="2:13" ht="36" x14ac:dyDescent="0.3">
      <c r="B352" s="122" t="s">
        <v>0</v>
      </c>
      <c r="C352" s="238" t="s">
        <v>223</v>
      </c>
      <c r="D352" s="122" t="s">
        <v>5</v>
      </c>
      <c r="E352" s="122" t="s">
        <v>220</v>
      </c>
      <c r="F352" s="122" t="s">
        <v>59</v>
      </c>
      <c r="G352" s="122" t="s">
        <v>61</v>
      </c>
      <c r="H352" s="147" t="s">
        <v>221</v>
      </c>
      <c r="I352" s="125" t="s">
        <v>222</v>
      </c>
      <c r="J352" s="125" t="s">
        <v>63</v>
      </c>
      <c r="K352" s="123" t="s">
        <v>1936</v>
      </c>
      <c r="L352" s="124"/>
      <c r="M352" s="124"/>
    </row>
    <row r="353" spans="2:13" ht="18" x14ac:dyDescent="0.3">
      <c r="B353" s="121"/>
      <c r="C353" s="239"/>
      <c r="D353" s="121">
        <f>+SUM(D354:D363)</f>
        <v>3555000</v>
      </c>
      <c r="E353" s="121"/>
      <c r="F353" s="121"/>
      <c r="G353" s="121"/>
      <c r="H353" s="121">
        <f>+SUM(H354:H363)</f>
        <v>0</v>
      </c>
      <c r="I353" s="126"/>
      <c r="J353" s="126"/>
      <c r="K353" s="121">
        <f>+SUM(K354:K363)</f>
        <v>0</v>
      </c>
      <c r="L353" s="118" t="s">
        <v>22</v>
      </c>
      <c r="M353" s="117">
        <f>+D353</f>
        <v>3555000</v>
      </c>
    </row>
    <row r="354" spans="2:13" ht="18" x14ac:dyDescent="0.3">
      <c r="B354" s="26"/>
      <c r="C354" s="240">
        <v>300</v>
      </c>
      <c r="D354" s="26">
        <f>300*11850</f>
        <v>3555000</v>
      </c>
      <c r="E354" s="26"/>
      <c r="F354" s="26"/>
      <c r="G354" s="26"/>
      <c r="H354" s="149">
        <f t="shared" ref="H354:H358" si="72">+F354-G354</f>
        <v>0</v>
      </c>
      <c r="I354" s="127"/>
      <c r="J354" s="127"/>
      <c r="K354" s="82">
        <f t="shared" ref="K354:K359" si="73">+(H354-H354*I354/100)*J354</f>
        <v>0</v>
      </c>
      <c r="L354" s="118" t="str">
        <f>+K352</f>
        <v>фарход путури</v>
      </c>
      <c r="M354" s="119">
        <f>+K353</f>
        <v>0</v>
      </c>
    </row>
    <row r="355" spans="2:13" ht="18" x14ac:dyDescent="0.3">
      <c r="B355" s="26"/>
      <c r="C355" s="241"/>
      <c r="D355" s="81"/>
      <c r="E355" s="81"/>
      <c r="F355" s="81"/>
      <c r="G355" s="81"/>
      <c r="H355" s="149">
        <f t="shared" si="72"/>
        <v>0</v>
      </c>
      <c r="I355" s="128"/>
      <c r="J355" s="128"/>
      <c r="K355" s="82">
        <f t="shared" si="73"/>
        <v>0</v>
      </c>
      <c r="L355" s="118" t="s">
        <v>57</v>
      </c>
      <c r="M355" s="120">
        <f>+M353-M354</f>
        <v>3555000</v>
      </c>
    </row>
    <row r="356" spans="2:13" ht="18" x14ac:dyDescent="0.3">
      <c r="B356" s="81"/>
      <c r="C356" s="241"/>
      <c r="D356" s="81"/>
      <c r="E356" s="81"/>
      <c r="F356" s="81"/>
      <c r="G356" s="81"/>
      <c r="H356" s="149">
        <f t="shared" si="72"/>
        <v>0</v>
      </c>
      <c r="I356" s="128"/>
      <c r="J356" s="128"/>
      <c r="K356" s="82">
        <f t="shared" si="73"/>
        <v>0</v>
      </c>
    </row>
    <row r="357" spans="2:13" ht="18" x14ac:dyDescent="0.3">
      <c r="B357" s="81"/>
      <c r="C357" s="241"/>
      <c r="D357" s="81"/>
      <c r="E357" s="81"/>
      <c r="F357" s="81"/>
      <c r="G357" s="81"/>
      <c r="H357" s="149">
        <f t="shared" si="72"/>
        <v>0</v>
      </c>
      <c r="I357" s="128"/>
      <c r="J357" s="128"/>
      <c r="K357" s="82">
        <f t="shared" si="73"/>
        <v>0</v>
      </c>
    </row>
    <row r="358" spans="2:13" ht="18" x14ac:dyDescent="0.3">
      <c r="B358" s="81"/>
      <c r="C358" s="241"/>
      <c r="D358" s="81"/>
      <c r="E358" s="81"/>
      <c r="F358" s="81"/>
      <c r="G358" s="81"/>
      <c r="H358" s="149">
        <f t="shared" si="72"/>
        <v>0</v>
      </c>
      <c r="I358" s="128"/>
      <c r="J358" s="128"/>
      <c r="K358" s="82">
        <f t="shared" si="73"/>
        <v>0</v>
      </c>
    </row>
    <row r="359" spans="2:13" ht="18" x14ac:dyDescent="0.3">
      <c r="B359" s="81"/>
      <c r="C359" s="241"/>
      <c r="D359" s="81"/>
      <c r="E359" s="81"/>
      <c r="F359" s="81"/>
      <c r="G359" s="81"/>
      <c r="H359" s="149">
        <f t="shared" ref="H359:H362" si="74">+F359-G359</f>
        <v>0</v>
      </c>
      <c r="I359" s="128"/>
      <c r="J359" s="128"/>
      <c r="K359" s="82">
        <f t="shared" si="73"/>
        <v>0</v>
      </c>
    </row>
    <row r="360" spans="2:13" ht="18" x14ac:dyDescent="0.3">
      <c r="B360" s="81"/>
      <c r="C360" s="241"/>
      <c r="D360" s="81"/>
      <c r="E360" s="81"/>
      <c r="F360" s="81"/>
      <c r="G360" s="81"/>
      <c r="H360" s="149">
        <f t="shared" si="74"/>
        <v>0</v>
      </c>
      <c r="I360" s="128"/>
      <c r="J360" s="128"/>
      <c r="K360" s="82">
        <f t="shared" ref="K360:K362" si="75">+(H360-H360*I360/100)*J360</f>
        <v>0</v>
      </c>
    </row>
    <row r="361" spans="2:13" ht="18" x14ac:dyDescent="0.3">
      <c r="B361" s="81"/>
      <c r="C361" s="241"/>
      <c r="D361" s="81"/>
      <c r="E361" s="81"/>
      <c r="F361" s="81"/>
      <c r="G361" s="81"/>
      <c r="H361" s="149">
        <f t="shared" si="74"/>
        <v>0</v>
      </c>
      <c r="I361" s="128"/>
      <c r="J361" s="128"/>
      <c r="K361" s="82">
        <f t="shared" si="75"/>
        <v>0</v>
      </c>
    </row>
    <row r="362" spans="2:13" ht="18" x14ac:dyDescent="0.3">
      <c r="B362" s="81"/>
      <c r="C362" s="241"/>
      <c r="D362" s="81"/>
      <c r="E362" s="81"/>
      <c r="F362" s="81"/>
      <c r="G362" s="81"/>
      <c r="H362" s="149">
        <f t="shared" si="74"/>
        <v>0</v>
      </c>
      <c r="I362" s="128"/>
      <c r="J362" s="128"/>
      <c r="K362" s="82">
        <f t="shared" si="75"/>
        <v>0</v>
      </c>
    </row>
    <row r="365" spans="2:13" ht="36" x14ac:dyDescent="0.3">
      <c r="B365" s="122" t="s">
        <v>0</v>
      </c>
      <c r="C365" s="238" t="s">
        <v>223</v>
      </c>
      <c r="D365" s="122" t="s">
        <v>5</v>
      </c>
      <c r="E365" s="122" t="s">
        <v>220</v>
      </c>
      <c r="F365" s="122" t="s">
        <v>59</v>
      </c>
      <c r="G365" s="122" t="s">
        <v>61</v>
      </c>
      <c r="H365" s="147" t="s">
        <v>221</v>
      </c>
      <c r="I365" s="125" t="s">
        <v>222</v>
      </c>
      <c r="J365" s="125" t="s">
        <v>63</v>
      </c>
      <c r="K365" s="123" t="s">
        <v>890</v>
      </c>
      <c r="L365" s="124" t="s">
        <v>759</v>
      </c>
      <c r="M365" s="124"/>
    </row>
    <row r="366" spans="2:13" ht="18" x14ac:dyDescent="0.3">
      <c r="B366" s="121"/>
      <c r="C366" s="239"/>
      <c r="D366" s="121">
        <f>+SUM(D367:D376)</f>
        <v>0</v>
      </c>
      <c r="E366" s="121"/>
      <c r="F366" s="121"/>
      <c r="G366" s="121"/>
      <c r="H366" s="121">
        <f>+SUM(H367:H376)</f>
        <v>0</v>
      </c>
      <c r="I366" s="126"/>
      <c r="J366" s="126"/>
      <c r="K366" s="121">
        <f>+SUM(K367:K376)</f>
        <v>0</v>
      </c>
      <c r="L366" s="118" t="s">
        <v>22</v>
      </c>
      <c r="M366" s="117">
        <f>+D366</f>
        <v>0</v>
      </c>
    </row>
    <row r="367" spans="2:13" ht="18" x14ac:dyDescent="0.3">
      <c r="B367" s="26"/>
      <c r="C367" s="240"/>
      <c r="D367" s="26"/>
      <c r="E367" s="203"/>
      <c r="F367" s="26"/>
      <c r="G367" s="26"/>
      <c r="H367" s="148">
        <f t="shared" ref="H367:H369" si="76">+F367-G367</f>
        <v>0</v>
      </c>
      <c r="I367" s="127"/>
      <c r="J367" s="127"/>
      <c r="K367" s="82">
        <f t="shared" ref="K367" si="77">+(H367-H367*I367/100)*J367</f>
        <v>0</v>
      </c>
      <c r="L367" s="118" t="str">
        <f>+K365</f>
        <v>запас</v>
      </c>
      <c r="M367" s="119">
        <f>+K366</f>
        <v>0</v>
      </c>
    </row>
    <row r="368" spans="2:13" ht="18" x14ac:dyDescent="0.3">
      <c r="B368" s="81"/>
      <c r="C368" s="241"/>
      <c r="D368" s="81"/>
      <c r="E368" s="81"/>
      <c r="F368" s="81"/>
      <c r="G368" s="81"/>
      <c r="H368" s="148">
        <f t="shared" si="76"/>
        <v>0</v>
      </c>
      <c r="I368" s="128"/>
      <c r="J368" s="128"/>
      <c r="K368" s="82">
        <f>+(H368-H368*I368/100)*J368</f>
        <v>0</v>
      </c>
      <c r="L368" s="118" t="s">
        <v>57</v>
      </c>
      <c r="M368" s="120">
        <f>+M366-M367</f>
        <v>0</v>
      </c>
    </row>
    <row r="369" spans="2:13" ht="18" x14ac:dyDescent="0.3">
      <c r="B369" s="81"/>
      <c r="C369" s="241"/>
      <c r="D369" s="81"/>
      <c r="E369" s="81"/>
      <c r="F369" s="81"/>
      <c r="G369" s="81"/>
      <c r="H369" s="148">
        <f t="shared" si="76"/>
        <v>0</v>
      </c>
      <c r="I369" s="128"/>
      <c r="J369" s="128"/>
      <c r="K369" s="82">
        <f>+(H369-H369*I369/100)*J369</f>
        <v>0</v>
      </c>
    </row>
    <row r="370" spans="2:13" ht="18" x14ac:dyDescent="0.3">
      <c r="B370" s="81"/>
      <c r="C370" s="241"/>
      <c r="D370" s="81"/>
      <c r="E370" s="81"/>
      <c r="F370" s="81"/>
      <c r="G370" s="81"/>
      <c r="H370" s="148">
        <f t="shared" ref="H370:H375" si="78">+F370-G370</f>
        <v>0</v>
      </c>
      <c r="I370" s="128"/>
      <c r="J370" s="128"/>
      <c r="K370" s="82">
        <f>+(H370-H370*I370/100)*J370</f>
        <v>0</v>
      </c>
      <c r="L370" s="225"/>
    </row>
    <row r="371" spans="2:13" ht="18" x14ac:dyDescent="0.3">
      <c r="B371" s="81"/>
      <c r="C371" s="241"/>
      <c r="D371" s="81"/>
      <c r="E371" s="81"/>
      <c r="F371" s="81"/>
      <c r="G371" s="81"/>
      <c r="H371" s="148">
        <f t="shared" si="78"/>
        <v>0</v>
      </c>
      <c r="I371" s="128"/>
      <c r="J371" s="128"/>
      <c r="K371" s="82">
        <f t="shared" ref="K371:K375" si="79">+(H371-H371*I371/100)*J371</f>
        <v>0</v>
      </c>
    </row>
    <row r="372" spans="2:13" ht="18" x14ac:dyDescent="0.3">
      <c r="B372" s="81"/>
      <c r="C372" s="241"/>
      <c r="D372" s="81"/>
      <c r="E372" s="81"/>
      <c r="F372" s="81"/>
      <c r="G372" s="81"/>
      <c r="H372" s="148">
        <f t="shared" si="78"/>
        <v>0</v>
      </c>
      <c r="I372" s="128"/>
      <c r="J372" s="128"/>
      <c r="K372" s="82">
        <f t="shared" si="79"/>
        <v>0</v>
      </c>
    </row>
    <row r="373" spans="2:13" ht="18" x14ac:dyDescent="0.3">
      <c r="B373" s="81"/>
      <c r="C373" s="241"/>
      <c r="D373" s="81"/>
      <c r="E373" s="81"/>
      <c r="F373" s="81"/>
      <c r="G373" s="81"/>
      <c r="H373" s="148">
        <f t="shared" si="78"/>
        <v>0</v>
      </c>
      <c r="I373" s="128"/>
      <c r="J373" s="128"/>
      <c r="K373" s="82">
        <f t="shared" si="79"/>
        <v>0</v>
      </c>
    </row>
    <row r="374" spans="2:13" ht="18" x14ac:dyDescent="0.3">
      <c r="B374" s="81"/>
      <c r="C374" s="241"/>
      <c r="D374" s="81"/>
      <c r="E374" s="81"/>
      <c r="F374" s="81"/>
      <c r="G374" s="81"/>
      <c r="H374" s="148">
        <f t="shared" si="78"/>
        <v>0</v>
      </c>
      <c r="I374" s="128"/>
      <c r="J374" s="128"/>
      <c r="K374" s="82">
        <f t="shared" si="79"/>
        <v>0</v>
      </c>
    </row>
    <row r="375" spans="2:13" ht="18" x14ac:dyDescent="0.3">
      <c r="B375" s="81"/>
      <c r="C375" s="241"/>
      <c r="D375" s="81"/>
      <c r="E375" s="81"/>
      <c r="F375" s="81"/>
      <c r="G375" s="81"/>
      <c r="H375" s="148">
        <f t="shared" si="78"/>
        <v>0</v>
      </c>
      <c r="I375" s="128"/>
      <c r="J375" s="128"/>
      <c r="K375" s="82">
        <f t="shared" si="79"/>
        <v>0</v>
      </c>
    </row>
    <row r="378" spans="2:13" ht="36" x14ac:dyDescent="0.3">
      <c r="B378" s="122" t="s">
        <v>0</v>
      </c>
      <c r="C378" s="238" t="s">
        <v>223</v>
      </c>
      <c r="D378" s="122" t="s">
        <v>5</v>
      </c>
      <c r="E378" s="122" t="s">
        <v>220</v>
      </c>
      <c r="F378" s="122" t="s">
        <v>59</v>
      </c>
      <c r="G378" s="122" t="s">
        <v>61</v>
      </c>
      <c r="H378" s="147" t="s">
        <v>221</v>
      </c>
      <c r="I378" s="125" t="s">
        <v>222</v>
      </c>
      <c r="J378" s="125" t="s">
        <v>63</v>
      </c>
      <c r="K378" s="123" t="s">
        <v>890</v>
      </c>
      <c r="L378" s="124"/>
      <c r="M378" s="124"/>
    </row>
    <row r="379" spans="2:13" ht="18" x14ac:dyDescent="0.3">
      <c r="B379" s="121"/>
      <c r="C379" s="239"/>
      <c r="D379" s="121">
        <f>+SUM(D380:D389)</f>
        <v>0</v>
      </c>
      <c r="E379" s="121"/>
      <c r="F379" s="121"/>
      <c r="G379" s="121"/>
      <c r="H379" s="121">
        <f>+SUM(H380:H389)</f>
        <v>0</v>
      </c>
      <c r="I379" s="126"/>
      <c r="J379" s="126"/>
      <c r="K379" s="121">
        <f>+SUM(K380:K389)</f>
        <v>0</v>
      </c>
      <c r="L379" s="118" t="s">
        <v>22</v>
      </c>
      <c r="M379" s="117">
        <f>+D379</f>
        <v>0</v>
      </c>
    </row>
    <row r="380" spans="2:13" ht="18" x14ac:dyDescent="0.3">
      <c r="B380" s="26" t="s">
        <v>1741</v>
      </c>
      <c r="C380" s="240"/>
      <c r="D380" s="26"/>
      <c r="E380" s="26"/>
      <c r="F380" s="26"/>
      <c r="G380" s="26"/>
      <c r="H380" s="148"/>
      <c r="I380" s="127"/>
      <c r="J380" s="127"/>
      <c r="K380" s="82">
        <f>+(H380-H380*I380/100)*J380</f>
        <v>0</v>
      </c>
      <c r="L380" s="118" t="str">
        <f>+K378</f>
        <v>запас</v>
      </c>
      <c r="M380" s="119">
        <f>+K379</f>
        <v>0</v>
      </c>
    </row>
    <row r="381" spans="2:13" ht="18" x14ac:dyDescent="0.3">
      <c r="B381" s="81"/>
      <c r="C381" s="241"/>
      <c r="D381" s="81"/>
      <c r="E381" s="81"/>
      <c r="F381" s="81"/>
      <c r="G381" s="81"/>
      <c r="H381" s="148">
        <f t="shared" ref="H381:H387" si="80">+F381-G381</f>
        <v>0</v>
      </c>
      <c r="I381" s="128"/>
      <c r="J381" s="128"/>
      <c r="K381" s="82">
        <f>+(H381-H381*I381/100)*J381</f>
        <v>0</v>
      </c>
      <c r="L381" s="118" t="s">
        <v>57</v>
      </c>
      <c r="M381" s="120">
        <f>+M379-M380</f>
        <v>0</v>
      </c>
    </row>
    <row r="382" spans="2:13" ht="18" x14ac:dyDescent="0.3">
      <c r="B382" s="81"/>
      <c r="C382" s="241"/>
      <c r="D382" s="81"/>
      <c r="E382" s="81"/>
      <c r="F382" s="81"/>
      <c r="G382" s="81"/>
      <c r="H382" s="148">
        <f t="shared" si="80"/>
        <v>0</v>
      </c>
      <c r="I382" s="128"/>
      <c r="J382" s="128"/>
      <c r="K382" s="82">
        <f>+(H382-H382*I382/100)*J382</f>
        <v>0</v>
      </c>
    </row>
    <row r="383" spans="2:13" ht="18" x14ac:dyDescent="0.3">
      <c r="B383" s="81"/>
      <c r="C383" s="241"/>
      <c r="D383" s="81"/>
      <c r="E383" s="81"/>
      <c r="F383" s="81"/>
      <c r="G383" s="81"/>
      <c r="H383" s="148">
        <f t="shared" si="80"/>
        <v>0</v>
      </c>
      <c r="I383" s="128"/>
      <c r="J383" s="128"/>
      <c r="K383" s="82">
        <f>+(H383-H383*I383/100)*J383</f>
        <v>0</v>
      </c>
    </row>
    <row r="384" spans="2:13" ht="18" x14ac:dyDescent="0.3">
      <c r="B384" s="81"/>
      <c r="C384" s="241"/>
      <c r="D384" s="81"/>
      <c r="E384" s="81"/>
      <c r="F384" s="81"/>
      <c r="G384" s="81"/>
      <c r="H384" s="148">
        <f t="shared" si="80"/>
        <v>0</v>
      </c>
      <c r="I384" s="128"/>
      <c r="J384" s="128"/>
      <c r="K384" s="82">
        <f t="shared" ref="K384:K389" si="81">+(H384-H384*I384/100)*J384</f>
        <v>0</v>
      </c>
    </row>
    <row r="385" spans="2:13" ht="18" x14ac:dyDescent="0.3">
      <c r="B385" s="81"/>
      <c r="C385" s="241"/>
      <c r="D385" s="81"/>
      <c r="E385" s="81"/>
      <c r="F385" s="81"/>
      <c r="G385" s="81"/>
      <c r="H385" s="148">
        <f t="shared" si="80"/>
        <v>0</v>
      </c>
      <c r="I385" s="128"/>
      <c r="J385" s="128"/>
      <c r="K385" s="82">
        <f t="shared" si="81"/>
        <v>0</v>
      </c>
    </row>
    <row r="386" spans="2:13" ht="18" x14ac:dyDescent="0.3">
      <c r="B386" s="81"/>
      <c r="C386" s="241"/>
      <c r="D386" s="81"/>
      <c r="E386" s="81"/>
      <c r="F386" s="81"/>
      <c r="G386" s="81"/>
      <c r="H386" s="148">
        <f t="shared" si="80"/>
        <v>0</v>
      </c>
      <c r="I386" s="128"/>
      <c r="J386" s="128"/>
      <c r="K386" s="82">
        <f t="shared" si="81"/>
        <v>0</v>
      </c>
    </row>
    <row r="387" spans="2:13" ht="18" x14ac:dyDescent="0.3">
      <c r="B387" s="81"/>
      <c r="C387" s="241"/>
      <c r="D387" s="81"/>
      <c r="E387" s="81"/>
      <c r="F387" s="81"/>
      <c r="G387" s="81"/>
      <c r="H387" s="148">
        <f t="shared" si="80"/>
        <v>0</v>
      </c>
      <c r="I387" s="128"/>
      <c r="J387" s="128"/>
      <c r="K387" s="82">
        <f t="shared" si="81"/>
        <v>0</v>
      </c>
    </row>
    <row r="388" spans="2:13" ht="18" x14ac:dyDescent="0.3">
      <c r="B388" s="81"/>
      <c r="C388" s="241"/>
      <c r="D388" s="81"/>
      <c r="E388" s="81"/>
      <c r="F388" s="81"/>
      <c r="G388" s="81"/>
      <c r="H388" s="148">
        <f t="shared" ref="H388:H389" si="82">+F388-G388</f>
        <v>0</v>
      </c>
      <c r="I388" s="128"/>
      <c r="J388" s="128"/>
      <c r="K388" s="82">
        <f t="shared" si="81"/>
        <v>0</v>
      </c>
    </row>
    <row r="389" spans="2:13" ht="18" x14ac:dyDescent="0.3">
      <c r="B389" s="81"/>
      <c r="C389" s="241"/>
      <c r="D389" s="81"/>
      <c r="E389" s="81"/>
      <c r="F389" s="81"/>
      <c r="G389" s="81"/>
      <c r="H389" s="148">
        <f t="shared" si="82"/>
        <v>0</v>
      </c>
      <c r="I389" s="128"/>
      <c r="J389" s="128"/>
      <c r="K389" s="82">
        <f t="shared" si="81"/>
        <v>0</v>
      </c>
    </row>
    <row r="392" spans="2:13" ht="36" x14ac:dyDescent="0.3">
      <c r="B392" s="122" t="s">
        <v>0</v>
      </c>
      <c r="C392" s="238" t="s">
        <v>223</v>
      </c>
      <c r="D392" s="122" t="s">
        <v>5</v>
      </c>
      <c r="E392" s="122" t="s">
        <v>220</v>
      </c>
      <c r="F392" s="122" t="s">
        <v>59</v>
      </c>
      <c r="G392" s="122" t="s">
        <v>61</v>
      </c>
      <c r="H392" s="147" t="s">
        <v>221</v>
      </c>
      <c r="I392" s="125" t="s">
        <v>222</v>
      </c>
      <c r="J392" s="125" t="s">
        <v>63</v>
      </c>
      <c r="K392" s="123" t="s">
        <v>890</v>
      </c>
      <c r="L392" s="124"/>
      <c r="M392" s="124"/>
    </row>
    <row r="393" spans="2:13" ht="18" x14ac:dyDescent="0.3">
      <c r="B393" s="121"/>
      <c r="C393" s="239"/>
      <c r="D393" s="121">
        <f>+SUM(D394:D403)</f>
        <v>0</v>
      </c>
      <c r="E393" s="121"/>
      <c r="F393" s="121"/>
      <c r="G393" s="121"/>
      <c r="H393" s="121">
        <f>+SUM(H394:H403)</f>
        <v>0</v>
      </c>
      <c r="I393" s="126"/>
      <c r="J393" s="126"/>
      <c r="K393" s="121">
        <f>+SUM(K394:K403)</f>
        <v>0</v>
      </c>
      <c r="L393" s="118" t="s">
        <v>22</v>
      </c>
      <c r="M393" s="117">
        <f>+D393</f>
        <v>0</v>
      </c>
    </row>
    <row r="394" spans="2:13" ht="18" x14ac:dyDescent="0.3">
      <c r="B394" s="26"/>
      <c r="C394" s="240"/>
      <c r="D394" s="26"/>
      <c r="E394" s="26"/>
      <c r="F394" s="26"/>
      <c r="G394" s="26"/>
      <c r="H394" s="148">
        <f t="shared" ref="H394:H399" si="83">+F394-G394</f>
        <v>0</v>
      </c>
      <c r="I394" s="127"/>
      <c r="J394" s="127"/>
      <c r="K394" s="82">
        <f t="shared" ref="K394:K402" si="84">+(H394-H394*I394/100)*J394</f>
        <v>0</v>
      </c>
      <c r="L394" s="118" t="str">
        <f>+K392</f>
        <v>запас</v>
      </c>
      <c r="M394" s="119">
        <f>+K393</f>
        <v>0</v>
      </c>
    </row>
    <row r="395" spans="2:13" ht="18" x14ac:dyDescent="0.3">
      <c r="B395" s="81"/>
      <c r="C395" s="241"/>
      <c r="D395" s="81"/>
      <c r="E395" s="81"/>
      <c r="F395" s="81"/>
      <c r="G395" s="81"/>
      <c r="H395" s="148">
        <f t="shared" si="83"/>
        <v>0</v>
      </c>
      <c r="I395" s="128"/>
      <c r="J395" s="128"/>
      <c r="K395" s="82">
        <f t="shared" si="84"/>
        <v>0</v>
      </c>
      <c r="L395" s="118" t="s">
        <v>57</v>
      </c>
      <c r="M395" s="120">
        <f>+M393-M394</f>
        <v>0</v>
      </c>
    </row>
    <row r="396" spans="2:13" ht="18" x14ac:dyDescent="0.3">
      <c r="B396" s="81"/>
      <c r="C396" s="241"/>
      <c r="D396" s="81"/>
      <c r="E396" s="81"/>
      <c r="F396" s="81"/>
      <c r="G396" s="81"/>
      <c r="H396" s="148">
        <f t="shared" si="83"/>
        <v>0</v>
      </c>
      <c r="I396" s="128"/>
      <c r="J396" s="128"/>
      <c r="K396" s="82">
        <f>+(H396-H396*I396/100)*J396</f>
        <v>0</v>
      </c>
    </row>
    <row r="397" spans="2:13" ht="18" x14ac:dyDescent="0.3">
      <c r="B397" s="81"/>
      <c r="C397" s="241"/>
      <c r="D397" s="81"/>
      <c r="E397" s="81"/>
      <c r="F397" s="81"/>
      <c r="G397" s="81"/>
      <c r="H397" s="148">
        <f t="shared" si="83"/>
        <v>0</v>
      </c>
      <c r="I397" s="128"/>
      <c r="J397" s="128"/>
      <c r="K397" s="82">
        <f t="shared" si="84"/>
        <v>0</v>
      </c>
    </row>
    <row r="398" spans="2:13" ht="18" x14ac:dyDescent="0.3">
      <c r="B398" s="81"/>
      <c r="C398" s="241"/>
      <c r="D398" s="81"/>
      <c r="E398" s="81"/>
      <c r="F398" s="81"/>
      <c r="G398" s="81"/>
      <c r="H398" s="148">
        <f t="shared" si="83"/>
        <v>0</v>
      </c>
      <c r="I398" s="128"/>
      <c r="J398" s="128"/>
      <c r="K398" s="82">
        <f t="shared" si="84"/>
        <v>0</v>
      </c>
    </row>
    <row r="399" spans="2:13" ht="18" x14ac:dyDescent="0.3">
      <c r="B399" s="81"/>
      <c r="C399" s="241"/>
      <c r="D399" s="81"/>
      <c r="E399" s="81"/>
      <c r="F399" s="81"/>
      <c r="G399" s="81"/>
      <c r="H399" s="148">
        <f t="shared" si="83"/>
        <v>0</v>
      </c>
      <c r="I399" s="128"/>
      <c r="J399" s="128"/>
      <c r="K399" s="82">
        <f t="shared" si="84"/>
        <v>0</v>
      </c>
    </row>
    <row r="400" spans="2:13" ht="18" x14ac:dyDescent="0.3">
      <c r="B400" s="81"/>
      <c r="C400" s="241"/>
      <c r="D400" s="81"/>
      <c r="E400" s="81"/>
      <c r="F400" s="81"/>
      <c r="G400" s="81"/>
      <c r="H400" s="148">
        <f t="shared" ref="H400:H401" si="85">+F400-G400</f>
        <v>0</v>
      </c>
      <c r="I400" s="128"/>
      <c r="J400" s="128"/>
      <c r="K400" s="82">
        <f t="shared" si="84"/>
        <v>0</v>
      </c>
    </row>
    <row r="401" spans="2:13" ht="18" x14ac:dyDescent="0.3">
      <c r="B401" s="81"/>
      <c r="C401" s="241"/>
      <c r="D401" s="81"/>
      <c r="E401" s="81"/>
      <c r="F401" s="81"/>
      <c r="G401" s="81"/>
      <c r="H401" s="148">
        <f t="shared" si="85"/>
        <v>0</v>
      </c>
      <c r="I401" s="128"/>
      <c r="J401" s="128"/>
      <c r="K401" s="82">
        <f t="shared" si="84"/>
        <v>0</v>
      </c>
    </row>
    <row r="402" spans="2:13" ht="18" x14ac:dyDescent="0.3">
      <c r="B402" s="81"/>
      <c r="C402" s="241"/>
      <c r="D402" s="81"/>
      <c r="E402" s="81"/>
      <c r="F402" s="81"/>
      <c r="G402" s="81"/>
      <c r="H402" s="148">
        <f>+F402-G402</f>
        <v>0</v>
      </c>
      <c r="I402" s="128"/>
      <c r="J402" s="128"/>
      <c r="K402" s="82">
        <f t="shared" si="84"/>
        <v>0</v>
      </c>
    </row>
    <row r="403" spans="2:13" ht="18" x14ac:dyDescent="0.3">
      <c r="B403" s="81"/>
      <c r="C403" s="241"/>
      <c r="D403" s="81"/>
      <c r="E403" s="81"/>
      <c r="F403" s="81"/>
      <c r="G403" s="81"/>
      <c r="H403" s="148">
        <f t="shared" ref="H403" si="86">+F403-G403</f>
        <v>0</v>
      </c>
      <c r="I403" s="128"/>
      <c r="J403" s="128"/>
      <c r="K403" s="82">
        <f t="shared" ref="K403" si="87">+(H403-H403*I403/100)*J403</f>
        <v>0</v>
      </c>
    </row>
    <row r="406" spans="2:13" ht="36" x14ac:dyDescent="0.3">
      <c r="B406" s="122" t="s">
        <v>0</v>
      </c>
      <c r="C406" s="238" t="s">
        <v>223</v>
      </c>
      <c r="D406" s="122" t="s">
        <v>5</v>
      </c>
      <c r="E406" s="122" t="s">
        <v>220</v>
      </c>
      <c r="F406" s="122" t="s">
        <v>59</v>
      </c>
      <c r="G406" s="122" t="s">
        <v>61</v>
      </c>
      <c r="H406" s="147" t="s">
        <v>221</v>
      </c>
      <c r="I406" s="125" t="s">
        <v>222</v>
      </c>
      <c r="J406" s="125" t="s">
        <v>63</v>
      </c>
      <c r="K406" s="123" t="s">
        <v>890</v>
      </c>
      <c r="L406" s="124"/>
      <c r="M406" s="124"/>
    </row>
    <row r="407" spans="2:13" ht="18" x14ac:dyDescent="0.3">
      <c r="B407" s="121"/>
      <c r="C407" s="239"/>
      <c r="D407" s="121">
        <f>+SUM(D408:D424)</f>
        <v>0</v>
      </c>
      <c r="E407" s="121"/>
      <c r="F407" s="121"/>
      <c r="G407" s="121"/>
      <c r="H407" s="121">
        <f>+SUM(H408:H424)</f>
        <v>0</v>
      </c>
      <c r="I407" s="126"/>
      <c r="J407" s="126"/>
      <c r="K407" s="121">
        <f>+SUM(K408:K424)</f>
        <v>0</v>
      </c>
      <c r="L407" s="118" t="s">
        <v>22</v>
      </c>
      <c r="M407" s="117">
        <f>+D407</f>
        <v>0</v>
      </c>
    </row>
    <row r="408" spans="2:13" ht="18" x14ac:dyDescent="0.3">
      <c r="B408" s="26"/>
      <c r="C408" s="240"/>
      <c r="D408" s="26"/>
      <c r="E408" s="26"/>
      <c r="F408" s="26"/>
      <c r="G408" s="26"/>
      <c r="H408" s="148"/>
      <c r="I408" s="127"/>
      <c r="J408" s="127"/>
      <c r="K408" s="82">
        <f>+(H408-H408*I408/100)*J408</f>
        <v>0</v>
      </c>
      <c r="L408" s="118" t="str">
        <f>+K406</f>
        <v>запас</v>
      </c>
      <c r="M408" s="119">
        <f>+K407</f>
        <v>0</v>
      </c>
    </row>
    <row r="409" spans="2:13" ht="18" x14ac:dyDescent="0.3">
      <c r="B409" s="81"/>
      <c r="C409" s="241"/>
      <c r="D409" s="81"/>
      <c r="E409" s="81"/>
      <c r="F409" s="81"/>
      <c r="G409" s="81"/>
      <c r="H409" s="148">
        <f t="shared" ref="H409:H416" si="88">+F409-G409</f>
        <v>0</v>
      </c>
      <c r="I409" s="128"/>
      <c r="J409" s="128"/>
      <c r="K409" s="82">
        <f>+(H409-H409*I409/100)*J409</f>
        <v>0</v>
      </c>
      <c r="L409" s="118" t="s">
        <v>57</v>
      </c>
      <c r="M409" s="120">
        <f>+M407-M408</f>
        <v>0</v>
      </c>
    </row>
    <row r="410" spans="2:13" ht="18" x14ac:dyDescent="0.3">
      <c r="B410" s="81"/>
      <c r="C410" s="241"/>
      <c r="D410" s="81"/>
      <c r="E410" s="81"/>
      <c r="F410" s="81"/>
      <c r="G410" s="81"/>
      <c r="H410" s="148">
        <f t="shared" si="88"/>
        <v>0</v>
      </c>
      <c r="I410" s="128"/>
      <c r="J410" s="128"/>
      <c r="K410" s="82">
        <f>+(H410-H410*I410/100)*J410</f>
        <v>0</v>
      </c>
    </row>
    <row r="411" spans="2:13" ht="18" x14ac:dyDescent="0.3">
      <c r="B411" s="81"/>
      <c r="C411" s="241"/>
      <c r="D411" s="81"/>
      <c r="E411" s="81"/>
      <c r="F411" s="81"/>
      <c r="G411" s="81"/>
      <c r="H411" s="148">
        <f t="shared" si="88"/>
        <v>0</v>
      </c>
      <c r="I411" s="128"/>
      <c r="J411" s="128"/>
      <c r="K411" s="82">
        <f>+(H411-H411*I411/100)*J411</f>
        <v>0</v>
      </c>
    </row>
    <row r="412" spans="2:13" ht="18" x14ac:dyDescent="0.3">
      <c r="B412" s="81"/>
      <c r="C412" s="241"/>
      <c r="D412" s="81"/>
      <c r="E412" s="81"/>
      <c r="F412" s="81"/>
      <c r="G412" s="81"/>
      <c r="H412" s="148">
        <f t="shared" si="88"/>
        <v>0</v>
      </c>
      <c r="I412" s="128"/>
      <c r="J412" s="128"/>
      <c r="K412" s="82">
        <f t="shared" ref="K412:K424" si="89">+(H412-H412*I412/100)*J412</f>
        <v>0</v>
      </c>
    </row>
    <row r="413" spans="2:13" ht="18" x14ac:dyDescent="0.3">
      <c r="B413" s="81"/>
      <c r="C413" s="241"/>
      <c r="D413" s="81"/>
      <c r="E413" s="81"/>
      <c r="F413" s="81"/>
      <c r="G413" s="81"/>
      <c r="H413" s="148">
        <f t="shared" si="88"/>
        <v>0</v>
      </c>
      <c r="I413" s="128"/>
      <c r="J413" s="128"/>
      <c r="K413" s="82">
        <f t="shared" si="89"/>
        <v>0</v>
      </c>
    </row>
    <row r="414" spans="2:13" ht="18" x14ac:dyDescent="0.3">
      <c r="B414" s="81"/>
      <c r="C414" s="241"/>
      <c r="D414" s="81"/>
      <c r="E414" s="81"/>
      <c r="F414" s="81"/>
      <c r="G414" s="81"/>
      <c r="H414" s="148">
        <f t="shared" si="88"/>
        <v>0</v>
      </c>
      <c r="I414" s="128"/>
      <c r="J414" s="128"/>
      <c r="K414" s="82">
        <f t="shared" si="89"/>
        <v>0</v>
      </c>
    </row>
    <row r="415" spans="2:13" ht="18" x14ac:dyDescent="0.3">
      <c r="B415" s="81"/>
      <c r="C415" s="241"/>
      <c r="D415" s="81"/>
      <c r="E415" s="81"/>
      <c r="F415" s="81"/>
      <c r="G415" s="81"/>
      <c r="H415" s="148">
        <f t="shared" si="88"/>
        <v>0</v>
      </c>
      <c r="I415" s="128"/>
      <c r="J415" s="128"/>
      <c r="K415" s="82">
        <f t="shared" si="89"/>
        <v>0</v>
      </c>
    </row>
    <row r="416" spans="2:13" ht="18" x14ac:dyDescent="0.3">
      <c r="B416" s="81"/>
      <c r="C416" s="241"/>
      <c r="D416" s="81"/>
      <c r="E416" s="81"/>
      <c r="F416" s="81"/>
      <c r="G416" s="81"/>
      <c r="H416" s="148">
        <f t="shared" si="88"/>
        <v>0</v>
      </c>
      <c r="I416" s="128"/>
      <c r="J416" s="128"/>
      <c r="K416" s="82">
        <f t="shared" ref="K416" si="90">+(H416-H416*I416/100)*J416</f>
        <v>0</v>
      </c>
    </row>
    <row r="417" spans="2:13" ht="18" x14ac:dyDescent="0.3">
      <c r="B417" s="81"/>
      <c r="C417" s="241"/>
      <c r="D417" s="81"/>
      <c r="E417" s="81"/>
      <c r="F417" s="81"/>
      <c r="G417" s="81"/>
      <c r="H417" s="148">
        <f t="shared" ref="H417:H422" si="91">+F417-G417</f>
        <v>0</v>
      </c>
      <c r="I417" s="128"/>
      <c r="J417" s="128"/>
      <c r="K417" s="82">
        <f t="shared" si="89"/>
        <v>0</v>
      </c>
    </row>
    <row r="418" spans="2:13" ht="18" x14ac:dyDescent="0.3">
      <c r="B418" s="81"/>
      <c r="C418" s="241"/>
      <c r="D418" s="81"/>
      <c r="E418" s="81"/>
      <c r="F418" s="81"/>
      <c r="G418" s="81"/>
      <c r="H418" s="148">
        <f t="shared" si="91"/>
        <v>0</v>
      </c>
      <c r="I418" s="128"/>
      <c r="J418" s="128"/>
      <c r="K418" s="82">
        <f t="shared" si="89"/>
        <v>0</v>
      </c>
    </row>
    <row r="419" spans="2:13" ht="18" x14ac:dyDescent="0.3">
      <c r="B419" s="81"/>
      <c r="C419" s="241"/>
      <c r="D419" s="81"/>
      <c r="E419" s="81"/>
      <c r="F419" s="81"/>
      <c r="G419" s="81"/>
      <c r="H419" s="148">
        <f t="shared" si="91"/>
        <v>0</v>
      </c>
      <c r="I419" s="128"/>
      <c r="J419" s="128"/>
      <c r="K419" s="82">
        <f t="shared" si="89"/>
        <v>0</v>
      </c>
    </row>
    <row r="420" spans="2:13" ht="18" x14ac:dyDescent="0.3">
      <c r="B420" s="81"/>
      <c r="C420" s="241"/>
      <c r="D420" s="81"/>
      <c r="E420" s="81"/>
      <c r="F420" s="81"/>
      <c r="G420" s="81"/>
      <c r="H420" s="148">
        <f t="shared" si="91"/>
        <v>0</v>
      </c>
      <c r="I420" s="128"/>
      <c r="J420" s="128"/>
      <c r="K420" s="82">
        <f t="shared" si="89"/>
        <v>0</v>
      </c>
    </row>
    <row r="421" spans="2:13" ht="18" x14ac:dyDescent="0.3">
      <c r="B421" s="81"/>
      <c r="C421" s="241"/>
      <c r="D421" s="81"/>
      <c r="E421" s="81"/>
      <c r="F421" s="81"/>
      <c r="G421" s="81"/>
      <c r="H421" s="148">
        <f t="shared" si="91"/>
        <v>0</v>
      </c>
      <c r="I421" s="128"/>
      <c r="J421" s="128"/>
      <c r="K421" s="82">
        <f t="shared" si="89"/>
        <v>0</v>
      </c>
    </row>
    <row r="422" spans="2:13" ht="18" x14ac:dyDescent="0.3">
      <c r="B422" s="81"/>
      <c r="C422" s="241"/>
      <c r="D422" s="81"/>
      <c r="E422" s="81"/>
      <c r="F422" s="81"/>
      <c r="G422" s="81"/>
      <c r="H422" s="148">
        <f t="shared" si="91"/>
        <v>0</v>
      </c>
      <c r="I422" s="128"/>
      <c r="J422" s="128"/>
      <c r="K422" s="82">
        <f t="shared" si="89"/>
        <v>0</v>
      </c>
    </row>
    <row r="423" spans="2:13" ht="18" x14ac:dyDescent="0.3">
      <c r="B423" s="81"/>
      <c r="C423" s="241"/>
      <c r="D423" s="81"/>
      <c r="E423" s="81"/>
      <c r="F423" s="81"/>
      <c r="G423" s="81"/>
      <c r="H423" s="148">
        <f t="shared" ref="H423:H424" si="92">+F423-G423</f>
        <v>0</v>
      </c>
      <c r="I423" s="128"/>
      <c r="J423" s="128"/>
      <c r="K423" s="82">
        <f t="shared" si="89"/>
        <v>0</v>
      </c>
    </row>
    <row r="424" spans="2:13" ht="18" x14ac:dyDescent="0.3">
      <c r="B424" s="81"/>
      <c r="C424" s="241"/>
      <c r="D424" s="81"/>
      <c r="E424" s="81"/>
      <c r="F424" s="81"/>
      <c r="G424" s="81"/>
      <c r="H424" s="148">
        <f t="shared" si="92"/>
        <v>0</v>
      </c>
      <c r="I424" s="128"/>
      <c r="J424" s="128"/>
      <c r="K424" s="82">
        <f t="shared" si="89"/>
        <v>0</v>
      </c>
    </row>
    <row r="425" spans="2:13" x14ac:dyDescent="0.3">
      <c r="H425" s="129"/>
    </row>
    <row r="426" spans="2:13" x14ac:dyDescent="0.3">
      <c r="H426" s="129"/>
    </row>
    <row r="427" spans="2:13" ht="36" x14ac:dyDescent="0.3">
      <c r="B427" s="122" t="s">
        <v>0</v>
      </c>
      <c r="C427" s="238" t="s">
        <v>223</v>
      </c>
      <c r="D427" s="122" t="s">
        <v>5</v>
      </c>
      <c r="E427" s="122" t="s">
        <v>220</v>
      </c>
      <c r="F427" s="122" t="s">
        <v>59</v>
      </c>
      <c r="G427" s="122" t="s">
        <v>61</v>
      </c>
      <c r="H427" s="147" t="s">
        <v>221</v>
      </c>
      <c r="I427" s="125" t="s">
        <v>222</v>
      </c>
      <c r="J427" s="125" t="s">
        <v>63</v>
      </c>
      <c r="K427" s="123" t="s">
        <v>890</v>
      </c>
      <c r="L427" s="124"/>
      <c r="M427" s="124"/>
    </row>
    <row r="428" spans="2:13" ht="18" x14ac:dyDescent="0.3">
      <c r="B428" s="121"/>
      <c r="C428" s="239"/>
      <c r="D428" s="121">
        <f>+SUM(D429:D438)</f>
        <v>0</v>
      </c>
      <c r="E428" s="121"/>
      <c r="F428" s="121"/>
      <c r="G428" s="121"/>
      <c r="H428" s="121">
        <f>+SUM(H429:H438)</f>
        <v>0</v>
      </c>
      <c r="I428" s="126"/>
      <c r="J428" s="126"/>
      <c r="K428" s="121">
        <f>+SUM(K429:K438)</f>
        <v>0</v>
      </c>
      <c r="L428" s="118" t="s">
        <v>22</v>
      </c>
      <c r="M428" s="117">
        <f>+D428</f>
        <v>0</v>
      </c>
    </row>
    <row r="429" spans="2:13" ht="18" x14ac:dyDescent="0.3">
      <c r="B429" s="26"/>
      <c r="C429" s="240"/>
      <c r="D429" s="26"/>
      <c r="E429" s="26"/>
      <c r="F429" s="26"/>
      <c r="G429" s="26"/>
      <c r="H429" s="148">
        <f t="shared" ref="H429:H433" si="93">+F429-G429</f>
        <v>0</v>
      </c>
      <c r="I429" s="127"/>
      <c r="J429" s="127"/>
      <c r="K429" s="82">
        <f t="shared" ref="K429" si="94">+(H429-H429*I429/100)*J429</f>
        <v>0</v>
      </c>
      <c r="L429" s="118" t="str">
        <f>+K427</f>
        <v>запас</v>
      </c>
      <c r="M429" s="119">
        <f>+K428</f>
        <v>0</v>
      </c>
    </row>
    <row r="430" spans="2:13" ht="18" x14ac:dyDescent="0.3">
      <c r="B430" s="81"/>
      <c r="C430" s="241"/>
      <c r="D430" s="81"/>
      <c r="E430" s="81"/>
      <c r="F430" s="26"/>
      <c r="G430" s="26"/>
      <c r="H430" s="148">
        <f t="shared" si="93"/>
        <v>0</v>
      </c>
      <c r="I430" s="127"/>
      <c r="J430" s="127"/>
      <c r="K430" s="82">
        <f>+(H430-H430*I430/100)*J430</f>
        <v>0</v>
      </c>
      <c r="L430" s="118" t="s">
        <v>57</v>
      </c>
      <c r="M430" s="120">
        <f>+M428-M429</f>
        <v>0</v>
      </c>
    </row>
    <row r="431" spans="2:13" ht="18" x14ac:dyDescent="0.3">
      <c r="B431" s="81"/>
      <c r="C431" s="241"/>
      <c r="D431" s="81"/>
      <c r="E431" s="81"/>
      <c r="F431" s="26"/>
      <c r="G431" s="26"/>
      <c r="H431" s="148">
        <f t="shared" si="93"/>
        <v>0</v>
      </c>
      <c r="I431" s="127"/>
      <c r="J431" s="127"/>
      <c r="K431" s="82">
        <f>+(H431-H431*I431/100)*J431</f>
        <v>0</v>
      </c>
    </row>
    <row r="432" spans="2:13" ht="18" x14ac:dyDescent="0.3">
      <c r="B432" s="81"/>
      <c r="C432" s="241"/>
      <c r="D432" s="81"/>
      <c r="E432" s="81"/>
      <c r="F432" s="26"/>
      <c r="G432" s="26"/>
      <c r="H432" s="148">
        <f t="shared" si="93"/>
        <v>0</v>
      </c>
      <c r="I432" s="127"/>
      <c r="J432" s="127"/>
      <c r="K432" s="82">
        <f>+(H432-H432*I432/100)*J432</f>
        <v>0</v>
      </c>
    </row>
    <row r="433" spans="2:13" ht="18" x14ac:dyDescent="0.3">
      <c r="B433" s="81"/>
      <c r="C433" s="241"/>
      <c r="D433" s="81"/>
      <c r="E433" s="81"/>
      <c r="F433" s="26"/>
      <c r="G433" s="26"/>
      <c r="H433" s="148">
        <f t="shared" si="93"/>
        <v>0</v>
      </c>
      <c r="I433" s="127"/>
      <c r="J433" s="127"/>
      <c r="K433" s="82">
        <f t="shared" ref="K433:K438" si="95">+(H433-H433*I433/100)*J433</f>
        <v>0</v>
      </c>
    </row>
    <row r="434" spans="2:13" ht="18" x14ac:dyDescent="0.3">
      <c r="B434" s="81"/>
      <c r="C434" s="241"/>
      <c r="D434" s="81"/>
      <c r="E434" s="81"/>
      <c r="F434" s="26"/>
      <c r="G434" s="26"/>
      <c r="H434" s="148">
        <f t="shared" ref="H434:H438" si="96">+F434-G434</f>
        <v>0</v>
      </c>
      <c r="I434" s="127"/>
      <c r="J434" s="127"/>
      <c r="K434" s="82">
        <f t="shared" si="95"/>
        <v>0</v>
      </c>
    </row>
    <row r="435" spans="2:13" ht="18" x14ac:dyDescent="0.3">
      <c r="B435" s="81"/>
      <c r="C435" s="241"/>
      <c r="D435" s="81"/>
      <c r="E435" s="81"/>
      <c r="F435" s="26"/>
      <c r="G435" s="26"/>
      <c r="H435" s="148">
        <f t="shared" si="96"/>
        <v>0</v>
      </c>
      <c r="I435" s="127"/>
      <c r="J435" s="127"/>
      <c r="K435" s="82">
        <f t="shared" si="95"/>
        <v>0</v>
      </c>
    </row>
    <row r="436" spans="2:13" ht="18" x14ac:dyDescent="0.3">
      <c r="B436" s="81"/>
      <c r="C436" s="241"/>
      <c r="D436" s="81"/>
      <c r="E436" s="81"/>
      <c r="F436" s="26"/>
      <c r="G436" s="26"/>
      <c r="H436" s="148">
        <f t="shared" si="96"/>
        <v>0</v>
      </c>
      <c r="I436" s="127"/>
      <c r="J436" s="127"/>
      <c r="K436" s="82">
        <f t="shared" si="95"/>
        <v>0</v>
      </c>
    </row>
    <row r="437" spans="2:13" ht="18" x14ac:dyDescent="0.3">
      <c r="B437" s="81"/>
      <c r="C437" s="241"/>
      <c r="D437" s="81"/>
      <c r="E437" s="81"/>
      <c r="F437" s="26"/>
      <c r="G437" s="26"/>
      <c r="H437" s="148">
        <f t="shared" si="96"/>
        <v>0</v>
      </c>
      <c r="I437" s="127"/>
      <c r="J437" s="127"/>
      <c r="K437" s="82">
        <f t="shared" si="95"/>
        <v>0</v>
      </c>
    </row>
    <row r="438" spans="2:13" ht="18" x14ac:dyDescent="0.3">
      <c r="B438" s="81"/>
      <c r="C438" s="241"/>
      <c r="D438" s="81"/>
      <c r="E438" s="81"/>
      <c r="F438" s="26"/>
      <c r="G438" s="26"/>
      <c r="H438" s="148">
        <f t="shared" si="96"/>
        <v>0</v>
      </c>
      <c r="I438" s="127"/>
      <c r="J438" s="127"/>
      <c r="K438" s="82">
        <f t="shared" si="95"/>
        <v>0</v>
      </c>
    </row>
    <row r="439" spans="2:13" x14ac:dyDescent="0.3">
      <c r="H439" s="129"/>
    </row>
    <row r="440" spans="2:13" x14ac:dyDescent="0.3">
      <c r="H440" s="129"/>
    </row>
    <row r="441" spans="2:13" ht="36" x14ac:dyDescent="0.3">
      <c r="B441" s="122" t="s">
        <v>0</v>
      </c>
      <c r="C441" s="238" t="s">
        <v>223</v>
      </c>
      <c r="D441" s="122" t="s">
        <v>5</v>
      </c>
      <c r="E441" s="122" t="s">
        <v>220</v>
      </c>
      <c r="F441" s="122" t="s">
        <v>59</v>
      </c>
      <c r="G441" s="122" t="s">
        <v>61</v>
      </c>
      <c r="H441" s="147" t="s">
        <v>221</v>
      </c>
      <c r="I441" s="125" t="s">
        <v>222</v>
      </c>
      <c r="J441" s="125" t="s">
        <v>63</v>
      </c>
      <c r="K441" s="123" t="s">
        <v>890</v>
      </c>
      <c r="L441" s="124"/>
      <c r="M441" s="124"/>
    </row>
    <row r="442" spans="2:13" ht="18" x14ac:dyDescent="0.3">
      <c r="B442" s="121"/>
      <c r="C442" s="239"/>
      <c r="D442" s="121">
        <f>+SUM(D443:D452)</f>
        <v>0</v>
      </c>
      <c r="E442" s="121"/>
      <c r="F442" s="121"/>
      <c r="G442" s="121"/>
      <c r="H442" s="121">
        <f>+SUM(H443:H452)</f>
        <v>0</v>
      </c>
      <c r="I442" s="126"/>
      <c r="J442" s="126"/>
      <c r="K442" s="121">
        <f>+SUM(K443:K452)</f>
        <v>0</v>
      </c>
      <c r="L442" s="118" t="s">
        <v>22</v>
      </c>
      <c r="M442" s="117">
        <f>+D442</f>
        <v>0</v>
      </c>
    </row>
    <row r="443" spans="2:13" ht="18" x14ac:dyDescent="0.3">
      <c r="B443" s="26" t="s">
        <v>1745</v>
      </c>
      <c r="C443" s="240"/>
      <c r="D443" s="26"/>
      <c r="E443" s="26"/>
      <c r="F443" s="26"/>
      <c r="G443" s="26"/>
      <c r="H443" s="148">
        <f t="shared" ref="H443:H450" si="97">+F443-G443</f>
        <v>0</v>
      </c>
      <c r="I443" s="127"/>
      <c r="J443" s="127"/>
      <c r="K443" s="82">
        <f>+(H443-H443*I443/100)*J443</f>
        <v>0</v>
      </c>
      <c r="L443" s="118" t="str">
        <f>+K441</f>
        <v>запас</v>
      </c>
      <c r="M443" s="119">
        <f>+K442</f>
        <v>0</v>
      </c>
    </row>
    <row r="444" spans="2:13" ht="18" x14ac:dyDescent="0.3">
      <c r="B444" s="26"/>
      <c r="C444" s="241"/>
      <c r="D444" s="81"/>
      <c r="E444" s="81"/>
      <c r="F444" s="81"/>
      <c r="G444" s="81"/>
      <c r="H444" s="148">
        <f t="shared" si="97"/>
        <v>0</v>
      </c>
      <c r="I444" s="128"/>
      <c r="J444" s="127"/>
      <c r="K444" s="82">
        <f>+(H444-H444*I444/100)*J444</f>
        <v>0</v>
      </c>
      <c r="L444" s="118" t="s">
        <v>57</v>
      </c>
      <c r="M444" s="120">
        <f>+M442-M443</f>
        <v>0</v>
      </c>
    </row>
    <row r="445" spans="2:13" ht="18" x14ac:dyDescent="0.3">
      <c r="B445" s="26"/>
      <c r="C445" s="241"/>
      <c r="D445" s="81"/>
      <c r="E445" s="81"/>
      <c r="F445" s="81"/>
      <c r="G445" s="81"/>
      <c r="H445" s="148">
        <f t="shared" si="97"/>
        <v>0</v>
      </c>
      <c r="I445" s="128"/>
      <c r="J445" s="128"/>
      <c r="K445" s="82">
        <f>+(H445-H445*I445/100)*J445</f>
        <v>0</v>
      </c>
      <c r="M445" s="65" t="s">
        <v>1743</v>
      </c>
    </row>
    <row r="446" spans="2:13" ht="18" x14ac:dyDescent="0.3">
      <c r="B446" s="81"/>
      <c r="C446" s="241"/>
      <c r="D446" s="81"/>
      <c r="E446" s="81"/>
      <c r="F446" s="81"/>
      <c r="G446" s="81"/>
      <c r="H446" s="148">
        <f t="shared" si="97"/>
        <v>0</v>
      </c>
      <c r="I446" s="128"/>
      <c r="J446" s="128"/>
      <c r="K446" s="82">
        <f>+(H446-H446*I446/100)*J446</f>
        <v>0</v>
      </c>
    </row>
    <row r="447" spans="2:13" ht="18" x14ac:dyDescent="0.3">
      <c r="B447" s="81"/>
      <c r="C447" s="241"/>
      <c r="D447" s="81"/>
      <c r="E447" s="81"/>
      <c r="F447" s="81"/>
      <c r="G447" s="81"/>
      <c r="H447" s="148">
        <f t="shared" si="97"/>
        <v>0</v>
      </c>
      <c r="I447" s="128"/>
      <c r="J447" s="195"/>
      <c r="K447" s="82">
        <f t="shared" ref="K447:K452" si="98">+(H447-H447*I447/100)*J447</f>
        <v>0</v>
      </c>
    </row>
    <row r="448" spans="2:13" ht="18" x14ac:dyDescent="0.3">
      <c r="B448" s="81"/>
      <c r="C448" s="241"/>
      <c r="D448" s="81"/>
      <c r="E448" s="81"/>
      <c r="F448" s="81"/>
      <c r="G448" s="81"/>
      <c r="H448" s="148">
        <f t="shared" si="97"/>
        <v>0</v>
      </c>
      <c r="I448" s="128"/>
      <c r="J448" s="128"/>
      <c r="K448" s="82">
        <f t="shared" si="98"/>
        <v>0</v>
      </c>
    </row>
    <row r="449" spans="2:13" ht="18" x14ac:dyDescent="0.3">
      <c r="B449" s="81"/>
      <c r="C449" s="241"/>
      <c r="D449" s="81"/>
      <c r="E449" s="81"/>
      <c r="F449" s="81"/>
      <c r="G449" s="81"/>
      <c r="H449" s="148">
        <f t="shared" si="97"/>
        <v>0</v>
      </c>
      <c r="I449" s="128"/>
      <c r="J449" s="128"/>
      <c r="K449" s="82">
        <f t="shared" si="98"/>
        <v>0</v>
      </c>
    </row>
    <row r="450" spans="2:13" ht="18" x14ac:dyDescent="0.3">
      <c r="B450" s="81"/>
      <c r="C450" s="241"/>
      <c r="D450" s="81"/>
      <c r="E450" s="81"/>
      <c r="F450" s="81"/>
      <c r="G450" s="81"/>
      <c r="H450" s="148">
        <f t="shared" si="97"/>
        <v>0</v>
      </c>
      <c r="I450" s="128"/>
      <c r="J450" s="128"/>
      <c r="K450" s="82">
        <f t="shared" si="98"/>
        <v>0</v>
      </c>
    </row>
    <row r="451" spans="2:13" ht="18" x14ac:dyDescent="0.3">
      <c r="B451" s="81"/>
      <c r="C451" s="241"/>
      <c r="D451" s="81"/>
      <c r="E451" s="81"/>
      <c r="F451" s="81"/>
      <c r="G451" s="81"/>
      <c r="H451" s="148">
        <f t="shared" ref="H451:H452" si="99">+F451-G451</f>
        <v>0</v>
      </c>
      <c r="I451" s="128"/>
      <c r="J451" s="128"/>
      <c r="K451" s="82">
        <f t="shared" si="98"/>
        <v>0</v>
      </c>
    </row>
    <row r="452" spans="2:13" ht="18" x14ac:dyDescent="0.3">
      <c r="B452" s="81"/>
      <c r="C452" s="241"/>
      <c r="D452" s="81"/>
      <c r="E452" s="81"/>
      <c r="F452" s="81"/>
      <c r="G452" s="81"/>
      <c r="H452" s="148">
        <f t="shared" si="99"/>
        <v>0</v>
      </c>
      <c r="I452" s="128"/>
      <c r="J452" s="128"/>
      <c r="K452" s="82">
        <f t="shared" si="98"/>
        <v>0</v>
      </c>
    </row>
    <row r="453" spans="2:13" x14ac:dyDescent="0.3">
      <c r="H453" s="129"/>
    </row>
    <row r="454" spans="2:13" x14ac:dyDescent="0.3">
      <c r="H454" s="129"/>
    </row>
    <row r="455" spans="2:13" ht="36" x14ac:dyDescent="0.3">
      <c r="B455" s="122" t="s">
        <v>0</v>
      </c>
      <c r="C455" s="238" t="s">
        <v>223</v>
      </c>
      <c r="D455" s="122" t="s">
        <v>5</v>
      </c>
      <c r="E455" s="122" t="s">
        <v>220</v>
      </c>
      <c r="F455" s="122" t="s">
        <v>59</v>
      </c>
      <c r="G455" s="122" t="s">
        <v>61</v>
      </c>
      <c r="H455" s="147" t="s">
        <v>221</v>
      </c>
      <c r="I455" s="125" t="s">
        <v>222</v>
      </c>
      <c r="J455" s="125" t="s">
        <v>63</v>
      </c>
      <c r="K455" s="123" t="s">
        <v>890</v>
      </c>
      <c r="L455" s="124"/>
      <c r="M455" s="124"/>
    </row>
    <row r="456" spans="2:13" ht="18" x14ac:dyDescent="0.3">
      <c r="B456" s="121"/>
      <c r="C456" s="239"/>
      <c r="D456" s="121">
        <f>+SUM(D457:D466)</f>
        <v>0</v>
      </c>
      <c r="E456" s="121"/>
      <c r="F456" s="121"/>
      <c r="G456" s="121"/>
      <c r="H456" s="121">
        <f>+SUM(H457:H466)</f>
        <v>0</v>
      </c>
      <c r="I456" s="126"/>
      <c r="J456" s="126"/>
      <c r="K456" s="121">
        <f>+SUM(K457:K466)</f>
        <v>0</v>
      </c>
      <c r="L456" s="118" t="s">
        <v>22</v>
      </c>
      <c r="M456" s="117">
        <f>+D456</f>
        <v>0</v>
      </c>
    </row>
    <row r="457" spans="2:13" ht="18" x14ac:dyDescent="0.3">
      <c r="B457" s="26"/>
      <c r="C457" s="240"/>
      <c r="D457" s="26"/>
      <c r="E457" s="26"/>
      <c r="F457" s="26"/>
      <c r="G457" s="26"/>
      <c r="H457" s="148"/>
      <c r="I457" s="127"/>
      <c r="J457" s="127"/>
      <c r="K457" s="82">
        <f>+(H457-H457*I457/100)*J457</f>
        <v>0</v>
      </c>
      <c r="L457" s="118" t="str">
        <f>+K455</f>
        <v>запас</v>
      </c>
      <c r="M457" s="119">
        <f>+K456</f>
        <v>0</v>
      </c>
    </row>
    <row r="458" spans="2:13" ht="18" x14ac:dyDescent="0.3">
      <c r="B458" s="81"/>
      <c r="C458" s="241"/>
      <c r="D458" s="81"/>
      <c r="E458" s="81"/>
      <c r="F458" s="81"/>
      <c r="G458" s="81"/>
      <c r="H458" s="148"/>
      <c r="I458" s="128"/>
      <c r="J458" s="127"/>
      <c r="K458" s="82">
        <f t="shared" ref="K458:K466" si="100">+(H458-H458*I458/100)*J458</f>
        <v>0</v>
      </c>
      <c r="L458" s="118" t="s">
        <v>57</v>
      </c>
      <c r="M458" s="120">
        <f>+M456-M457</f>
        <v>0</v>
      </c>
    </row>
    <row r="459" spans="2:13" ht="18" x14ac:dyDescent="0.3">
      <c r="B459" s="81"/>
      <c r="C459" s="241"/>
      <c r="D459" s="81"/>
      <c r="E459" s="81"/>
      <c r="F459" s="81"/>
      <c r="G459" s="81"/>
      <c r="H459" s="148">
        <f t="shared" ref="H459:H464" si="101">+F459-G459</f>
        <v>0</v>
      </c>
      <c r="I459" s="128"/>
      <c r="J459" s="128"/>
      <c r="K459" s="82">
        <f t="shared" si="100"/>
        <v>0</v>
      </c>
    </row>
    <row r="460" spans="2:13" ht="18" x14ac:dyDescent="0.3">
      <c r="B460" s="81"/>
      <c r="C460" s="241"/>
      <c r="D460" s="81"/>
      <c r="E460" s="81"/>
      <c r="F460" s="81"/>
      <c r="G460" s="81"/>
      <c r="H460" s="148">
        <f t="shared" si="101"/>
        <v>0</v>
      </c>
      <c r="I460" s="128"/>
      <c r="J460" s="128"/>
      <c r="K460" s="82">
        <f t="shared" si="100"/>
        <v>0</v>
      </c>
    </row>
    <row r="461" spans="2:13" ht="18" x14ac:dyDescent="0.3">
      <c r="B461" s="81"/>
      <c r="C461" s="241"/>
      <c r="D461" s="81"/>
      <c r="E461" s="81"/>
      <c r="F461" s="81"/>
      <c r="G461" s="81"/>
      <c r="H461" s="148">
        <f t="shared" si="101"/>
        <v>0</v>
      </c>
      <c r="I461" s="128"/>
      <c r="J461" s="128"/>
      <c r="K461" s="82">
        <f t="shared" si="100"/>
        <v>0</v>
      </c>
    </row>
    <row r="462" spans="2:13" ht="18" x14ac:dyDescent="0.3">
      <c r="B462" s="81"/>
      <c r="C462" s="241"/>
      <c r="D462" s="81"/>
      <c r="E462" s="81"/>
      <c r="F462" s="81"/>
      <c r="G462" s="81"/>
      <c r="H462" s="148">
        <f t="shared" si="101"/>
        <v>0</v>
      </c>
      <c r="I462" s="128"/>
      <c r="J462" s="128"/>
      <c r="K462" s="82">
        <f t="shared" si="100"/>
        <v>0</v>
      </c>
    </row>
    <row r="463" spans="2:13" ht="18" x14ac:dyDescent="0.3">
      <c r="B463" s="81"/>
      <c r="C463" s="241"/>
      <c r="D463" s="81"/>
      <c r="E463" s="81"/>
      <c r="F463" s="81"/>
      <c r="G463" s="81"/>
      <c r="H463" s="148">
        <f t="shared" si="101"/>
        <v>0</v>
      </c>
      <c r="I463" s="128"/>
      <c r="J463" s="128"/>
      <c r="K463" s="82">
        <f t="shared" si="100"/>
        <v>0</v>
      </c>
    </row>
    <row r="464" spans="2:13" ht="18" x14ac:dyDescent="0.3">
      <c r="B464" s="81"/>
      <c r="C464" s="241"/>
      <c r="D464" s="81"/>
      <c r="E464" s="81"/>
      <c r="F464" s="81"/>
      <c r="G464" s="81"/>
      <c r="H464" s="148">
        <f t="shared" si="101"/>
        <v>0</v>
      </c>
      <c r="I464" s="128"/>
      <c r="J464" s="128"/>
      <c r="K464" s="82">
        <f t="shared" si="100"/>
        <v>0</v>
      </c>
    </row>
    <row r="465" spans="2:13" ht="18" x14ac:dyDescent="0.3">
      <c r="B465" s="81"/>
      <c r="C465" s="241"/>
      <c r="D465" s="81"/>
      <c r="E465" s="81"/>
      <c r="F465" s="81"/>
      <c r="G465" s="81"/>
      <c r="H465" s="148">
        <f t="shared" ref="H465:H466" si="102">+F465-G465</f>
        <v>0</v>
      </c>
      <c r="I465" s="128"/>
      <c r="J465" s="128"/>
      <c r="K465" s="82">
        <f t="shared" si="100"/>
        <v>0</v>
      </c>
    </row>
    <row r="466" spans="2:13" ht="18" x14ac:dyDescent="0.3">
      <c r="B466" s="81"/>
      <c r="C466" s="241"/>
      <c r="D466" s="81"/>
      <c r="E466" s="81"/>
      <c r="F466" s="81"/>
      <c r="G466" s="81"/>
      <c r="H466" s="148">
        <f t="shared" si="102"/>
        <v>0</v>
      </c>
      <c r="I466" s="128"/>
      <c r="J466" s="128"/>
      <c r="K466" s="82">
        <f t="shared" si="100"/>
        <v>0</v>
      </c>
    </row>
    <row r="469" spans="2:13" ht="36" x14ac:dyDescent="0.3">
      <c r="B469" s="122" t="s">
        <v>0</v>
      </c>
      <c r="C469" s="238" t="s">
        <v>223</v>
      </c>
      <c r="D469" s="122" t="s">
        <v>5</v>
      </c>
      <c r="E469" s="122" t="s">
        <v>220</v>
      </c>
      <c r="F469" s="122" t="s">
        <v>59</v>
      </c>
      <c r="G469" s="122" t="s">
        <v>61</v>
      </c>
      <c r="H469" s="147" t="s">
        <v>221</v>
      </c>
      <c r="I469" s="125" t="s">
        <v>222</v>
      </c>
      <c r="J469" s="125" t="s">
        <v>63</v>
      </c>
      <c r="K469" s="123" t="s">
        <v>890</v>
      </c>
      <c r="L469" s="124"/>
      <c r="M469" s="124"/>
    </row>
    <row r="470" spans="2:13" ht="18" x14ac:dyDescent="0.3">
      <c r="B470" s="121"/>
      <c r="C470" s="239"/>
      <c r="D470" s="121">
        <f>+SUM(D471:D490)</f>
        <v>0</v>
      </c>
      <c r="E470" s="121"/>
      <c r="F470" s="121"/>
      <c r="G470" s="121"/>
      <c r="H470" s="121">
        <f>+SUM(H471:H490)</f>
        <v>0</v>
      </c>
      <c r="I470" s="126"/>
      <c r="J470" s="126"/>
      <c r="K470" s="121">
        <f>+SUM(K471:K490)</f>
        <v>0</v>
      </c>
      <c r="L470" s="118" t="s">
        <v>22</v>
      </c>
      <c r="M470" s="117">
        <f>+D470</f>
        <v>0</v>
      </c>
    </row>
    <row r="471" spans="2:13" ht="18" x14ac:dyDescent="0.3">
      <c r="B471" s="26"/>
      <c r="C471" s="240"/>
      <c r="D471" s="26"/>
      <c r="E471" s="26"/>
      <c r="F471" s="26"/>
      <c r="G471" s="26"/>
      <c r="H471" s="148">
        <f t="shared" ref="H471:H476" si="103">+F471-G471</f>
        <v>0</v>
      </c>
      <c r="I471" s="127"/>
      <c r="J471" s="127"/>
      <c r="K471" s="82">
        <f>+(H471-H471*I471/100)*J471</f>
        <v>0</v>
      </c>
      <c r="L471" s="118" t="str">
        <f>+K469</f>
        <v>запас</v>
      </c>
      <c r="M471" s="119">
        <f>+K470</f>
        <v>0</v>
      </c>
    </row>
    <row r="472" spans="2:13" ht="18" x14ac:dyDescent="0.3">
      <c r="B472" s="81"/>
      <c r="C472" s="241"/>
      <c r="D472" s="81"/>
      <c r="E472" s="81"/>
      <c r="F472" s="81"/>
      <c r="G472" s="81"/>
      <c r="H472" s="148">
        <f t="shared" si="103"/>
        <v>0</v>
      </c>
      <c r="I472" s="128"/>
      <c r="J472" s="128"/>
      <c r="K472" s="82">
        <f>+(H472-H472*I472/100)*J472</f>
        <v>0</v>
      </c>
      <c r="L472" s="118" t="s">
        <v>57</v>
      </c>
      <c r="M472" s="120">
        <f>+M470-M471</f>
        <v>0</v>
      </c>
    </row>
    <row r="473" spans="2:13" ht="18" x14ac:dyDescent="0.3">
      <c r="B473" s="81"/>
      <c r="C473" s="241"/>
      <c r="D473" s="81"/>
      <c r="E473" s="81"/>
      <c r="F473" s="81"/>
      <c r="G473" s="81"/>
      <c r="H473" s="148">
        <f t="shared" si="103"/>
        <v>0</v>
      </c>
      <c r="I473" s="128"/>
      <c r="J473" s="128"/>
      <c r="K473" s="82">
        <f>+(H473-H473*I473/100)*J473</f>
        <v>0</v>
      </c>
    </row>
    <row r="474" spans="2:13" ht="18" x14ac:dyDescent="0.3">
      <c r="B474" s="81"/>
      <c r="C474" s="241"/>
      <c r="D474" s="81"/>
      <c r="E474" s="81"/>
      <c r="F474" s="81"/>
      <c r="G474" s="81"/>
      <c r="H474" s="148">
        <f t="shared" si="103"/>
        <v>0</v>
      </c>
      <c r="I474" s="128"/>
      <c r="J474" s="128"/>
      <c r="K474" s="82">
        <f>+(H474-H474*I474/100)*J474</f>
        <v>0</v>
      </c>
    </row>
    <row r="475" spans="2:13" ht="18" x14ac:dyDescent="0.3">
      <c r="B475" s="26"/>
      <c r="C475" s="241"/>
      <c r="D475" s="81"/>
      <c r="E475" s="81"/>
      <c r="F475" s="81"/>
      <c r="G475" s="81"/>
      <c r="H475" s="148">
        <f t="shared" si="103"/>
        <v>0</v>
      </c>
      <c r="I475" s="128"/>
      <c r="J475" s="128"/>
      <c r="K475" s="82">
        <f t="shared" ref="K475:K490" si="104">+(H475-H475*I475/100)*J475</f>
        <v>0</v>
      </c>
    </row>
    <row r="476" spans="2:13" ht="18" x14ac:dyDescent="0.3">
      <c r="B476" s="81"/>
      <c r="C476" s="241"/>
      <c r="D476" s="81"/>
      <c r="E476" s="81"/>
      <c r="F476" s="81"/>
      <c r="G476" s="81"/>
      <c r="H476" s="148">
        <f t="shared" si="103"/>
        <v>0</v>
      </c>
      <c r="I476" s="128"/>
      <c r="J476" s="128"/>
      <c r="K476" s="82">
        <f t="shared" si="104"/>
        <v>0</v>
      </c>
    </row>
    <row r="477" spans="2:13" ht="18" x14ac:dyDescent="0.3">
      <c r="B477" s="81"/>
      <c r="C477" s="241"/>
      <c r="D477" s="81"/>
      <c r="E477" s="81"/>
      <c r="F477" s="81"/>
      <c r="G477" s="81"/>
      <c r="H477" s="148">
        <f t="shared" ref="H477" si="105">+F477-G477</f>
        <v>0</v>
      </c>
      <c r="I477" s="128"/>
      <c r="J477" s="128"/>
      <c r="K477" s="82">
        <f t="shared" si="104"/>
        <v>0</v>
      </c>
    </row>
    <row r="478" spans="2:13" ht="18" x14ac:dyDescent="0.3">
      <c r="B478" s="81"/>
      <c r="C478" s="241"/>
      <c r="D478" s="81"/>
      <c r="E478" s="81"/>
      <c r="F478" s="81"/>
      <c r="G478" s="81"/>
      <c r="H478" s="148">
        <f t="shared" ref="H478:H490" si="106">+F478-G478</f>
        <v>0</v>
      </c>
      <c r="I478" s="128"/>
      <c r="J478" s="128"/>
      <c r="K478" s="82">
        <f t="shared" si="104"/>
        <v>0</v>
      </c>
    </row>
    <row r="479" spans="2:13" ht="18" x14ac:dyDescent="0.3">
      <c r="B479" s="81"/>
      <c r="C479" s="241"/>
      <c r="D479" s="81"/>
      <c r="E479" s="81"/>
      <c r="F479" s="81"/>
      <c r="G479" s="81"/>
      <c r="H479" s="148">
        <f t="shared" si="106"/>
        <v>0</v>
      </c>
      <c r="I479" s="128"/>
      <c r="J479" s="128"/>
      <c r="K479" s="82">
        <f t="shared" si="104"/>
        <v>0</v>
      </c>
    </row>
    <row r="480" spans="2:13" ht="18" x14ac:dyDescent="0.3">
      <c r="B480" s="81"/>
      <c r="C480" s="241"/>
      <c r="D480" s="81"/>
      <c r="E480" s="81"/>
      <c r="F480" s="81"/>
      <c r="G480" s="81"/>
      <c r="H480" s="148">
        <f t="shared" si="106"/>
        <v>0</v>
      </c>
      <c r="I480" s="128"/>
      <c r="J480" s="128"/>
      <c r="K480" s="82">
        <f t="shared" si="104"/>
        <v>0</v>
      </c>
    </row>
    <row r="481" spans="2:13" ht="18" x14ac:dyDescent="0.3">
      <c r="B481" s="81"/>
      <c r="C481" s="241"/>
      <c r="D481" s="81"/>
      <c r="E481" s="81"/>
      <c r="F481" s="81"/>
      <c r="G481" s="81"/>
      <c r="H481" s="148">
        <f t="shared" si="106"/>
        <v>0</v>
      </c>
      <c r="I481" s="128"/>
      <c r="J481" s="128"/>
      <c r="K481" s="82">
        <f t="shared" si="104"/>
        <v>0</v>
      </c>
    </row>
    <row r="482" spans="2:13" ht="18" x14ac:dyDescent="0.3">
      <c r="B482" s="81"/>
      <c r="C482" s="241"/>
      <c r="D482" s="81"/>
      <c r="E482" s="81"/>
      <c r="F482" s="81"/>
      <c r="G482" s="81"/>
      <c r="H482" s="148">
        <f t="shared" si="106"/>
        <v>0</v>
      </c>
      <c r="I482" s="128"/>
      <c r="J482" s="128"/>
      <c r="K482" s="82">
        <f t="shared" si="104"/>
        <v>0</v>
      </c>
    </row>
    <row r="483" spans="2:13" ht="18" x14ac:dyDescent="0.3">
      <c r="B483" s="81"/>
      <c r="C483" s="241"/>
      <c r="D483" s="81"/>
      <c r="E483" s="81"/>
      <c r="F483" s="81"/>
      <c r="G483" s="81"/>
      <c r="H483" s="148">
        <f t="shared" si="106"/>
        <v>0</v>
      </c>
      <c r="I483" s="128"/>
      <c r="J483" s="128"/>
      <c r="K483" s="82">
        <f t="shared" si="104"/>
        <v>0</v>
      </c>
    </row>
    <row r="484" spans="2:13" ht="18" x14ac:dyDescent="0.3">
      <c r="B484" s="81"/>
      <c r="C484" s="241"/>
      <c r="D484" s="81"/>
      <c r="E484" s="81"/>
      <c r="F484" s="81"/>
      <c r="G484" s="81"/>
      <c r="H484" s="148">
        <f t="shared" si="106"/>
        <v>0</v>
      </c>
      <c r="I484" s="128"/>
      <c r="J484" s="128"/>
      <c r="K484" s="82">
        <f t="shared" si="104"/>
        <v>0</v>
      </c>
    </row>
    <row r="485" spans="2:13" ht="18" x14ac:dyDescent="0.3">
      <c r="B485" s="81"/>
      <c r="C485" s="241"/>
      <c r="D485" s="81"/>
      <c r="E485" s="81"/>
      <c r="F485" s="81"/>
      <c r="G485" s="81"/>
      <c r="H485" s="148">
        <f t="shared" si="106"/>
        <v>0</v>
      </c>
      <c r="I485" s="128"/>
      <c r="J485" s="128"/>
      <c r="K485" s="82">
        <f t="shared" si="104"/>
        <v>0</v>
      </c>
    </row>
    <row r="486" spans="2:13" ht="18" x14ac:dyDescent="0.3">
      <c r="B486" s="81"/>
      <c r="C486" s="241"/>
      <c r="D486" s="81"/>
      <c r="E486" s="81"/>
      <c r="F486" s="81"/>
      <c r="G486" s="81"/>
      <c r="H486" s="148">
        <f t="shared" si="106"/>
        <v>0</v>
      </c>
      <c r="I486" s="128"/>
      <c r="J486" s="128"/>
      <c r="K486" s="82">
        <f t="shared" si="104"/>
        <v>0</v>
      </c>
    </row>
    <row r="487" spans="2:13" ht="18" x14ac:dyDescent="0.3">
      <c r="B487" s="81"/>
      <c r="C487" s="241"/>
      <c r="D487" s="81"/>
      <c r="E487" s="81"/>
      <c r="F487" s="81"/>
      <c r="G487" s="81"/>
      <c r="H487" s="148">
        <f t="shared" si="106"/>
        <v>0</v>
      </c>
      <c r="I487" s="128"/>
      <c r="J487" s="128"/>
      <c r="K487" s="82">
        <f t="shared" si="104"/>
        <v>0</v>
      </c>
    </row>
    <row r="488" spans="2:13" ht="18" x14ac:dyDescent="0.3">
      <c r="B488" s="81"/>
      <c r="C488" s="241"/>
      <c r="D488" s="81"/>
      <c r="E488" s="81"/>
      <c r="F488" s="81"/>
      <c r="G488" s="81"/>
      <c r="H488" s="148">
        <f t="shared" si="106"/>
        <v>0</v>
      </c>
      <c r="I488" s="128"/>
      <c r="J488" s="128"/>
      <c r="K488" s="82">
        <f t="shared" si="104"/>
        <v>0</v>
      </c>
    </row>
    <row r="489" spans="2:13" ht="18" x14ac:dyDescent="0.3">
      <c r="B489" s="81"/>
      <c r="C489" s="241"/>
      <c r="D489" s="81"/>
      <c r="E489" s="81"/>
      <c r="F489" s="81"/>
      <c r="G489" s="81"/>
      <c r="H489" s="148">
        <f t="shared" si="106"/>
        <v>0</v>
      </c>
      <c r="I489" s="128"/>
      <c r="J489" s="128"/>
      <c r="K489" s="82">
        <f t="shared" si="104"/>
        <v>0</v>
      </c>
    </row>
    <row r="490" spans="2:13" ht="18" x14ac:dyDescent="0.3">
      <c r="B490" s="81"/>
      <c r="C490" s="241"/>
      <c r="D490" s="81"/>
      <c r="E490" s="81"/>
      <c r="F490" s="81"/>
      <c r="G490" s="81"/>
      <c r="H490" s="148">
        <f t="shared" si="106"/>
        <v>0</v>
      </c>
      <c r="I490" s="128"/>
      <c r="J490" s="128"/>
      <c r="K490" s="82">
        <f t="shared" si="104"/>
        <v>0</v>
      </c>
    </row>
    <row r="493" spans="2:13" ht="36" x14ac:dyDescent="0.3">
      <c r="B493" s="122" t="s">
        <v>0</v>
      </c>
      <c r="C493" s="238" t="s">
        <v>223</v>
      </c>
      <c r="D493" s="122" t="s">
        <v>5</v>
      </c>
      <c r="E493" s="122" t="s">
        <v>220</v>
      </c>
      <c r="F493" s="122" t="s">
        <v>59</v>
      </c>
      <c r="G493" s="122" t="s">
        <v>61</v>
      </c>
      <c r="H493" s="147" t="s">
        <v>221</v>
      </c>
      <c r="I493" s="125" t="s">
        <v>222</v>
      </c>
      <c r="J493" s="125" t="s">
        <v>63</v>
      </c>
      <c r="K493" s="123" t="s">
        <v>890</v>
      </c>
      <c r="L493" s="124"/>
      <c r="M493" s="124"/>
    </row>
    <row r="494" spans="2:13" ht="18" x14ac:dyDescent="0.3">
      <c r="B494" s="121"/>
      <c r="C494" s="239"/>
      <c r="D494" s="121">
        <f>+SUM(D495:D503)</f>
        <v>0</v>
      </c>
      <c r="E494" s="121"/>
      <c r="F494" s="121"/>
      <c r="G494" s="121"/>
      <c r="H494" s="121">
        <f>+SUM(H495:H503)</f>
        <v>0</v>
      </c>
      <c r="I494" s="126"/>
      <c r="J494" s="126"/>
      <c r="K494" s="121">
        <f>+SUM(K495:K503)</f>
        <v>0</v>
      </c>
      <c r="L494" s="118" t="s">
        <v>22</v>
      </c>
      <c r="M494" s="117">
        <f>+D494</f>
        <v>0</v>
      </c>
    </row>
    <row r="495" spans="2:13" ht="18" x14ac:dyDescent="0.3">
      <c r="B495" s="26"/>
      <c r="C495" s="240"/>
      <c r="D495" s="26"/>
      <c r="E495" s="26"/>
      <c r="F495" s="26"/>
      <c r="G495" s="26"/>
      <c r="H495" s="148">
        <f t="shared" ref="H495:H503" si="107">+F495-G495</f>
        <v>0</v>
      </c>
      <c r="I495" s="127"/>
      <c r="J495" s="127"/>
      <c r="K495" s="82">
        <f>+(H495-H495*I495/100)*J495</f>
        <v>0</v>
      </c>
      <c r="L495" s="118" t="str">
        <f>+K493</f>
        <v>запас</v>
      </c>
      <c r="M495" s="119">
        <f>+K494</f>
        <v>0</v>
      </c>
    </row>
    <row r="496" spans="2:13" ht="18" x14ac:dyDescent="0.3">
      <c r="B496" s="81"/>
      <c r="C496" s="241"/>
      <c r="D496" s="81"/>
      <c r="E496" s="81"/>
      <c r="F496" s="81"/>
      <c r="G496" s="81"/>
      <c r="H496" s="148">
        <f t="shared" si="107"/>
        <v>0</v>
      </c>
      <c r="I496" s="128"/>
      <c r="J496" s="128"/>
      <c r="K496" s="82">
        <f>+(H496-H496*I496/100)*J496</f>
        <v>0</v>
      </c>
      <c r="L496" s="118" t="s">
        <v>57</v>
      </c>
      <c r="M496" s="120">
        <f>+M494-M495</f>
        <v>0</v>
      </c>
    </row>
    <row r="497" spans="2:13" ht="18" x14ac:dyDescent="0.3">
      <c r="B497" s="26"/>
      <c r="C497" s="241"/>
      <c r="D497" s="81"/>
      <c r="E497" s="81"/>
      <c r="F497" s="81"/>
      <c r="G497" s="81"/>
      <c r="H497" s="148">
        <f t="shared" si="107"/>
        <v>0</v>
      </c>
      <c r="I497" s="128"/>
      <c r="J497" s="128"/>
      <c r="K497" s="82">
        <f>+(H497-H497*I497/100)*J497</f>
        <v>0</v>
      </c>
    </row>
    <row r="498" spans="2:13" ht="18" x14ac:dyDescent="0.3">
      <c r="B498" s="81"/>
      <c r="C498" s="241"/>
      <c r="D498" s="81"/>
      <c r="E498" s="81"/>
      <c r="F498" s="81"/>
      <c r="G498" s="81"/>
      <c r="H498" s="148">
        <f t="shared" si="107"/>
        <v>0</v>
      </c>
      <c r="I498" s="128"/>
      <c r="J498" s="128"/>
      <c r="K498" s="82">
        <f>+(H498-H498*I498/100)*J498</f>
        <v>0</v>
      </c>
    </row>
    <row r="499" spans="2:13" ht="18" x14ac:dyDescent="0.3">
      <c r="B499" s="81"/>
      <c r="C499" s="241"/>
      <c r="D499" s="81"/>
      <c r="E499" s="81"/>
      <c r="F499" s="81"/>
      <c r="G499" s="81"/>
      <c r="H499" s="148">
        <f t="shared" si="107"/>
        <v>0</v>
      </c>
      <c r="I499" s="128"/>
      <c r="J499" s="128"/>
      <c r="K499" s="82">
        <f t="shared" ref="K499:K503" si="108">+(H499-H499*I499/100)*J499</f>
        <v>0</v>
      </c>
    </row>
    <row r="500" spans="2:13" ht="18" x14ac:dyDescent="0.3">
      <c r="B500" s="81"/>
      <c r="C500" s="241"/>
      <c r="D500" s="81"/>
      <c r="E500" s="81"/>
      <c r="F500" s="81"/>
      <c r="G500" s="81"/>
      <c r="H500" s="148">
        <f t="shared" si="107"/>
        <v>0</v>
      </c>
      <c r="I500" s="128"/>
      <c r="J500" s="128"/>
      <c r="K500" s="82">
        <f t="shared" si="108"/>
        <v>0</v>
      </c>
    </row>
    <row r="501" spans="2:13" ht="18" x14ac:dyDescent="0.3">
      <c r="B501" s="81"/>
      <c r="C501" s="241"/>
      <c r="D501" s="81"/>
      <c r="E501" s="81"/>
      <c r="F501" s="81"/>
      <c r="G501" s="81"/>
      <c r="H501" s="148">
        <f t="shared" si="107"/>
        <v>0</v>
      </c>
      <c r="I501" s="128"/>
      <c r="J501" s="128"/>
      <c r="K501" s="82">
        <f t="shared" si="108"/>
        <v>0</v>
      </c>
    </row>
    <row r="502" spans="2:13" ht="18" x14ac:dyDescent="0.3">
      <c r="B502" s="81"/>
      <c r="C502" s="241"/>
      <c r="D502" s="81"/>
      <c r="E502" s="81"/>
      <c r="F502" s="81"/>
      <c r="G502" s="81"/>
      <c r="H502" s="148">
        <f t="shared" si="107"/>
        <v>0</v>
      </c>
      <c r="I502" s="128"/>
      <c r="J502" s="128"/>
      <c r="K502" s="82">
        <f t="shared" si="108"/>
        <v>0</v>
      </c>
    </row>
    <row r="503" spans="2:13" ht="18" x14ac:dyDescent="0.3">
      <c r="B503" s="81"/>
      <c r="C503" s="241"/>
      <c r="D503" s="81"/>
      <c r="E503" s="81"/>
      <c r="F503" s="81"/>
      <c r="G503" s="81"/>
      <c r="H503" s="148">
        <f t="shared" si="107"/>
        <v>0</v>
      </c>
      <c r="I503" s="128"/>
      <c r="J503" s="128"/>
      <c r="K503" s="82">
        <f t="shared" si="108"/>
        <v>0</v>
      </c>
    </row>
    <row r="506" spans="2:13" ht="36" x14ac:dyDescent="0.3">
      <c r="B506" s="122" t="s">
        <v>0</v>
      </c>
      <c r="C506" s="238" t="s">
        <v>223</v>
      </c>
      <c r="D506" s="122" t="s">
        <v>5</v>
      </c>
      <c r="E506" s="122" t="s">
        <v>220</v>
      </c>
      <c r="F506" s="122" t="s">
        <v>59</v>
      </c>
      <c r="G506" s="122" t="s">
        <v>61</v>
      </c>
      <c r="H506" s="147" t="s">
        <v>221</v>
      </c>
      <c r="I506" s="125" t="s">
        <v>222</v>
      </c>
      <c r="J506" s="125" t="s">
        <v>63</v>
      </c>
      <c r="K506" s="123" t="s">
        <v>890</v>
      </c>
      <c r="L506" s="124"/>
      <c r="M506" s="124"/>
    </row>
    <row r="507" spans="2:13" ht="18" x14ac:dyDescent="0.3">
      <c r="B507" s="121"/>
      <c r="C507" s="239"/>
      <c r="D507" s="121">
        <f>+SUM(D508:D517)</f>
        <v>0</v>
      </c>
      <c r="E507" s="121"/>
      <c r="F507" s="121"/>
      <c r="G507" s="121"/>
      <c r="H507" s="121">
        <f>+SUM(H508:H517)</f>
        <v>0</v>
      </c>
      <c r="I507" s="126"/>
      <c r="J507" s="126"/>
      <c r="K507" s="121">
        <f>+SUM(K508:K517)</f>
        <v>0</v>
      </c>
      <c r="L507" s="118" t="s">
        <v>22</v>
      </c>
      <c r="M507" s="117">
        <f>+D507</f>
        <v>0</v>
      </c>
    </row>
    <row r="508" spans="2:13" ht="18" x14ac:dyDescent="0.3">
      <c r="B508" s="26"/>
      <c r="C508" s="240"/>
      <c r="D508" s="26"/>
      <c r="E508" s="26"/>
      <c r="F508" s="26"/>
      <c r="G508" s="26"/>
      <c r="H508" s="148">
        <f t="shared" ref="H508:H511" si="109">+F508-G508</f>
        <v>0</v>
      </c>
      <c r="I508" s="128"/>
      <c r="J508" s="128"/>
      <c r="K508" s="82">
        <f t="shared" ref="K508:K510" si="110">+(H508-H508*I508/100)*J508</f>
        <v>0</v>
      </c>
      <c r="L508" s="118" t="str">
        <f>+K506</f>
        <v>запас</v>
      </c>
      <c r="M508" s="119">
        <f>+K507</f>
        <v>0</v>
      </c>
    </row>
    <row r="509" spans="2:13" ht="18" x14ac:dyDescent="0.3">
      <c r="B509" s="81"/>
      <c r="C509" s="241"/>
      <c r="D509" s="81"/>
      <c r="E509" s="81"/>
      <c r="F509" s="81"/>
      <c r="G509" s="81"/>
      <c r="H509" s="148">
        <f t="shared" si="109"/>
        <v>0</v>
      </c>
      <c r="I509" s="128"/>
      <c r="J509" s="128"/>
      <c r="K509" s="82">
        <f t="shared" si="110"/>
        <v>0</v>
      </c>
      <c r="L509" s="118" t="s">
        <v>57</v>
      </c>
      <c r="M509" s="120">
        <f>+M507-M508</f>
        <v>0</v>
      </c>
    </row>
    <row r="510" spans="2:13" ht="18" x14ac:dyDescent="0.3">
      <c r="B510" s="26"/>
      <c r="C510" s="241"/>
      <c r="D510" s="81"/>
      <c r="E510" s="81"/>
      <c r="F510" s="81"/>
      <c r="G510" s="81"/>
      <c r="H510" s="148">
        <f t="shared" si="109"/>
        <v>0</v>
      </c>
      <c r="I510" s="128"/>
      <c r="J510" s="128"/>
      <c r="K510" s="82">
        <f t="shared" si="110"/>
        <v>0</v>
      </c>
    </row>
    <row r="511" spans="2:13" ht="18" x14ac:dyDescent="0.3">
      <c r="B511" s="81"/>
      <c r="C511" s="241"/>
      <c r="D511" s="81"/>
      <c r="E511" s="81"/>
      <c r="F511" s="81"/>
      <c r="G511" s="81"/>
      <c r="H511" s="148">
        <f t="shared" si="109"/>
        <v>0</v>
      </c>
      <c r="I511" s="128"/>
      <c r="J511" s="128"/>
      <c r="K511" s="82">
        <f>+(H511-H511*I511/100)*J511</f>
        <v>0</v>
      </c>
    </row>
    <row r="512" spans="2:13" ht="18" x14ac:dyDescent="0.3">
      <c r="B512" s="81"/>
      <c r="C512" s="241"/>
      <c r="D512" s="81"/>
      <c r="E512" s="81"/>
      <c r="F512" s="81"/>
      <c r="G512" s="81"/>
      <c r="H512" s="148">
        <f t="shared" ref="H512:H513" si="111">+F512-G512</f>
        <v>0</v>
      </c>
      <c r="I512" s="128"/>
      <c r="J512" s="128"/>
      <c r="K512" s="82">
        <f t="shared" ref="K512:K516" si="112">+(H512-H512*I512/100)*J512</f>
        <v>0</v>
      </c>
    </row>
    <row r="513" spans="2:13" ht="18" x14ac:dyDescent="0.3">
      <c r="B513" s="81"/>
      <c r="C513" s="241"/>
      <c r="D513" s="81"/>
      <c r="E513" s="81"/>
      <c r="F513" s="81"/>
      <c r="G513" s="81"/>
      <c r="H513" s="148">
        <f t="shared" si="111"/>
        <v>0</v>
      </c>
      <c r="I513" s="128"/>
      <c r="J513" s="128"/>
      <c r="K513" s="82">
        <f t="shared" si="112"/>
        <v>0</v>
      </c>
    </row>
    <row r="514" spans="2:13" ht="18" x14ac:dyDescent="0.3">
      <c r="B514" s="81"/>
      <c r="C514" s="241"/>
      <c r="D514" s="81"/>
      <c r="E514" s="81"/>
      <c r="F514" s="81"/>
      <c r="G514" s="81"/>
      <c r="H514" s="148">
        <f t="shared" ref="H514:H516" si="113">+F514-G514</f>
        <v>0</v>
      </c>
      <c r="I514" s="128"/>
      <c r="J514" s="128"/>
      <c r="K514" s="82">
        <f t="shared" si="112"/>
        <v>0</v>
      </c>
    </row>
    <row r="515" spans="2:13" ht="18" x14ac:dyDescent="0.3">
      <c r="B515" s="81"/>
      <c r="C515" s="241"/>
      <c r="D515" s="81"/>
      <c r="E515" s="81"/>
      <c r="F515" s="81"/>
      <c r="G515" s="81"/>
      <c r="H515" s="148">
        <f t="shared" si="113"/>
        <v>0</v>
      </c>
      <c r="I515" s="128"/>
      <c r="J515" s="128"/>
      <c r="K515" s="82">
        <f t="shared" si="112"/>
        <v>0</v>
      </c>
    </row>
    <row r="516" spans="2:13" ht="18" x14ac:dyDescent="0.3">
      <c r="B516" s="81"/>
      <c r="C516" s="241"/>
      <c r="D516" s="81"/>
      <c r="E516" s="81"/>
      <c r="F516" s="81"/>
      <c r="G516" s="81"/>
      <c r="H516" s="148">
        <f t="shared" si="113"/>
        <v>0</v>
      </c>
      <c r="I516" s="128"/>
      <c r="J516" s="128"/>
      <c r="K516" s="82">
        <f t="shared" si="112"/>
        <v>0</v>
      </c>
    </row>
    <row r="519" spans="2:13" ht="36" x14ac:dyDescent="0.3">
      <c r="B519" s="122" t="s">
        <v>0</v>
      </c>
      <c r="C519" s="238" t="s">
        <v>223</v>
      </c>
      <c r="D519" s="122" t="s">
        <v>5</v>
      </c>
      <c r="E519" s="122" t="s">
        <v>220</v>
      </c>
      <c r="F519" s="122" t="s">
        <v>59</v>
      </c>
      <c r="G519" s="122" t="s">
        <v>61</v>
      </c>
      <c r="H519" s="147" t="s">
        <v>221</v>
      </c>
      <c r="I519" s="125" t="s">
        <v>222</v>
      </c>
      <c r="J519" s="125" t="s">
        <v>63</v>
      </c>
      <c r="K519" s="123" t="s">
        <v>890</v>
      </c>
      <c r="L519" s="124"/>
      <c r="M519" s="124"/>
    </row>
    <row r="520" spans="2:13" ht="18" x14ac:dyDescent="0.3">
      <c r="B520" s="121"/>
      <c r="C520" s="239"/>
      <c r="D520" s="121">
        <f>+SUM(D521:D530)</f>
        <v>0</v>
      </c>
      <c r="E520" s="121"/>
      <c r="F520" s="121"/>
      <c r="G520" s="121"/>
      <c r="H520" s="121">
        <f>+SUM(H521:H530)</f>
        <v>0</v>
      </c>
      <c r="I520" s="126"/>
      <c r="J520" s="126"/>
      <c r="K520" s="121">
        <f>+SUM(K521:K530)</f>
        <v>0</v>
      </c>
      <c r="L520" s="118" t="s">
        <v>22</v>
      </c>
      <c r="M520" s="117">
        <f>+D520</f>
        <v>0</v>
      </c>
    </row>
    <row r="521" spans="2:13" ht="18" x14ac:dyDescent="0.3">
      <c r="B521" s="26"/>
      <c r="C521" s="240"/>
      <c r="D521" s="26"/>
      <c r="E521" s="26"/>
      <c r="F521" s="26"/>
      <c r="G521" s="26"/>
      <c r="H521" s="148">
        <f t="shared" ref="H521:H529" si="114">+F521-G521</f>
        <v>0</v>
      </c>
      <c r="I521" s="127"/>
      <c r="J521" s="127"/>
      <c r="K521" s="82">
        <f>+(H521-H521*I521/100)*J521</f>
        <v>0</v>
      </c>
      <c r="L521" s="118" t="str">
        <f>+K519</f>
        <v>запас</v>
      </c>
      <c r="M521" s="119">
        <f>+K520</f>
        <v>0</v>
      </c>
    </row>
    <row r="522" spans="2:13" ht="18" x14ac:dyDescent="0.3">
      <c r="B522" s="81"/>
      <c r="C522" s="241"/>
      <c r="D522" s="81"/>
      <c r="E522" s="81"/>
      <c r="F522" s="81"/>
      <c r="G522" s="81"/>
      <c r="H522" s="148">
        <f t="shared" si="114"/>
        <v>0</v>
      </c>
      <c r="I522" s="128"/>
      <c r="J522" s="128"/>
      <c r="K522" s="82">
        <f>+(H522-H522*I522/100)*J522</f>
        <v>0</v>
      </c>
      <c r="L522" s="118" t="s">
        <v>57</v>
      </c>
      <c r="M522" s="120">
        <f>+M520-M521</f>
        <v>0</v>
      </c>
    </row>
    <row r="523" spans="2:13" ht="18" x14ac:dyDescent="0.3">
      <c r="B523" s="81"/>
      <c r="C523" s="241"/>
      <c r="D523" s="81"/>
      <c r="E523" s="81"/>
      <c r="F523" s="81"/>
      <c r="G523" s="81"/>
      <c r="H523" s="148">
        <f t="shared" si="114"/>
        <v>0</v>
      </c>
      <c r="I523" s="128"/>
      <c r="J523" s="128"/>
      <c r="K523" s="82">
        <f>+(H523-H523*I523/100)*J523</f>
        <v>0</v>
      </c>
    </row>
    <row r="524" spans="2:13" ht="18" x14ac:dyDescent="0.3">
      <c r="B524" s="81"/>
      <c r="C524" s="241"/>
      <c r="D524" s="81"/>
      <c r="E524" s="81"/>
      <c r="F524" s="81"/>
      <c r="G524" s="81"/>
      <c r="H524" s="148">
        <f t="shared" si="114"/>
        <v>0</v>
      </c>
      <c r="I524" s="128"/>
      <c r="J524" s="128"/>
      <c r="K524" s="82">
        <f>+(H524-H524*I524/100)*J524</f>
        <v>0</v>
      </c>
    </row>
    <row r="525" spans="2:13" ht="18" x14ac:dyDescent="0.3">
      <c r="B525" s="81"/>
      <c r="C525" s="241"/>
      <c r="D525" s="81"/>
      <c r="E525" s="81"/>
      <c r="F525" s="81"/>
      <c r="G525" s="81"/>
      <c r="H525" s="148">
        <f t="shared" si="114"/>
        <v>0</v>
      </c>
      <c r="I525" s="128"/>
      <c r="J525" s="128"/>
      <c r="K525" s="82">
        <f t="shared" ref="K525:K529" si="115">+(H525-H525*I525/100)*J525</f>
        <v>0</v>
      </c>
    </row>
    <row r="526" spans="2:13" ht="18" x14ac:dyDescent="0.3">
      <c r="B526" s="81"/>
      <c r="C526" s="241"/>
      <c r="D526" s="81"/>
      <c r="E526" s="81"/>
      <c r="F526" s="81"/>
      <c r="G526" s="81"/>
      <c r="H526" s="148">
        <f t="shared" si="114"/>
        <v>0</v>
      </c>
      <c r="I526" s="128"/>
      <c r="J526" s="128"/>
      <c r="K526" s="82">
        <f t="shared" si="115"/>
        <v>0</v>
      </c>
    </row>
    <row r="527" spans="2:13" ht="18" x14ac:dyDescent="0.3">
      <c r="B527" s="81"/>
      <c r="C527" s="241"/>
      <c r="D527" s="81"/>
      <c r="E527" s="81"/>
      <c r="F527" s="81"/>
      <c r="G527" s="81"/>
      <c r="H527" s="148">
        <f t="shared" si="114"/>
        <v>0</v>
      </c>
      <c r="I527" s="128"/>
      <c r="J527" s="128"/>
      <c r="K527" s="82">
        <f t="shared" si="115"/>
        <v>0</v>
      </c>
    </row>
    <row r="528" spans="2:13" ht="18" x14ac:dyDescent="0.3">
      <c r="B528" s="81"/>
      <c r="C528" s="241"/>
      <c r="D528" s="81"/>
      <c r="E528" s="81"/>
      <c r="F528" s="81"/>
      <c r="G528" s="81"/>
      <c r="H528" s="148">
        <f t="shared" si="114"/>
        <v>0</v>
      </c>
      <c r="I528" s="128"/>
      <c r="J528" s="128"/>
      <c r="K528" s="82">
        <f t="shared" si="115"/>
        <v>0</v>
      </c>
    </row>
    <row r="529" spans="2:13" ht="18" x14ac:dyDescent="0.3">
      <c r="B529" s="81"/>
      <c r="C529" s="241"/>
      <c r="D529" s="81"/>
      <c r="E529" s="81"/>
      <c r="F529" s="81"/>
      <c r="G529" s="81"/>
      <c r="H529" s="148">
        <f t="shared" si="114"/>
        <v>0</v>
      </c>
      <c r="I529" s="128"/>
      <c r="J529" s="128"/>
      <c r="K529" s="82">
        <f t="shared" si="115"/>
        <v>0</v>
      </c>
    </row>
    <row r="532" spans="2:13" ht="36" x14ac:dyDescent="0.3">
      <c r="B532" s="122" t="s">
        <v>0</v>
      </c>
      <c r="C532" s="238" t="s">
        <v>223</v>
      </c>
      <c r="D532" s="122" t="s">
        <v>5</v>
      </c>
      <c r="E532" s="122" t="s">
        <v>220</v>
      </c>
      <c r="F532" s="122" t="s">
        <v>59</v>
      </c>
      <c r="G532" s="122" t="s">
        <v>61</v>
      </c>
      <c r="H532" s="147" t="s">
        <v>221</v>
      </c>
      <c r="I532" s="125" t="s">
        <v>222</v>
      </c>
      <c r="J532" s="125" t="s">
        <v>63</v>
      </c>
      <c r="K532" s="123" t="s">
        <v>890</v>
      </c>
      <c r="L532" s="124"/>
      <c r="M532" s="124"/>
    </row>
    <row r="533" spans="2:13" ht="18" x14ac:dyDescent="0.3">
      <c r="B533" s="121"/>
      <c r="C533" s="239"/>
      <c r="D533" s="121">
        <f>+SUM(D534:D543)</f>
        <v>0</v>
      </c>
      <c r="E533" s="121"/>
      <c r="F533" s="121"/>
      <c r="G533" s="121"/>
      <c r="H533" s="121">
        <f>+SUM(H534:H543)</f>
        <v>0</v>
      </c>
      <c r="I533" s="126"/>
      <c r="J533" s="126"/>
      <c r="K533" s="121">
        <f>+SUM(K534:K543)</f>
        <v>0</v>
      </c>
      <c r="L533" s="118" t="s">
        <v>22</v>
      </c>
      <c r="M533" s="117">
        <f>+D533</f>
        <v>0</v>
      </c>
    </row>
    <row r="534" spans="2:13" ht="18" x14ac:dyDescent="0.3">
      <c r="B534" s="26"/>
      <c r="C534" s="240"/>
      <c r="D534" s="26"/>
      <c r="E534" s="26"/>
      <c r="F534" s="26"/>
      <c r="G534" s="26"/>
      <c r="H534" s="148">
        <f t="shared" ref="H534:H537" si="116">+F534-G534</f>
        <v>0</v>
      </c>
      <c r="I534" s="127"/>
      <c r="J534" s="127"/>
      <c r="K534" s="82">
        <f>+(H534-H534*I534/100)*J534</f>
        <v>0</v>
      </c>
      <c r="L534" s="118" t="str">
        <f>+K532</f>
        <v>запас</v>
      </c>
      <c r="M534" s="119">
        <f>+K533</f>
        <v>0</v>
      </c>
    </row>
    <row r="535" spans="2:13" ht="18" x14ac:dyDescent="0.3">
      <c r="B535" s="81"/>
      <c r="C535" s="241"/>
      <c r="D535" s="81"/>
      <c r="E535" s="81"/>
      <c r="F535" s="81"/>
      <c r="G535" s="81"/>
      <c r="H535" s="148">
        <f t="shared" si="116"/>
        <v>0</v>
      </c>
      <c r="I535" s="128"/>
      <c r="J535" s="128"/>
      <c r="K535" s="82">
        <f>+(H535-H535*I535/100)*J535</f>
        <v>0</v>
      </c>
      <c r="L535" s="118" t="s">
        <v>57</v>
      </c>
      <c r="M535" s="120">
        <f>+M533-M534</f>
        <v>0</v>
      </c>
    </row>
    <row r="536" spans="2:13" ht="18" x14ac:dyDescent="0.3">
      <c r="B536" s="81"/>
      <c r="C536" s="241"/>
      <c r="D536" s="81"/>
      <c r="E536" s="81"/>
      <c r="F536" s="81"/>
      <c r="G536" s="81"/>
      <c r="H536" s="148">
        <f t="shared" si="116"/>
        <v>0</v>
      </c>
      <c r="I536" s="128"/>
      <c r="J536" s="128"/>
      <c r="K536" s="82">
        <f>+(H536-H536*I536/100)*J536</f>
        <v>0</v>
      </c>
    </row>
    <row r="537" spans="2:13" ht="18" x14ac:dyDescent="0.3">
      <c r="B537" s="81"/>
      <c r="C537" s="241"/>
      <c r="D537" s="81"/>
      <c r="E537" s="81"/>
      <c r="F537" s="81"/>
      <c r="G537" s="81"/>
      <c r="H537" s="148">
        <f t="shared" si="116"/>
        <v>0</v>
      </c>
      <c r="I537" s="128"/>
      <c r="J537" s="128"/>
      <c r="K537" s="82">
        <f>+(H537-H537*I537/100)*J537</f>
        <v>0</v>
      </c>
    </row>
    <row r="538" spans="2:13" ht="18" x14ac:dyDescent="0.3">
      <c r="B538" s="81"/>
      <c r="C538" s="241"/>
      <c r="D538" s="81"/>
      <c r="E538" s="81"/>
      <c r="F538" s="81"/>
      <c r="G538" s="81"/>
      <c r="H538" s="148">
        <f t="shared" ref="H538:H539" si="117">+F538-G538</f>
        <v>0</v>
      </c>
      <c r="I538" s="128"/>
      <c r="J538" s="128"/>
      <c r="K538" s="82">
        <f t="shared" ref="K538:K542" si="118">+(H538-H538*I538/100)*J538</f>
        <v>0</v>
      </c>
    </row>
    <row r="539" spans="2:13" ht="18" x14ac:dyDescent="0.3">
      <c r="B539" s="81"/>
      <c r="C539" s="241"/>
      <c r="D539" s="81"/>
      <c r="E539" s="81"/>
      <c r="F539" s="81"/>
      <c r="G539" s="81"/>
      <c r="H539" s="148">
        <f t="shared" si="117"/>
        <v>0</v>
      </c>
      <c r="I539" s="128"/>
      <c r="J539" s="128"/>
      <c r="K539" s="82">
        <f t="shared" si="118"/>
        <v>0</v>
      </c>
    </row>
    <row r="540" spans="2:13" ht="18" x14ac:dyDescent="0.3">
      <c r="B540" s="81"/>
      <c r="C540" s="241"/>
      <c r="D540" s="81"/>
      <c r="E540" s="81"/>
      <c r="F540" s="81"/>
      <c r="G540" s="81"/>
      <c r="H540" s="148">
        <f t="shared" ref="H540:H542" si="119">+F540-G540</f>
        <v>0</v>
      </c>
      <c r="I540" s="128"/>
      <c r="J540" s="128"/>
      <c r="K540" s="82">
        <f t="shared" si="118"/>
        <v>0</v>
      </c>
    </row>
    <row r="541" spans="2:13" ht="18" x14ac:dyDescent="0.3">
      <c r="B541" s="81"/>
      <c r="C541" s="241"/>
      <c r="D541" s="81"/>
      <c r="E541" s="81"/>
      <c r="F541" s="81"/>
      <c r="G541" s="81"/>
      <c r="H541" s="148">
        <f t="shared" si="119"/>
        <v>0</v>
      </c>
      <c r="I541" s="128"/>
      <c r="J541" s="128"/>
      <c r="K541" s="82">
        <f t="shared" si="118"/>
        <v>0</v>
      </c>
    </row>
    <row r="542" spans="2:13" ht="18" x14ac:dyDescent="0.3">
      <c r="B542" s="81"/>
      <c r="C542" s="241"/>
      <c r="D542" s="81"/>
      <c r="E542" s="81"/>
      <c r="F542" s="81"/>
      <c r="G542" s="81"/>
      <c r="H542" s="148">
        <f t="shared" si="119"/>
        <v>0</v>
      </c>
      <c r="I542" s="128"/>
      <c r="J542" s="128"/>
      <c r="K542" s="82">
        <f t="shared" si="118"/>
        <v>0</v>
      </c>
    </row>
    <row r="545" spans="2:13" ht="36" x14ac:dyDescent="0.3">
      <c r="B545" s="122" t="s">
        <v>0</v>
      </c>
      <c r="C545" s="238" t="s">
        <v>223</v>
      </c>
      <c r="D545" s="122" t="s">
        <v>5</v>
      </c>
      <c r="E545" s="122" t="s">
        <v>220</v>
      </c>
      <c r="F545" s="122" t="s">
        <v>59</v>
      </c>
      <c r="G545" s="122" t="s">
        <v>61</v>
      </c>
      <c r="H545" s="147" t="s">
        <v>221</v>
      </c>
      <c r="I545" s="125" t="s">
        <v>222</v>
      </c>
      <c r="J545" s="125" t="s">
        <v>63</v>
      </c>
      <c r="K545" s="123" t="s">
        <v>890</v>
      </c>
      <c r="L545" s="124"/>
      <c r="M545" s="124"/>
    </row>
    <row r="546" spans="2:13" ht="18" x14ac:dyDescent="0.3">
      <c r="B546" s="121"/>
      <c r="C546" s="239"/>
      <c r="D546" s="121">
        <f>+SUM(D547:D556)</f>
        <v>0</v>
      </c>
      <c r="E546" s="121"/>
      <c r="F546" s="121"/>
      <c r="G546" s="121"/>
      <c r="H546" s="121">
        <f>+SUM(H547:H556)</f>
        <v>0</v>
      </c>
      <c r="I546" s="126"/>
      <c r="J546" s="126"/>
      <c r="K546" s="121"/>
      <c r="L546" s="118" t="s">
        <v>22</v>
      </c>
      <c r="M546" s="117">
        <f>+D546</f>
        <v>0</v>
      </c>
    </row>
    <row r="547" spans="2:13" ht="18" x14ac:dyDescent="0.3">
      <c r="B547" s="26"/>
      <c r="C547" s="240"/>
      <c r="D547" s="26"/>
      <c r="E547" s="26"/>
      <c r="F547" s="26"/>
      <c r="G547" s="26"/>
      <c r="H547" s="148">
        <f t="shared" ref="H547:H552" si="120">+F547-G547</f>
        <v>0</v>
      </c>
      <c r="I547" s="127"/>
      <c r="J547" s="127"/>
      <c r="K547" s="82">
        <f t="shared" ref="K547:K552" si="121">+(H547-H547*I547/100)*J547</f>
        <v>0</v>
      </c>
      <c r="L547" s="118" t="str">
        <f>+K545</f>
        <v>запас</v>
      </c>
      <c r="M547" s="119">
        <f>+K546</f>
        <v>0</v>
      </c>
    </row>
    <row r="548" spans="2:13" ht="18" x14ac:dyDescent="0.3">
      <c r="B548" s="81"/>
      <c r="C548" s="241"/>
      <c r="D548" s="81"/>
      <c r="E548" s="81"/>
      <c r="F548" s="81"/>
      <c r="G548" s="81"/>
      <c r="H548" s="148">
        <f t="shared" si="120"/>
        <v>0</v>
      </c>
      <c r="I548" s="128"/>
      <c r="J548" s="128"/>
      <c r="K548" s="82">
        <f t="shared" si="121"/>
        <v>0</v>
      </c>
      <c r="L548" s="118" t="s">
        <v>57</v>
      </c>
      <c r="M548" s="120">
        <f>+M546-M547</f>
        <v>0</v>
      </c>
    </row>
    <row r="549" spans="2:13" ht="18" x14ac:dyDescent="0.3">
      <c r="B549" s="26"/>
      <c r="C549" s="241"/>
      <c r="D549" s="81"/>
      <c r="E549" s="81"/>
      <c r="F549" s="81"/>
      <c r="G549" s="81"/>
      <c r="H549" s="148">
        <f t="shared" si="120"/>
        <v>0</v>
      </c>
      <c r="I549" s="128"/>
      <c r="J549" s="128"/>
      <c r="K549" s="82">
        <f t="shared" si="121"/>
        <v>0</v>
      </c>
    </row>
    <row r="550" spans="2:13" ht="18" x14ac:dyDescent="0.3">
      <c r="B550" s="81"/>
      <c r="C550" s="241"/>
      <c r="D550" s="81"/>
      <c r="E550" s="81"/>
      <c r="F550" s="81"/>
      <c r="G550" s="81"/>
      <c r="H550" s="148">
        <f t="shared" si="120"/>
        <v>0</v>
      </c>
      <c r="I550" s="128"/>
      <c r="J550" s="128"/>
      <c r="K550" s="82">
        <f t="shared" si="121"/>
        <v>0</v>
      </c>
    </row>
    <row r="551" spans="2:13" ht="18" x14ac:dyDescent="0.3">
      <c r="B551" s="81"/>
      <c r="C551" s="241"/>
      <c r="D551" s="81"/>
      <c r="E551" s="81"/>
      <c r="F551" s="81"/>
      <c r="G551" s="81"/>
      <c r="H551" s="148">
        <f t="shared" si="120"/>
        <v>0</v>
      </c>
      <c r="I551" s="128"/>
      <c r="J551" s="128"/>
      <c r="K551" s="82">
        <f t="shared" si="121"/>
        <v>0</v>
      </c>
    </row>
    <row r="552" spans="2:13" ht="18" x14ac:dyDescent="0.3">
      <c r="B552" s="81"/>
      <c r="C552" s="241"/>
      <c r="D552" s="81"/>
      <c r="E552" s="81"/>
      <c r="F552" s="81"/>
      <c r="G552" s="81"/>
      <c r="H552" s="148">
        <f t="shared" si="120"/>
        <v>0</v>
      </c>
      <c r="I552" s="128"/>
      <c r="J552" s="128"/>
      <c r="K552" s="82">
        <f t="shared" si="121"/>
        <v>0</v>
      </c>
    </row>
    <row r="553" spans="2:13" ht="18" x14ac:dyDescent="0.3">
      <c r="B553" s="81"/>
      <c r="C553" s="241"/>
      <c r="D553" s="81"/>
      <c r="E553" s="81"/>
      <c r="F553" s="81"/>
      <c r="G553" s="81"/>
      <c r="H553" s="148">
        <f t="shared" ref="H553:H555" si="122">+F553-G553</f>
        <v>0</v>
      </c>
      <c r="I553" s="128"/>
      <c r="J553" s="128"/>
      <c r="K553" s="82">
        <f t="shared" ref="K553:K555" si="123">+(H553-H553*I553/100)*J553</f>
        <v>0</v>
      </c>
    </row>
    <row r="554" spans="2:13" ht="18" x14ac:dyDescent="0.3">
      <c r="B554" s="81"/>
      <c r="C554" s="241"/>
      <c r="D554" s="81"/>
      <c r="E554" s="81"/>
      <c r="F554" s="81"/>
      <c r="G554" s="81"/>
      <c r="H554" s="148">
        <f t="shared" si="122"/>
        <v>0</v>
      </c>
      <c r="I554" s="128"/>
      <c r="J554" s="128"/>
      <c r="K554" s="82">
        <f t="shared" si="123"/>
        <v>0</v>
      </c>
    </row>
    <row r="555" spans="2:13" ht="18" x14ac:dyDescent="0.3">
      <c r="B555" s="81"/>
      <c r="C555" s="241"/>
      <c r="D555" s="81"/>
      <c r="E555" s="81"/>
      <c r="F555" s="81"/>
      <c r="G555" s="81"/>
      <c r="H555" s="148">
        <f t="shared" si="122"/>
        <v>0</v>
      </c>
      <c r="I555" s="128"/>
      <c r="J555" s="128"/>
      <c r="K555" s="82">
        <f t="shared" si="123"/>
        <v>0</v>
      </c>
    </row>
    <row r="558" spans="2:13" ht="36" x14ac:dyDescent="0.3">
      <c r="B558" s="122" t="s">
        <v>0</v>
      </c>
      <c r="C558" s="238" t="s">
        <v>223</v>
      </c>
      <c r="D558" s="122" t="s">
        <v>5</v>
      </c>
      <c r="E558" s="122" t="s">
        <v>220</v>
      </c>
      <c r="F558" s="122" t="s">
        <v>59</v>
      </c>
      <c r="G558" s="122" t="s">
        <v>61</v>
      </c>
      <c r="H558" s="147" t="s">
        <v>221</v>
      </c>
      <c r="I558" s="125" t="s">
        <v>222</v>
      </c>
      <c r="J558" s="125" t="s">
        <v>63</v>
      </c>
      <c r="K558" s="123" t="s">
        <v>890</v>
      </c>
      <c r="L558" s="124"/>
      <c r="M558" s="124"/>
    </row>
    <row r="559" spans="2:13" ht="18" x14ac:dyDescent="0.3">
      <c r="B559" s="121"/>
      <c r="C559" s="239"/>
      <c r="D559" s="121">
        <f>+SUM(D560:D569)</f>
        <v>0</v>
      </c>
      <c r="E559" s="121"/>
      <c r="F559" s="121"/>
      <c r="G559" s="121"/>
      <c r="H559" s="121">
        <f>+SUM(H560:H569)</f>
        <v>0</v>
      </c>
      <c r="I559" s="126"/>
      <c r="J559" s="126"/>
      <c r="K559" s="121">
        <f>+SUM(K560:K569)</f>
        <v>0</v>
      </c>
      <c r="L559" s="118" t="s">
        <v>22</v>
      </c>
      <c r="M559" s="117">
        <f>+D559</f>
        <v>0</v>
      </c>
    </row>
    <row r="560" spans="2:13" ht="18" x14ac:dyDescent="0.3">
      <c r="B560" s="26"/>
      <c r="C560" s="240"/>
      <c r="D560" s="26"/>
      <c r="E560" s="26"/>
      <c r="F560" s="26"/>
      <c r="G560" s="26"/>
      <c r="H560" s="148">
        <f t="shared" ref="H560:H568" si="124">+F560-G560</f>
        <v>0</v>
      </c>
      <c r="I560" s="127"/>
      <c r="J560" s="127"/>
      <c r="K560" s="82">
        <f t="shared" ref="K560:K562" si="125">+(H560-H560*I560/100)*J560</f>
        <v>0</v>
      </c>
      <c r="L560" s="118" t="str">
        <f>+K558</f>
        <v>запас</v>
      </c>
      <c r="M560" s="119">
        <f>+K559</f>
        <v>0</v>
      </c>
    </row>
    <row r="561" spans="2:13" ht="18" x14ac:dyDescent="0.3">
      <c r="B561" s="26"/>
      <c r="C561" s="241"/>
      <c r="D561" s="81"/>
      <c r="E561" s="81"/>
      <c r="F561" s="81"/>
      <c r="G561" s="81"/>
      <c r="H561" s="148">
        <f t="shared" si="124"/>
        <v>0</v>
      </c>
      <c r="I561" s="128"/>
      <c r="J561" s="128"/>
      <c r="K561" s="82">
        <f t="shared" si="125"/>
        <v>0</v>
      </c>
      <c r="L561" s="118" t="s">
        <v>57</v>
      </c>
      <c r="M561" s="120">
        <f>+M559-M560</f>
        <v>0</v>
      </c>
    </row>
    <row r="562" spans="2:13" ht="18" x14ac:dyDescent="0.3">
      <c r="B562" s="81"/>
      <c r="C562" s="241"/>
      <c r="D562" s="81"/>
      <c r="E562" s="81"/>
      <c r="F562" s="81"/>
      <c r="G562" s="81"/>
      <c r="H562" s="148">
        <f t="shared" si="124"/>
        <v>0</v>
      </c>
      <c r="I562" s="128"/>
      <c r="J562" s="128"/>
      <c r="K562" s="82">
        <f t="shared" si="125"/>
        <v>0</v>
      </c>
    </row>
    <row r="563" spans="2:13" ht="18" x14ac:dyDescent="0.3">
      <c r="C563" s="241"/>
      <c r="D563" s="81"/>
      <c r="E563" s="81"/>
      <c r="F563" s="81"/>
      <c r="G563" s="81"/>
      <c r="H563" s="148">
        <f t="shared" si="124"/>
        <v>0</v>
      </c>
      <c r="I563" s="128"/>
      <c r="J563" s="128"/>
      <c r="K563" s="82">
        <f>+(H563-H563*I563/100)*J563</f>
        <v>0</v>
      </c>
    </row>
    <row r="564" spans="2:13" ht="18" x14ac:dyDescent="0.3">
      <c r="B564" s="81"/>
      <c r="C564" s="241"/>
      <c r="D564" s="81"/>
      <c r="E564" s="81"/>
      <c r="F564" s="81"/>
      <c r="G564" s="81"/>
      <c r="H564" s="148">
        <f t="shared" si="124"/>
        <v>0</v>
      </c>
      <c r="I564" s="128"/>
      <c r="J564" s="128"/>
      <c r="K564" s="82">
        <f t="shared" ref="K564:K568" si="126">+(H564-H564*I564/100)*J564</f>
        <v>0</v>
      </c>
    </row>
    <row r="565" spans="2:13" ht="18" x14ac:dyDescent="0.3">
      <c r="B565" s="81"/>
      <c r="C565" s="241"/>
      <c r="D565" s="81"/>
      <c r="E565" s="81"/>
      <c r="F565" s="81"/>
      <c r="G565" s="81"/>
      <c r="H565" s="148">
        <f t="shared" si="124"/>
        <v>0</v>
      </c>
      <c r="I565" s="128"/>
      <c r="J565" s="128"/>
      <c r="K565" s="82">
        <f t="shared" si="126"/>
        <v>0</v>
      </c>
    </row>
    <row r="566" spans="2:13" ht="18" x14ac:dyDescent="0.3">
      <c r="B566" s="81"/>
      <c r="C566" s="241"/>
      <c r="D566" s="81"/>
      <c r="E566" s="81"/>
      <c r="F566" s="81"/>
      <c r="G566" s="81"/>
      <c r="H566" s="148">
        <f t="shared" si="124"/>
        <v>0</v>
      </c>
      <c r="I566" s="128"/>
      <c r="J566" s="128"/>
      <c r="K566" s="82">
        <f t="shared" si="126"/>
        <v>0</v>
      </c>
    </row>
    <row r="567" spans="2:13" ht="18" x14ac:dyDescent="0.3">
      <c r="B567" s="81"/>
      <c r="C567" s="241"/>
      <c r="D567" s="81"/>
      <c r="E567" s="81"/>
      <c r="F567" s="81"/>
      <c r="G567" s="81"/>
      <c r="H567" s="148">
        <f t="shared" si="124"/>
        <v>0</v>
      </c>
      <c r="I567" s="128"/>
      <c r="J567" s="128"/>
      <c r="K567" s="82">
        <f t="shared" si="126"/>
        <v>0</v>
      </c>
    </row>
    <row r="568" spans="2:13" ht="18" x14ac:dyDescent="0.3">
      <c r="B568" s="81"/>
      <c r="C568" s="241"/>
      <c r="D568" s="81"/>
      <c r="E568" s="81"/>
      <c r="F568" s="81"/>
      <c r="G568" s="81"/>
      <c r="H568" s="148">
        <f t="shared" si="124"/>
        <v>0</v>
      </c>
      <c r="I568" s="128"/>
      <c r="J568" s="128"/>
      <c r="K568" s="82">
        <f t="shared" si="126"/>
        <v>0</v>
      </c>
    </row>
    <row r="571" spans="2:13" ht="36" x14ac:dyDescent="0.3">
      <c r="B571" s="122" t="s">
        <v>0</v>
      </c>
      <c r="C571" s="238" t="s">
        <v>223</v>
      </c>
      <c r="D571" s="122" t="s">
        <v>5</v>
      </c>
      <c r="E571" s="122" t="s">
        <v>220</v>
      </c>
      <c r="F571" s="122" t="s">
        <v>59</v>
      </c>
      <c r="G571" s="122" t="s">
        <v>61</v>
      </c>
      <c r="H571" s="147" t="s">
        <v>221</v>
      </c>
      <c r="I571" s="125" t="s">
        <v>222</v>
      </c>
      <c r="J571" s="125" t="s">
        <v>63</v>
      </c>
      <c r="K571" s="123" t="s">
        <v>890</v>
      </c>
      <c r="L571" s="124"/>
      <c r="M571" s="124"/>
    </row>
    <row r="572" spans="2:13" ht="18" x14ac:dyDescent="0.3">
      <c r="B572" s="121"/>
      <c r="C572" s="239"/>
      <c r="D572" s="121">
        <f>+SUM(D573:D582)</f>
        <v>0</v>
      </c>
      <c r="E572" s="121"/>
      <c r="F572" s="121"/>
      <c r="G572" s="121"/>
      <c r="H572" s="121">
        <f>+SUM(H573:H582)</f>
        <v>0</v>
      </c>
      <c r="I572" s="126"/>
      <c r="J572" s="126"/>
      <c r="K572" s="121">
        <f>+SUM(K573:K582)</f>
        <v>0</v>
      </c>
      <c r="L572" s="118" t="s">
        <v>22</v>
      </c>
      <c r="M572" s="117">
        <f>+D572</f>
        <v>0</v>
      </c>
    </row>
    <row r="573" spans="2:13" ht="18" x14ac:dyDescent="0.3">
      <c r="B573" s="26"/>
      <c r="C573" s="240"/>
      <c r="D573" s="26"/>
      <c r="E573" s="26"/>
      <c r="F573" s="26"/>
      <c r="G573" s="26"/>
      <c r="H573" s="148">
        <f t="shared" ref="H573:H581" si="127">+F573-G573</f>
        <v>0</v>
      </c>
      <c r="I573" s="127"/>
      <c r="J573" s="127"/>
      <c r="K573" s="82">
        <f>+(H573-H573*I573/100)*J573</f>
        <v>0</v>
      </c>
      <c r="L573" s="118" t="str">
        <f>+K571</f>
        <v>запас</v>
      </c>
      <c r="M573" s="119">
        <f>+K572</f>
        <v>0</v>
      </c>
    </row>
    <row r="574" spans="2:13" ht="18" x14ac:dyDescent="0.3">
      <c r="B574" s="26"/>
      <c r="C574" s="241"/>
      <c r="D574" s="81"/>
      <c r="E574" s="81"/>
      <c r="F574" s="81"/>
      <c r="G574" s="81"/>
      <c r="H574" s="148">
        <f t="shared" si="127"/>
        <v>0</v>
      </c>
      <c r="I574" s="128"/>
      <c r="J574" s="128"/>
      <c r="K574" s="82">
        <f>+(H574-H574*I574/100)*J574</f>
        <v>0</v>
      </c>
      <c r="L574" s="118" t="s">
        <v>57</v>
      </c>
      <c r="M574" s="120">
        <f>+M572-M573</f>
        <v>0</v>
      </c>
    </row>
    <row r="575" spans="2:13" ht="18" x14ac:dyDescent="0.3">
      <c r="B575" s="81"/>
      <c r="C575" s="241"/>
      <c r="D575" s="81"/>
      <c r="E575" s="81"/>
      <c r="F575" s="81"/>
      <c r="G575" s="81"/>
      <c r="H575" s="148">
        <f t="shared" si="127"/>
        <v>0</v>
      </c>
      <c r="I575" s="128"/>
      <c r="J575" s="128"/>
      <c r="K575" s="82">
        <f>+(H575-H575*I575/100)*J575</f>
        <v>0</v>
      </c>
    </row>
    <row r="576" spans="2:13" ht="18" x14ac:dyDescent="0.3">
      <c r="B576" s="81"/>
      <c r="C576" s="241"/>
      <c r="D576" s="81"/>
      <c r="E576" s="81"/>
      <c r="F576" s="81"/>
      <c r="G576" s="81"/>
      <c r="H576" s="148">
        <f t="shared" si="127"/>
        <v>0</v>
      </c>
      <c r="I576" s="128"/>
      <c r="J576" s="128"/>
      <c r="K576" s="82">
        <f>+(H576-H576*I576/100)*J576</f>
        <v>0</v>
      </c>
    </row>
    <row r="577" spans="2:13" ht="18" x14ac:dyDescent="0.3">
      <c r="B577" s="81"/>
      <c r="C577" s="241"/>
      <c r="D577" s="81"/>
      <c r="E577" s="81"/>
      <c r="F577" s="81"/>
      <c r="G577" s="81"/>
      <c r="H577" s="148">
        <f t="shared" si="127"/>
        <v>0</v>
      </c>
      <c r="I577" s="128"/>
      <c r="J577" s="128"/>
      <c r="K577" s="82">
        <f t="shared" ref="K577:K581" si="128">+(H577-H577*I577/100)*J577</f>
        <v>0</v>
      </c>
    </row>
    <row r="578" spans="2:13" ht="18" x14ac:dyDescent="0.3">
      <c r="B578" s="81"/>
      <c r="C578" s="241"/>
      <c r="D578" s="81"/>
      <c r="E578" s="81"/>
      <c r="F578" s="81"/>
      <c r="G578" s="81"/>
      <c r="H578" s="148">
        <f t="shared" si="127"/>
        <v>0</v>
      </c>
      <c r="I578" s="128"/>
      <c r="J578" s="128"/>
      <c r="K578" s="82">
        <f t="shared" si="128"/>
        <v>0</v>
      </c>
    </row>
    <row r="579" spans="2:13" ht="18" x14ac:dyDescent="0.3">
      <c r="B579" s="81"/>
      <c r="C579" s="241"/>
      <c r="D579" s="81"/>
      <c r="E579" s="81"/>
      <c r="F579" s="81"/>
      <c r="G579" s="81"/>
      <c r="H579" s="148">
        <f t="shared" si="127"/>
        <v>0</v>
      </c>
      <c r="I579" s="128"/>
      <c r="J579" s="128"/>
      <c r="K579" s="82">
        <f t="shared" si="128"/>
        <v>0</v>
      </c>
    </row>
    <row r="580" spans="2:13" ht="18" x14ac:dyDescent="0.3">
      <c r="B580" s="81"/>
      <c r="C580" s="241"/>
      <c r="D580" s="81"/>
      <c r="E580" s="81"/>
      <c r="F580" s="81"/>
      <c r="G580" s="81"/>
      <c r="H580" s="148">
        <f t="shared" si="127"/>
        <v>0</v>
      </c>
      <c r="I580" s="128"/>
      <c r="J580" s="128"/>
      <c r="K580" s="82">
        <f t="shared" si="128"/>
        <v>0</v>
      </c>
    </row>
    <row r="581" spans="2:13" ht="18" x14ac:dyDescent="0.3">
      <c r="B581" s="81"/>
      <c r="C581" s="241"/>
      <c r="D581" s="81"/>
      <c r="E581" s="81"/>
      <c r="F581" s="81"/>
      <c r="G581" s="81"/>
      <c r="H581" s="148">
        <f t="shared" si="127"/>
        <v>0</v>
      </c>
      <c r="I581" s="128"/>
      <c r="J581" s="128"/>
      <c r="K581" s="82">
        <f t="shared" si="128"/>
        <v>0</v>
      </c>
    </row>
    <row r="584" spans="2:13" ht="36" x14ac:dyDescent="0.3">
      <c r="B584" s="122" t="s">
        <v>0</v>
      </c>
      <c r="C584" s="238" t="s">
        <v>223</v>
      </c>
      <c r="D584" s="122" t="s">
        <v>5</v>
      </c>
      <c r="E584" s="122" t="s">
        <v>220</v>
      </c>
      <c r="F584" s="122" t="s">
        <v>59</v>
      </c>
      <c r="G584" s="122" t="s">
        <v>61</v>
      </c>
      <c r="H584" s="147" t="s">
        <v>221</v>
      </c>
      <c r="I584" s="125" t="s">
        <v>222</v>
      </c>
      <c r="J584" s="125" t="s">
        <v>63</v>
      </c>
      <c r="K584" s="123" t="s">
        <v>890</v>
      </c>
      <c r="L584" s="124"/>
      <c r="M584" s="124"/>
    </row>
    <row r="585" spans="2:13" ht="18" x14ac:dyDescent="0.3">
      <c r="B585" s="121"/>
      <c r="C585" s="239"/>
      <c r="D585" s="121">
        <f>+SUM(D586:D601)</f>
        <v>0</v>
      </c>
      <c r="E585" s="121"/>
      <c r="F585" s="121"/>
      <c r="G585" s="121"/>
      <c r="H585" s="121">
        <f>+SUM(H586:H601)</f>
        <v>0</v>
      </c>
      <c r="I585" s="126"/>
      <c r="J585" s="126"/>
      <c r="K585" s="121">
        <f>+SUM(K586:K600)</f>
        <v>0</v>
      </c>
      <c r="L585" s="118" t="s">
        <v>22</v>
      </c>
      <c r="M585" s="117">
        <f>+D585</f>
        <v>0</v>
      </c>
    </row>
    <row r="586" spans="2:13" ht="18" x14ac:dyDescent="0.3">
      <c r="B586" s="81"/>
      <c r="C586" s="241"/>
      <c r="D586" s="81"/>
      <c r="E586" s="81"/>
      <c r="F586" s="81"/>
      <c r="G586" s="81"/>
      <c r="H586" s="148">
        <f t="shared" ref="H586:H600" si="129">+F586-G586</f>
        <v>0</v>
      </c>
      <c r="I586" s="128"/>
      <c r="J586" s="128"/>
      <c r="K586" s="82">
        <f>+(H586-H586*I586/100)*J586</f>
        <v>0</v>
      </c>
      <c r="L586" s="118" t="str">
        <f>+K584</f>
        <v>запас</v>
      </c>
      <c r="M586" s="119">
        <f>+K585</f>
        <v>0</v>
      </c>
    </row>
    <row r="587" spans="2:13" ht="18" x14ac:dyDescent="0.3">
      <c r="B587" s="81"/>
      <c r="C587" s="241"/>
      <c r="D587" s="81"/>
      <c r="E587" s="81"/>
      <c r="F587" s="81"/>
      <c r="G587" s="81"/>
      <c r="H587" s="148">
        <f t="shared" si="129"/>
        <v>0</v>
      </c>
      <c r="I587" s="128"/>
      <c r="J587" s="128"/>
      <c r="K587" s="82">
        <f>+(H587-H587*I587/100)*J587</f>
        <v>0</v>
      </c>
      <c r="L587" s="118" t="s">
        <v>57</v>
      </c>
      <c r="M587" s="120">
        <f>+M585-M586</f>
        <v>0</v>
      </c>
    </row>
    <row r="588" spans="2:13" ht="18" x14ac:dyDescent="0.3">
      <c r="B588" s="81"/>
      <c r="C588" s="241"/>
      <c r="D588" s="81"/>
      <c r="E588" s="81"/>
      <c r="F588" s="81"/>
      <c r="G588" s="81"/>
      <c r="H588" s="148">
        <f t="shared" si="129"/>
        <v>0</v>
      </c>
      <c r="I588" s="128"/>
      <c r="J588" s="128"/>
      <c r="K588" s="82">
        <f>+(H588-H588*I588/100)*J588</f>
        <v>0</v>
      </c>
    </row>
    <row r="589" spans="2:13" ht="18" x14ac:dyDescent="0.3">
      <c r="B589" s="81"/>
      <c r="C589" s="241"/>
      <c r="D589" s="81"/>
      <c r="E589" s="81"/>
      <c r="F589" s="81"/>
      <c r="G589" s="81"/>
      <c r="H589" s="148">
        <f t="shared" si="129"/>
        <v>0</v>
      </c>
      <c r="I589" s="128"/>
      <c r="J589" s="128"/>
      <c r="K589" s="82">
        <f>+(H589-H589*I589/100)*J589</f>
        <v>0</v>
      </c>
    </row>
    <row r="590" spans="2:13" ht="18" x14ac:dyDescent="0.3">
      <c r="B590" s="81"/>
      <c r="C590" s="241"/>
      <c r="D590" s="81"/>
      <c r="E590" s="81"/>
      <c r="F590" s="81"/>
      <c r="G590" s="81"/>
      <c r="H590" s="148">
        <f t="shared" si="129"/>
        <v>0</v>
      </c>
      <c r="I590" s="128"/>
      <c r="J590" s="128"/>
      <c r="K590" s="82">
        <f t="shared" ref="K590:K600" si="130">+(H590-H590*I590/100)*J590</f>
        <v>0</v>
      </c>
    </row>
    <row r="591" spans="2:13" ht="18" x14ac:dyDescent="0.3">
      <c r="B591" s="81"/>
      <c r="C591" s="241"/>
      <c r="D591" s="81"/>
      <c r="E591" s="81"/>
      <c r="F591" s="81"/>
      <c r="G591" s="81"/>
      <c r="H591" s="148">
        <f t="shared" si="129"/>
        <v>0</v>
      </c>
      <c r="I591" s="128"/>
      <c r="J591" s="128"/>
      <c r="K591" s="82">
        <f t="shared" si="130"/>
        <v>0</v>
      </c>
    </row>
    <row r="592" spans="2:13" ht="18" x14ac:dyDescent="0.3">
      <c r="B592" s="81"/>
      <c r="C592" s="241"/>
      <c r="D592" s="81"/>
      <c r="E592" s="81"/>
      <c r="F592" s="81"/>
      <c r="G592" s="81"/>
      <c r="H592" s="148">
        <f t="shared" si="129"/>
        <v>0</v>
      </c>
      <c r="I592" s="128"/>
      <c r="J592" s="128"/>
      <c r="K592" s="82">
        <f t="shared" si="130"/>
        <v>0</v>
      </c>
    </row>
    <row r="593" spans="2:13" ht="18" x14ac:dyDescent="0.3">
      <c r="B593" s="81"/>
      <c r="C593" s="241"/>
      <c r="D593" s="81"/>
      <c r="E593" s="81"/>
      <c r="F593" s="81"/>
      <c r="G593" s="81"/>
      <c r="H593" s="148">
        <f t="shared" si="129"/>
        <v>0</v>
      </c>
      <c r="I593" s="128"/>
      <c r="J593" s="128"/>
      <c r="K593" s="82">
        <f t="shared" si="130"/>
        <v>0</v>
      </c>
    </row>
    <row r="594" spans="2:13" ht="18" x14ac:dyDescent="0.3">
      <c r="B594" s="81"/>
      <c r="C594" s="241"/>
      <c r="D594" s="81"/>
      <c r="E594" s="81"/>
      <c r="F594" s="81"/>
      <c r="G594" s="81"/>
      <c r="H594" s="148">
        <f t="shared" si="129"/>
        <v>0</v>
      </c>
      <c r="I594" s="128"/>
      <c r="J594" s="128"/>
      <c r="K594" s="82">
        <f t="shared" si="130"/>
        <v>0</v>
      </c>
    </row>
    <row r="595" spans="2:13" ht="18" x14ac:dyDescent="0.3">
      <c r="B595" s="81"/>
      <c r="C595" s="241"/>
      <c r="D595" s="81"/>
      <c r="E595" s="81"/>
      <c r="F595" s="81"/>
      <c r="G595" s="81"/>
      <c r="H595" s="148">
        <f t="shared" si="129"/>
        <v>0</v>
      </c>
      <c r="I595" s="128"/>
      <c r="J595" s="128"/>
      <c r="K595" s="82">
        <f t="shared" si="130"/>
        <v>0</v>
      </c>
    </row>
    <row r="596" spans="2:13" ht="18" x14ac:dyDescent="0.3">
      <c r="B596" s="81"/>
      <c r="C596" s="241"/>
      <c r="D596" s="81"/>
      <c r="E596" s="81"/>
      <c r="F596" s="81"/>
      <c r="G596" s="81"/>
      <c r="H596" s="148">
        <f t="shared" si="129"/>
        <v>0</v>
      </c>
      <c r="I596" s="128"/>
      <c r="J596" s="128"/>
      <c r="K596" s="82">
        <f t="shared" si="130"/>
        <v>0</v>
      </c>
    </row>
    <row r="597" spans="2:13" ht="18" x14ac:dyDescent="0.3">
      <c r="B597" s="81"/>
      <c r="C597" s="241"/>
      <c r="D597" s="81"/>
      <c r="E597" s="81"/>
      <c r="F597" s="81"/>
      <c r="G597" s="81"/>
      <c r="H597" s="148">
        <f t="shared" si="129"/>
        <v>0</v>
      </c>
      <c r="I597" s="128"/>
      <c r="J597" s="128"/>
      <c r="K597" s="82">
        <f t="shared" si="130"/>
        <v>0</v>
      </c>
    </row>
    <row r="598" spans="2:13" ht="18" x14ac:dyDescent="0.3">
      <c r="B598" s="81"/>
      <c r="C598" s="241"/>
      <c r="D598" s="81"/>
      <c r="E598" s="81"/>
      <c r="F598" s="81"/>
      <c r="G598" s="81"/>
      <c r="H598" s="148">
        <f t="shared" si="129"/>
        <v>0</v>
      </c>
      <c r="I598" s="128"/>
      <c r="J598" s="128"/>
      <c r="K598" s="82">
        <f t="shared" si="130"/>
        <v>0</v>
      </c>
    </row>
    <row r="599" spans="2:13" ht="18" x14ac:dyDescent="0.3">
      <c r="B599" s="81"/>
      <c r="C599" s="241"/>
      <c r="D599" s="81"/>
      <c r="E599" s="81"/>
      <c r="F599" s="81"/>
      <c r="G599" s="81"/>
      <c r="H599" s="148">
        <f t="shared" si="129"/>
        <v>0</v>
      </c>
      <c r="I599" s="128"/>
      <c r="J599" s="128"/>
      <c r="K599" s="82">
        <f t="shared" si="130"/>
        <v>0</v>
      </c>
    </row>
    <row r="600" spans="2:13" ht="18" x14ac:dyDescent="0.3">
      <c r="B600" s="81"/>
      <c r="C600" s="241"/>
      <c r="D600" s="81"/>
      <c r="E600" s="81"/>
      <c r="F600" s="81"/>
      <c r="G600" s="81"/>
      <c r="H600" s="148">
        <f t="shared" si="129"/>
        <v>0</v>
      </c>
      <c r="I600" s="128"/>
      <c r="J600" s="128"/>
      <c r="K600" s="82">
        <f t="shared" si="130"/>
        <v>0</v>
      </c>
    </row>
    <row r="603" spans="2:13" ht="36" x14ac:dyDescent="0.3">
      <c r="B603" s="122" t="s">
        <v>0</v>
      </c>
      <c r="C603" s="238" t="s">
        <v>223</v>
      </c>
      <c r="D603" s="122" t="s">
        <v>5</v>
      </c>
      <c r="E603" s="122" t="s">
        <v>220</v>
      </c>
      <c r="F603" s="122" t="s">
        <v>59</v>
      </c>
      <c r="G603" s="122" t="s">
        <v>61</v>
      </c>
      <c r="H603" s="147" t="s">
        <v>221</v>
      </c>
      <c r="I603" s="125" t="s">
        <v>222</v>
      </c>
      <c r="J603" s="125" t="s">
        <v>63</v>
      </c>
      <c r="K603" s="123" t="s">
        <v>890</v>
      </c>
      <c r="L603" s="124"/>
      <c r="M603" s="124"/>
    </row>
    <row r="604" spans="2:13" ht="18" x14ac:dyDescent="0.3">
      <c r="B604" s="121"/>
      <c r="C604" s="239"/>
      <c r="D604" s="121">
        <f>+SUM(D605:D622)</f>
        <v>0</v>
      </c>
      <c r="E604" s="121"/>
      <c r="F604" s="121"/>
      <c r="G604" s="121"/>
      <c r="H604" s="121">
        <f>+SUM(H605:H622)</f>
        <v>0</v>
      </c>
      <c r="I604" s="126"/>
      <c r="J604" s="126"/>
      <c r="K604" s="121">
        <f>+SUM(K605:K621)</f>
        <v>0</v>
      </c>
      <c r="L604" s="118" t="s">
        <v>22</v>
      </c>
      <c r="M604" s="117">
        <f>+D604</f>
        <v>0</v>
      </c>
    </row>
    <row r="605" spans="2:13" ht="18" x14ac:dyDescent="0.3">
      <c r="B605" s="26"/>
      <c r="C605" s="240"/>
      <c r="D605" s="26"/>
      <c r="E605" s="26"/>
      <c r="F605" s="26"/>
      <c r="G605" s="26"/>
      <c r="H605" s="148">
        <f t="shared" ref="H605:H612" si="131">+F605-G605</f>
        <v>0</v>
      </c>
      <c r="I605" s="127"/>
      <c r="J605" s="127"/>
      <c r="K605" s="82">
        <f>+(H605-H605*I605/100)*J605</f>
        <v>0</v>
      </c>
      <c r="L605" s="118" t="str">
        <f>+K603</f>
        <v>запас</v>
      </c>
      <c r="M605" s="119">
        <f>+K604</f>
        <v>0</v>
      </c>
    </row>
    <row r="606" spans="2:13" ht="18" x14ac:dyDescent="0.3">
      <c r="B606" s="81"/>
      <c r="C606" s="241"/>
      <c r="D606" s="81"/>
      <c r="E606" s="81"/>
      <c r="F606" s="81"/>
      <c r="G606" s="81"/>
      <c r="H606" s="148">
        <f t="shared" si="131"/>
        <v>0</v>
      </c>
      <c r="I606" s="128"/>
      <c r="J606" s="128"/>
      <c r="K606" s="82">
        <f>+(H606-H606*I606/100)*J606</f>
        <v>0</v>
      </c>
      <c r="L606" s="118" t="s">
        <v>57</v>
      </c>
      <c r="M606" s="120">
        <f>+M604-M605</f>
        <v>0</v>
      </c>
    </row>
    <row r="607" spans="2:13" ht="18" x14ac:dyDescent="0.3">
      <c r="B607" s="81"/>
      <c r="C607" s="241"/>
      <c r="D607" s="81"/>
      <c r="E607" s="81"/>
      <c r="F607" s="81"/>
      <c r="G607" s="81"/>
      <c r="H607" s="148">
        <f t="shared" si="131"/>
        <v>0</v>
      </c>
      <c r="I607" s="128"/>
      <c r="J607" s="128"/>
      <c r="K607" s="82">
        <f>+(H607-H607*I607/100)*J607</f>
        <v>0</v>
      </c>
    </row>
    <row r="608" spans="2:13" ht="18" x14ac:dyDescent="0.3">
      <c r="B608" s="81"/>
      <c r="C608" s="241"/>
      <c r="D608" s="81"/>
      <c r="E608" s="81"/>
      <c r="F608" s="81"/>
      <c r="G608" s="81"/>
      <c r="H608" s="148">
        <f t="shared" si="131"/>
        <v>0</v>
      </c>
      <c r="I608" s="128"/>
      <c r="J608" s="128"/>
      <c r="K608" s="82">
        <f>+(H608-H608*I608/100)*J608</f>
        <v>0</v>
      </c>
    </row>
    <row r="609" spans="2:13" ht="18" x14ac:dyDescent="0.3">
      <c r="B609" s="81"/>
      <c r="C609" s="241"/>
      <c r="D609" s="81"/>
      <c r="E609" s="81"/>
      <c r="F609" s="81"/>
      <c r="G609" s="81"/>
      <c r="H609" s="148">
        <f t="shared" si="131"/>
        <v>0</v>
      </c>
      <c r="I609" s="128"/>
      <c r="J609" s="128"/>
      <c r="K609" s="82">
        <f t="shared" ref="K609:K621" si="132">+(H609-H609*I609/100)*J609</f>
        <v>0</v>
      </c>
    </row>
    <row r="610" spans="2:13" ht="18" x14ac:dyDescent="0.3">
      <c r="B610" s="81"/>
      <c r="C610" s="241"/>
      <c r="D610" s="81"/>
      <c r="E610" s="81"/>
      <c r="F610" s="81"/>
      <c r="G610" s="81"/>
      <c r="H610" s="148">
        <f t="shared" si="131"/>
        <v>0</v>
      </c>
      <c r="I610" s="128"/>
      <c r="J610" s="128"/>
      <c r="K610" s="82">
        <f t="shared" si="132"/>
        <v>0</v>
      </c>
    </row>
    <row r="611" spans="2:13" ht="18" x14ac:dyDescent="0.3">
      <c r="B611" s="81"/>
      <c r="C611" s="241"/>
      <c r="D611" s="81"/>
      <c r="E611" s="81"/>
      <c r="F611" s="81"/>
      <c r="G611" s="81"/>
      <c r="H611" s="148">
        <f t="shared" si="131"/>
        <v>0</v>
      </c>
      <c r="I611" s="128"/>
      <c r="J611" s="128"/>
      <c r="K611" s="82">
        <f t="shared" si="132"/>
        <v>0</v>
      </c>
    </row>
    <row r="612" spans="2:13" ht="18" x14ac:dyDescent="0.3">
      <c r="B612" s="81"/>
      <c r="C612" s="241"/>
      <c r="D612" s="81"/>
      <c r="E612" s="81"/>
      <c r="F612" s="81"/>
      <c r="G612" s="81"/>
      <c r="H612" s="148">
        <f t="shared" si="131"/>
        <v>0</v>
      </c>
      <c r="I612" s="128"/>
      <c r="J612" s="128"/>
      <c r="K612" s="82">
        <f t="shared" si="132"/>
        <v>0</v>
      </c>
    </row>
    <row r="613" spans="2:13" ht="18" x14ac:dyDescent="0.3">
      <c r="B613" s="81"/>
      <c r="C613" s="241"/>
      <c r="D613" s="81"/>
      <c r="E613" s="81"/>
      <c r="F613" s="81"/>
      <c r="G613" s="81"/>
      <c r="H613" s="148">
        <f t="shared" ref="H613:H617" si="133">+F613-G613</f>
        <v>0</v>
      </c>
      <c r="I613" s="128"/>
      <c r="J613" s="128"/>
      <c r="K613" s="82">
        <f t="shared" si="132"/>
        <v>0</v>
      </c>
    </row>
    <row r="614" spans="2:13" ht="18" x14ac:dyDescent="0.3">
      <c r="B614" s="81"/>
      <c r="C614" s="241"/>
      <c r="D614" s="81"/>
      <c r="E614" s="81"/>
      <c r="F614" s="81"/>
      <c r="G614" s="81"/>
      <c r="H614" s="148">
        <f t="shared" si="133"/>
        <v>0</v>
      </c>
      <c r="I614" s="128"/>
      <c r="J614" s="128"/>
      <c r="K614" s="82">
        <f t="shared" si="132"/>
        <v>0</v>
      </c>
    </row>
    <row r="615" spans="2:13" ht="18" x14ac:dyDescent="0.3">
      <c r="B615" s="81"/>
      <c r="C615" s="241"/>
      <c r="D615" s="81"/>
      <c r="E615" s="81"/>
      <c r="F615" s="81"/>
      <c r="G615" s="81"/>
      <c r="H615" s="148">
        <f t="shared" si="133"/>
        <v>0</v>
      </c>
      <c r="I615" s="128"/>
      <c r="J615" s="128"/>
      <c r="K615" s="82">
        <f t="shared" si="132"/>
        <v>0</v>
      </c>
    </row>
    <row r="616" spans="2:13" ht="18" x14ac:dyDescent="0.3">
      <c r="B616" s="81"/>
      <c r="C616" s="241"/>
      <c r="D616" s="81"/>
      <c r="E616" s="81"/>
      <c r="F616" s="81"/>
      <c r="G616" s="81"/>
      <c r="H616" s="148">
        <f t="shared" si="133"/>
        <v>0</v>
      </c>
      <c r="I616" s="128"/>
      <c r="J616" s="128"/>
      <c r="K616" s="82">
        <f t="shared" si="132"/>
        <v>0</v>
      </c>
    </row>
    <row r="617" spans="2:13" ht="18" x14ac:dyDescent="0.3">
      <c r="B617" s="81"/>
      <c r="C617" s="241"/>
      <c r="D617" s="81"/>
      <c r="E617" s="81"/>
      <c r="F617" s="81"/>
      <c r="G617" s="81"/>
      <c r="H617" s="148">
        <f t="shared" si="133"/>
        <v>0</v>
      </c>
      <c r="I617" s="128"/>
      <c r="J617" s="128"/>
      <c r="K617" s="82">
        <f t="shared" si="132"/>
        <v>0</v>
      </c>
    </row>
    <row r="618" spans="2:13" ht="18" x14ac:dyDescent="0.3">
      <c r="B618" s="81"/>
      <c r="C618" s="241"/>
      <c r="D618" s="81"/>
      <c r="E618" s="81"/>
      <c r="F618" s="81"/>
      <c r="G618" s="81"/>
      <c r="H618" s="148">
        <f t="shared" ref="H618:H621" si="134">+F618-G618</f>
        <v>0</v>
      </c>
      <c r="I618" s="128"/>
      <c r="J618" s="128"/>
      <c r="K618" s="82">
        <f t="shared" si="132"/>
        <v>0</v>
      </c>
    </row>
    <row r="619" spans="2:13" ht="18" x14ac:dyDescent="0.3">
      <c r="B619" s="81"/>
      <c r="C619" s="241"/>
      <c r="D619" s="81"/>
      <c r="E619" s="81"/>
      <c r="F619" s="81"/>
      <c r="G619" s="81"/>
      <c r="H619" s="148">
        <f t="shared" si="134"/>
        <v>0</v>
      </c>
      <c r="I619" s="128"/>
      <c r="J619" s="128"/>
      <c r="K619" s="82">
        <f t="shared" si="132"/>
        <v>0</v>
      </c>
    </row>
    <row r="620" spans="2:13" ht="18" x14ac:dyDescent="0.3">
      <c r="B620" s="81"/>
      <c r="C620" s="241"/>
      <c r="D620" s="81"/>
      <c r="E620" s="81"/>
      <c r="F620" s="81"/>
      <c r="G620" s="81"/>
      <c r="H620" s="148">
        <f t="shared" si="134"/>
        <v>0</v>
      </c>
      <c r="I620" s="128"/>
      <c r="J620" s="128"/>
      <c r="K620" s="82">
        <f t="shared" si="132"/>
        <v>0</v>
      </c>
    </row>
    <row r="621" spans="2:13" ht="18" x14ac:dyDescent="0.3">
      <c r="B621" s="81"/>
      <c r="C621" s="241"/>
      <c r="D621" s="81"/>
      <c r="E621" s="81"/>
      <c r="F621" s="81"/>
      <c r="G621" s="81"/>
      <c r="H621" s="148">
        <f t="shared" si="134"/>
        <v>0</v>
      </c>
      <c r="I621" s="128"/>
      <c r="J621" s="128"/>
      <c r="K621" s="82">
        <f t="shared" si="132"/>
        <v>0</v>
      </c>
    </row>
    <row r="623" spans="2:13" x14ac:dyDescent="0.3">
      <c r="L623" s="188"/>
      <c r="M623" s="188"/>
    </row>
    <row r="624" spans="2:13" ht="36" x14ac:dyDescent="0.3">
      <c r="B624" s="122" t="s">
        <v>0</v>
      </c>
      <c r="C624" s="238" t="s">
        <v>223</v>
      </c>
      <c r="D624" s="122" t="s">
        <v>5</v>
      </c>
      <c r="E624" s="122" t="s">
        <v>220</v>
      </c>
      <c r="F624" s="122" t="s">
        <v>59</v>
      </c>
      <c r="G624" s="122" t="s">
        <v>61</v>
      </c>
      <c r="H624" s="147" t="s">
        <v>221</v>
      </c>
      <c r="I624" s="125" t="s">
        <v>222</v>
      </c>
      <c r="J624" s="125" t="s">
        <v>63</v>
      </c>
      <c r="K624" s="123" t="s">
        <v>890</v>
      </c>
      <c r="L624" s="124"/>
      <c r="M624" s="124"/>
    </row>
    <row r="625" spans="2:13" ht="18" x14ac:dyDescent="0.3">
      <c r="B625" s="121"/>
      <c r="C625" s="239"/>
      <c r="D625" s="121">
        <f>+SUM(D626:D635)</f>
        <v>0</v>
      </c>
      <c r="E625" s="121"/>
      <c r="F625" s="121"/>
      <c r="G625" s="121"/>
      <c r="H625" s="121">
        <f>+SUM(H626:H635)</f>
        <v>0</v>
      </c>
      <c r="I625" s="126"/>
      <c r="J625" s="126"/>
      <c r="K625" s="121">
        <f>+SUM(K626:K634)</f>
        <v>0</v>
      </c>
      <c r="L625" s="118" t="s">
        <v>22</v>
      </c>
      <c r="M625" s="117">
        <f>+D625</f>
        <v>0</v>
      </c>
    </row>
    <row r="626" spans="2:13" ht="18" x14ac:dyDescent="0.3">
      <c r="B626" s="26"/>
      <c r="C626" s="240"/>
      <c r="D626" s="26"/>
      <c r="E626" s="26"/>
      <c r="F626" s="26"/>
      <c r="G626" s="26"/>
      <c r="H626" s="148">
        <f t="shared" ref="H626:H634" si="135">+F626-G626</f>
        <v>0</v>
      </c>
      <c r="I626" s="127"/>
      <c r="J626" s="127"/>
      <c r="K626" s="82">
        <f>+(H626-H626*I626/100)*J626</f>
        <v>0</v>
      </c>
      <c r="L626" s="118" t="str">
        <f>+K624</f>
        <v>запас</v>
      </c>
      <c r="M626" s="119">
        <f>+K625</f>
        <v>0</v>
      </c>
    </row>
    <row r="627" spans="2:13" ht="18" x14ac:dyDescent="0.3">
      <c r="B627" s="26"/>
      <c r="C627" s="241"/>
      <c r="D627" s="81"/>
      <c r="E627" s="81"/>
      <c r="F627" s="81"/>
      <c r="G627" s="81"/>
      <c r="H627" s="148">
        <f t="shared" si="135"/>
        <v>0</v>
      </c>
      <c r="I627" s="128"/>
      <c r="J627" s="128"/>
      <c r="K627" s="82">
        <f>+(H627-H627*I627/100)*J627</f>
        <v>0</v>
      </c>
      <c r="L627" s="118" t="s">
        <v>57</v>
      </c>
      <c r="M627" s="120">
        <f>+M625-M626</f>
        <v>0</v>
      </c>
    </row>
    <row r="628" spans="2:13" ht="18" x14ac:dyDescent="0.3">
      <c r="B628" s="81"/>
      <c r="C628" s="241"/>
      <c r="D628" s="81"/>
      <c r="E628" s="81"/>
      <c r="F628" s="81"/>
      <c r="G628" s="81"/>
      <c r="H628" s="148">
        <f t="shared" si="135"/>
        <v>0</v>
      </c>
      <c r="I628" s="128"/>
      <c r="J628" s="128"/>
      <c r="K628" s="82">
        <f>+(H628-H628*I628/100)*J628</f>
        <v>0</v>
      </c>
    </row>
    <row r="629" spans="2:13" ht="18" x14ac:dyDescent="0.3">
      <c r="B629" s="81"/>
      <c r="C629" s="241"/>
      <c r="D629" s="81"/>
      <c r="E629" s="81"/>
      <c r="F629" s="81"/>
      <c r="G629" s="81"/>
      <c r="H629" s="148">
        <f t="shared" si="135"/>
        <v>0</v>
      </c>
      <c r="I629" s="128"/>
      <c r="J629" s="128"/>
      <c r="K629" s="82">
        <f>+(H629-H629*I629/100)*J629</f>
        <v>0</v>
      </c>
    </row>
    <row r="630" spans="2:13" ht="18" x14ac:dyDescent="0.3">
      <c r="B630" s="81"/>
      <c r="C630" s="241"/>
      <c r="D630" s="81"/>
      <c r="E630" s="81"/>
      <c r="F630" s="81"/>
      <c r="G630" s="81"/>
      <c r="H630" s="148">
        <f t="shared" si="135"/>
        <v>0</v>
      </c>
      <c r="I630" s="128"/>
      <c r="J630" s="128"/>
      <c r="K630" s="82">
        <f t="shared" ref="K630:K634" si="136">+(H630-H630*I630/100)*J630</f>
        <v>0</v>
      </c>
    </row>
    <row r="631" spans="2:13" ht="18" x14ac:dyDescent="0.3">
      <c r="B631" s="81"/>
      <c r="C631" s="241"/>
      <c r="D631" s="81"/>
      <c r="E631" s="81"/>
      <c r="F631" s="81"/>
      <c r="G631" s="81"/>
      <c r="H631" s="148">
        <f t="shared" si="135"/>
        <v>0</v>
      </c>
      <c r="I631" s="128"/>
      <c r="J631" s="128"/>
      <c r="K631" s="82">
        <f t="shared" si="136"/>
        <v>0</v>
      </c>
    </row>
    <row r="632" spans="2:13" ht="18" x14ac:dyDescent="0.3">
      <c r="B632" s="81"/>
      <c r="C632" s="241"/>
      <c r="D632" s="81"/>
      <c r="E632" s="81"/>
      <c r="F632" s="81"/>
      <c r="G632" s="81"/>
      <c r="H632" s="148">
        <f t="shared" si="135"/>
        <v>0</v>
      </c>
      <c r="I632" s="128"/>
      <c r="J632" s="128"/>
      <c r="K632" s="82">
        <f t="shared" si="136"/>
        <v>0</v>
      </c>
    </row>
    <row r="633" spans="2:13" ht="18" x14ac:dyDescent="0.3">
      <c r="B633" s="81"/>
      <c r="C633" s="241"/>
      <c r="D633" s="81"/>
      <c r="E633" s="81"/>
      <c r="F633" s="81"/>
      <c r="G633" s="81"/>
      <c r="H633" s="148">
        <f t="shared" si="135"/>
        <v>0</v>
      </c>
      <c r="I633" s="128"/>
      <c r="J633" s="128"/>
      <c r="K633" s="82">
        <f t="shared" si="136"/>
        <v>0</v>
      </c>
    </row>
    <row r="634" spans="2:13" ht="18" x14ac:dyDescent="0.3">
      <c r="B634" s="81"/>
      <c r="C634" s="241"/>
      <c r="D634" s="81"/>
      <c r="E634" s="81"/>
      <c r="F634" s="81"/>
      <c r="G634" s="81"/>
      <c r="H634" s="148">
        <f t="shared" si="135"/>
        <v>0</v>
      </c>
      <c r="I634" s="128"/>
      <c r="J634" s="128"/>
      <c r="K634" s="82">
        <f t="shared" si="136"/>
        <v>0</v>
      </c>
    </row>
    <row r="637" spans="2:13" ht="36" x14ac:dyDescent="0.3">
      <c r="B637" s="122" t="s">
        <v>0</v>
      </c>
      <c r="C637" s="238" t="s">
        <v>223</v>
      </c>
      <c r="D637" s="122" t="s">
        <v>5</v>
      </c>
      <c r="E637" s="122" t="s">
        <v>220</v>
      </c>
      <c r="F637" s="122" t="s">
        <v>59</v>
      </c>
      <c r="G637" s="122" t="s">
        <v>61</v>
      </c>
      <c r="H637" s="147" t="s">
        <v>221</v>
      </c>
      <c r="I637" s="125" t="s">
        <v>222</v>
      </c>
      <c r="J637" s="125" t="s">
        <v>63</v>
      </c>
      <c r="K637" s="123" t="s">
        <v>890</v>
      </c>
      <c r="L637" s="124"/>
      <c r="M637" s="124"/>
    </row>
    <row r="638" spans="2:13" ht="18" x14ac:dyDescent="0.3">
      <c r="B638" s="121"/>
      <c r="C638" s="239"/>
      <c r="D638" s="121">
        <f>+SUM(D639:D648)</f>
        <v>0</v>
      </c>
      <c r="E638" s="121"/>
      <c r="F638" s="121"/>
      <c r="G638" s="121"/>
      <c r="H638" s="121">
        <f>+SUM(H639:H648)</f>
        <v>0</v>
      </c>
      <c r="I638" s="126"/>
      <c r="J638" s="126"/>
      <c r="K638" s="121">
        <f>+SUM(K639:K647)</f>
        <v>0</v>
      </c>
      <c r="L638" s="118" t="s">
        <v>22</v>
      </c>
      <c r="M638" s="117">
        <f>+D638</f>
        <v>0</v>
      </c>
    </row>
    <row r="639" spans="2:13" ht="18" x14ac:dyDescent="0.3">
      <c r="B639" s="26"/>
      <c r="C639" s="240"/>
      <c r="D639" s="26"/>
      <c r="E639" s="26"/>
      <c r="F639" s="26"/>
      <c r="G639" s="26"/>
      <c r="H639" s="148">
        <f t="shared" ref="H639:H647" si="137">+F639-G639</f>
        <v>0</v>
      </c>
      <c r="I639" s="127"/>
      <c r="J639" s="127"/>
      <c r="K639" s="82">
        <f>+(H639-H639*I639/100)*J639</f>
        <v>0</v>
      </c>
      <c r="L639" s="118" t="str">
        <f>+K637</f>
        <v>запас</v>
      </c>
      <c r="M639" s="119">
        <f>+K638</f>
        <v>0</v>
      </c>
    </row>
    <row r="640" spans="2:13" ht="18" x14ac:dyDescent="0.3">
      <c r="B640" s="26"/>
      <c r="C640" s="241"/>
      <c r="D640" s="81"/>
      <c r="E640" s="81"/>
      <c r="F640" s="81"/>
      <c r="G640" s="81"/>
      <c r="H640" s="148">
        <f t="shared" si="137"/>
        <v>0</v>
      </c>
      <c r="I640" s="128"/>
      <c r="J640" s="128"/>
      <c r="K640" s="82">
        <f>+(H640-H640*I640/100)*J640</f>
        <v>0</v>
      </c>
      <c r="L640" s="118" t="s">
        <v>57</v>
      </c>
      <c r="M640" s="120">
        <f>+M638-M639</f>
        <v>0</v>
      </c>
    </row>
    <row r="641" spans="2:13" ht="18" x14ac:dyDescent="0.3">
      <c r="B641" s="81"/>
      <c r="C641" s="241"/>
      <c r="D641" s="81"/>
      <c r="E641" s="81"/>
      <c r="F641" s="81"/>
      <c r="G641" s="81"/>
      <c r="H641" s="148">
        <f t="shared" si="137"/>
        <v>0</v>
      </c>
      <c r="I641" s="128"/>
      <c r="J641" s="128"/>
      <c r="K641" s="82">
        <f>+(H641-H641*I641/100)*J641</f>
        <v>0</v>
      </c>
    </row>
    <row r="642" spans="2:13" ht="18" x14ac:dyDescent="0.3">
      <c r="B642" s="81"/>
      <c r="C642" s="241"/>
      <c r="D642" s="81"/>
      <c r="E642" s="81"/>
      <c r="F642" s="81"/>
      <c r="G642" s="81"/>
      <c r="H642" s="148">
        <f t="shared" si="137"/>
        <v>0</v>
      </c>
      <c r="I642" s="128"/>
      <c r="J642" s="128"/>
      <c r="K642" s="82">
        <f>+(H642-H642*I642/100)*J642</f>
        <v>0</v>
      </c>
    </row>
    <row r="643" spans="2:13" ht="18" x14ac:dyDescent="0.3">
      <c r="B643" s="81"/>
      <c r="C643" s="241"/>
      <c r="D643" s="81"/>
      <c r="E643" s="81"/>
      <c r="F643" s="81"/>
      <c r="G643" s="81"/>
      <c r="H643" s="148">
        <f t="shared" si="137"/>
        <v>0</v>
      </c>
      <c r="I643" s="128"/>
      <c r="J643" s="128"/>
      <c r="K643" s="82">
        <f t="shared" ref="K643:K647" si="138">+(H643-H643*I643/100)*J643</f>
        <v>0</v>
      </c>
    </row>
    <row r="644" spans="2:13" ht="18" x14ac:dyDescent="0.3">
      <c r="B644" s="81"/>
      <c r="C644" s="241"/>
      <c r="D644" s="81"/>
      <c r="E644" s="81"/>
      <c r="F644" s="81"/>
      <c r="G644" s="81"/>
      <c r="H644" s="148">
        <f t="shared" si="137"/>
        <v>0</v>
      </c>
      <c r="I644" s="128"/>
      <c r="J644" s="128"/>
      <c r="K644" s="82">
        <f t="shared" si="138"/>
        <v>0</v>
      </c>
    </row>
    <row r="645" spans="2:13" ht="18" x14ac:dyDescent="0.3">
      <c r="B645" s="81"/>
      <c r="C645" s="241"/>
      <c r="D645" s="81"/>
      <c r="E645" s="81"/>
      <c r="F645" s="81"/>
      <c r="G645" s="81"/>
      <c r="H645" s="148">
        <f t="shared" si="137"/>
        <v>0</v>
      </c>
      <c r="I645" s="128"/>
      <c r="J645" s="128"/>
      <c r="K645" s="82">
        <f t="shared" si="138"/>
        <v>0</v>
      </c>
    </row>
    <row r="646" spans="2:13" ht="18" x14ac:dyDescent="0.3">
      <c r="B646" s="81"/>
      <c r="C646" s="241"/>
      <c r="D646" s="81"/>
      <c r="E646" s="81"/>
      <c r="F646" s="81"/>
      <c r="G646" s="81"/>
      <c r="H646" s="148">
        <f t="shared" si="137"/>
        <v>0</v>
      </c>
      <c r="I646" s="128"/>
      <c r="J646" s="128"/>
      <c r="K646" s="82">
        <f t="shared" si="138"/>
        <v>0</v>
      </c>
    </row>
    <row r="647" spans="2:13" ht="18" x14ac:dyDescent="0.3">
      <c r="B647" s="81"/>
      <c r="C647" s="241"/>
      <c r="D647" s="81"/>
      <c r="E647" s="81"/>
      <c r="F647" s="81"/>
      <c r="G647" s="81"/>
      <c r="H647" s="148">
        <f t="shared" si="137"/>
        <v>0</v>
      </c>
      <c r="I647" s="128"/>
      <c r="J647" s="128"/>
      <c r="K647" s="82">
        <f t="shared" si="138"/>
        <v>0</v>
      </c>
    </row>
    <row r="650" spans="2:13" ht="36" x14ac:dyDescent="0.3">
      <c r="B650" s="122" t="s">
        <v>0</v>
      </c>
      <c r="C650" s="238" t="s">
        <v>223</v>
      </c>
      <c r="D650" s="122" t="s">
        <v>5</v>
      </c>
      <c r="E650" s="122" t="s">
        <v>220</v>
      </c>
      <c r="F650" s="122" t="s">
        <v>59</v>
      </c>
      <c r="G650" s="122" t="s">
        <v>61</v>
      </c>
      <c r="H650" s="147" t="s">
        <v>221</v>
      </c>
      <c r="I650" s="125" t="s">
        <v>222</v>
      </c>
      <c r="J650" s="125" t="s">
        <v>63</v>
      </c>
      <c r="K650" s="123" t="s">
        <v>890</v>
      </c>
      <c r="L650" s="124"/>
      <c r="M650" s="124"/>
    </row>
    <row r="651" spans="2:13" ht="18" x14ac:dyDescent="0.3">
      <c r="B651" s="121"/>
      <c r="C651" s="239"/>
      <c r="D651" s="121">
        <f>+SUM(D652:D661)</f>
        <v>0</v>
      </c>
      <c r="E651" s="121"/>
      <c r="F651" s="121"/>
      <c r="G651" s="121"/>
      <c r="H651" s="121">
        <f>+SUM(H652:H661)</f>
        <v>0</v>
      </c>
      <c r="I651" s="126"/>
      <c r="J651" s="126"/>
      <c r="K651" s="121">
        <f>+SUM(K652:K660)</f>
        <v>0</v>
      </c>
      <c r="L651" s="118" t="s">
        <v>22</v>
      </c>
      <c r="M651" s="117">
        <f>+D651</f>
        <v>0</v>
      </c>
    </row>
    <row r="652" spans="2:13" ht="18" x14ac:dyDescent="0.3">
      <c r="B652" s="26"/>
      <c r="C652" s="240"/>
      <c r="D652" s="26"/>
      <c r="E652" s="26"/>
      <c r="F652" s="26"/>
      <c r="G652" s="26"/>
      <c r="H652" s="148">
        <f t="shared" ref="H652:H660" si="139">+F652-G652</f>
        <v>0</v>
      </c>
      <c r="I652" s="127"/>
      <c r="J652" s="127"/>
      <c r="K652" s="82">
        <f>+(H652-H652*I652/100)*J652</f>
        <v>0</v>
      </c>
      <c r="L652" s="118" t="str">
        <f>+K650</f>
        <v>запас</v>
      </c>
      <c r="M652" s="119">
        <f>+K651</f>
        <v>0</v>
      </c>
    </row>
    <row r="653" spans="2:13" ht="18" x14ac:dyDescent="0.3">
      <c r="B653" s="81"/>
      <c r="C653" s="241"/>
      <c r="D653" s="81"/>
      <c r="E653" s="81"/>
      <c r="F653" s="81"/>
      <c r="G653" s="81"/>
      <c r="H653" s="148">
        <f t="shared" si="139"/>
        <v>0</v>
      </c>
      <c r="I653" s="128"/>
      <c r="J653" s="128"/>
      <c r="K653" s="82">
        <f>+(H653-H653*I653/100)*J653</f>
        <v>0</v>
      </c>
      <c r="L653" s="118" t="s">
        <v>57</v>
      </c>
      <c r="M653" s="120">
        <f>+M651-M652</f>
        <v>0</v>
      </c>
    </row>
    <row r="654" spans="2:13" ht="18" x14ac:dyDescent="0.3">
      <c r="B654" s="81"/>
      <c r="C654" s="241"/>
      <c r="D654" s="81"/>
      <c r="E654" s="81"/>
      <c r="F654" s="81"/>
      <c r="G654" s="81"/>
      <c r="H654" s="148">
        <f t="shared" si="139"/>
        <v>0</v>
      </c>
      <c r="I654" s="128"/>
      <c r="J654" s="128"/>
      <c r="K654" s="82">
        <f>+(H654-H654*I654/100)*J654</f>
        <v>0</v>
      </c>
    </row>
    <row r="655" spans="2:13" ht="18" x14ac:dyDescent="0.3">
      <c r="B655" s="81"/>
      <c r="C655" s="241"/>
      <c r="D655" s="81"/>
      <c r="E655" s="81"/>
      <c r="F655" s="81"/>
      <c r="G655" s="81"/>
      <c r="H655" s="148">
        <f t="shared" si="139"/>
        <v>0</v>
      </c>
      <c r="I655" s="128"/>
      <c r="J655" s="128"/>
      <c r="K655" s="82">
        <f>+(H655-H655*I655/100)*J655</f>
        <v>0</v>
      </c>
    </row>
    <row r="656" spans="2:13" ht="18" x14ac:dyDescent="0.3">
      <c r="B656" s="81"/>
      <c r="C656" s="241"/>
      <c r="D656" s="81"/>
      <c r="E656" s="81"/>
      <c r="F656" s="81"/>
      <c r="G656" s="81"/>
      <c r="H656" s="148">
        <f t="shared" si="139"/>
        <v>0</v>
      </c>
      <c r="I656" s="128"/>
      <c r="J656" s="128"/>
      <c r="K656" s="82">
        <f t="shared" ref="K656:K660" si="140">+(H656-H656*I656/100)*J656</f>
        <v>0</v>
      </c>
    </row>
    <row r="657" spans="2:13" ht="18" x14ac:dyDescent="0.3">
      <c r="B657" s="81"/>
      <c r="C657" s="241"/>
      <c r="D657" s="81"/>
      <c r="E657" s="81"/>
      <c r="F657" s="81"/>
      <c r="G657" s="81"/>
      <c r="H657" s="148">
        <f t="shared" si="139"/>
        <v>0</v>
      </c>
      <c r="I657" s="128"/>
      <c r="J657" s="128"/>
      <c r="K657" s="82">
        <f t="shared" si="140"/>
        <v>0</v>
      </c>
    </row>
    <row r="658" spans="2:13" ht="18" x14ac:dyDescent="0.3">
      <c r="B658" s="81"/>
      <c r="C658" s="241"/>
      <c r="D658" s="81"/>
      <c r="E658" s="81"/>
      <c r="F658" s="81"/>
      <c r="G658" s="81"/>
      <c r="H658" s="148">
        <f t="shared" si="139"/>
        <v>0</v>
      </c>
      <c r="I658" s="128"/>
      <c r="J658" s="128"/>
      <c r="K658" s="82">
        <f t="shared" si="140"/>
        <v>0</v>
      </c>
    </row>
    <row r="659" spans="2:13" ht="18" x14ac:dyDescent="0.3">
      <c r="B659" s="81"/>
      <c r="C659" s="241"/>
      <c r="D659" s="81"/>
      <c r="E659" s="81"/>
      <c r="F659" s="81"/>
      <c r="G659" s="81"/>
      <c r="H659" s="148">
        <f t="shared" si="139"/>
        <v>0</v>
      </c>
      <c r="I659" s="128"/>
      <c r="J659" s="128"/>
      <c r="K659" s="82">
        <f t="shared" si="140"/>
        <v>0</v>
      </c>
    </row>
    <row r="660" spans="2:13" ht="18" x14ac:dyDescent="0.3">
      <c r="B660" s="81"/>
      <c r="C660" s="241"/>
      <c r="D660" s="81"/>
      <c r="E660" s="81"/>
      <c r="F660" s="81"/>
      <c r="G660" s="81"/>
      <c r="H660" s="148">
        <f t="shared" si="139"/>
        <v>0</v>
      </c>
      <c r="I660" s="128"/>
      <c r="J660" s="128"/>
      <c r="K660" s="82">
        <f t="shared" si="140"/>
        <v>0</v>
      </c>
    </row>
    <row r="663" spans="2:13" ht="36" x14ac:dyDescent="0.3">
      <c r="B663" s="122" t="s">
        <v>0</v>
      </c>
      <c r="C663" s="238" t="s">
        <v>223</v>
      </c>
      <c r="D663" s="122" t="s">
        <v>5</v>
      </c>
      <c r="E663" s="122" t="s">
        <v>220</v>
      </c>
      <c r="F663" s="122" t="s">
        <v>59</v>
      </c>
      <c r="G663" s="122" t="s">
        <v>61</v>
      </c>
      <c r="H663" s="147" t="s">
        <v>221</v>
      </c>
      <c r="I663" s="125" t="s">
        <v>222</v>
      </c>
      <c r="J663" s="125" t="s">
        <v>63</v>
      </c>
      <c r="K663" s="123" t="s">
        <v>890</v>
      </c>
      <c r="L663" s="124"/>
      <c r="M663" s="124"/>
    </row>
    <row r="664" spans="2:13" ht="18" x14ac:dyDescent="0.3">
      <c r="B664" s="121"/>
      <c r="C664" s="239"/>
      <c r="D664" s="121">
        <f>+SUM(D665:D674)</f>
        <v>0</v>
      </c>
      <c r="E664" s="121"/>
      <c r="F664" s="121"/>
      <c r="G664" s="121"/>
      <c r="H664" s="121">
        <f>+SUM(H665:H674)</f>
        <v>0</v>
      </c>
      <c r="I664" s="126"/>
      <c r="J664" s="126"/>
      <c r="K664" s="121">
        <f>+SUM(K665:K673)</f>
        <v>0</v>
      </c>
      <c r="L664" s="118" t="s">
        <v>22</v>
      </c>
      <c r="M664" s="117">
        <f>+D664</f>
        <v>0</v>
      </c>
    </row>
    <row r="665" spans="2:13" ht="18" x14ac:dyDescent="0.3">
      <c r="B665" s="26"/>
      <c r="C665" s="240"/>
      <c r="D665" s="26"/>
      <c r="E665" s="26"/>
      <c r="F665" s="26"/>
      <c r="G665" s="26"/>
      <c r="H665" s="148">
        <f t="shared" ref="H665:H673" si="141">+F665-G665</f>
        <v>0</v>
      </c>
      <c r="I665" s="127"/>
      <c r="J665" s="127"/>
      <c r="K665" s="82">
        <f>+(H665-H665*I665/100)*J665</f>
        <v>0</v>
      </c>
      <c r="L665" s="118" t="str">
        <f>+K663</f>
        <v>запас</v>
      </c>
      <c r="M665" s="119">
        <f>+K664</f>
        <v>0</v>
      </c>
    </row>
    <row r="666" spans="2:13" ht="18" x14ac:dyDescent="0.3">
      <c r="B666" s="81"/>
      <c r="C666" s="241"/>
      <c r="D666" s="81"/>
      <c r="E666" s="81"/>
      <c r="F666" s="81"/>
      <c r="G666" s="81"/>
      <c r="H666" s="148">
        <f t="shared" si="141"/>
        <v>0</v>
      </c>
      <c r="I666" s="128"/>
      <c r="J666" s="128"/>
      <c r="K666" s="82">
        <f>+(H666-H666*I666/100)*J666</f>
        <v>0</v>
      </c>
      <c r="L666" s="118" t="s">
        <v>57</v>
      </c>
      <c r="M666" s="120">
        <f>+M664-M665</f>
        <v>0</v>
      </c>
    </row>
    <row r="667" spans="2:13" ht="18" x14ac:dyDescent="0.3">
      <c r="B667" s="81"/>
      <c r="C667" s="241"/>
      <c r="D667" s="81"/>
      <c r="E667" s="81"/>
      <c r="F667" s="81"/>
      <c r="G667" s="81"/>
      <c r="H667" s="148">
        <f t="shared" si="141"/>
        <v>0</v>
      </c>
      <c r="I667" s="128"/>
      <c r="J667" s="128"/>
      <c r="K667" s="82">
        <f>+(H667-H667*I667/100)*J667</f>
        <v>0</v>
      </c>
    </row>
    <row r="668" spans="2:13" ht="18" x14ac:dyDescent="0.3">
      <c r="B668" s="81"/>
      <c r="C668" s="241"/>
      <c r="D668" s="81"/>
      <c r="E668" s="81"/>
      <c r="F668" s="81"/>
      <c r="G668" s="81"/>
      <c r="H668" s="148">
        <f t="shared" si="141"/>
        <v>0</v>
      </c>
      <c r="I668" s="128"/>
      <c r="J668" s="128"/>
      <c r="K668" s="82">
        <f>+(H668-H668*I668/100)*J668</f>
        <v>0</v>
      </c>
    </row>
    <row r="669" spans="2:13" ht="18" x14ac:dyDescent="0.3">
      <c r="B669" s="81"/>
      <c r="C669" s="241"/>
      <c r="D669" s="81"/>
      <c r="E669" s="81"/>
      <c r="F669" s="81"/>
      <c r="G669" s="81"/>
      <c r="H669" s="148">
        <f t="shared" si="141"/>
        <v>0</v>
      </c>
      <c r="I669" s="128"/>
      <c r="J669" s="128"/>
      <c r="K669" s="82">
        <f t="shared" ref="K669:K673" si="142">+(H669-H669*I669/100)*J669</f>
        <v>0</v>
      </c>
    </row>
    <row r="670" spans="2:13" ht="18" x14ac:dyDescent="0.3">
      <c r="B670" s="81"/>
      <c r="C670" s="241"/>
      <c r="D670" s="81"/>
      <c r="E670" s="81"/>
      <c r="F670" s="81"/>
      <c r="G670" s="81"/>
      <c r="H670" s="148">
        <f t="shared" si="141"/>
        <v>0</v>
      </c>
      <c r="I670" s="128"/>
      <c r="J670" s="128"/>
      <c r="K670" s="82">
        <f t="shared" si="142"/>
        <v>0</v>
      </c>
    </row>
    <row r="671" spans="2:13" ht="18" x14ac:dyDescent="0.3">
      <c r="B671" s="81"/>
      <c r="C671" s="241"/>
      <c r="D671" s="81"/>
      <c r="E671" s="81"/>
      <c r="F671" s="81"/>
      <c r="G671" s="81"/>
      <c r="H671" s="148">
        <f t="shared" si="141"/>
        <v>0</v>
      </c>
      <c r="I671" s="128"/>
      <c r="J671" s="128"/>
      <c r="K671" s="82">
        <f t="shared" si="142"/>
        <v>0</v>
      </c>
    </row>
    <row r="672" spans="2:13" ht="18" x14ac:dyDescent="0.3">
      <c r="B672" s="81"/>
      <c r="C672" s="241"/>
      <c r="D672" s="81"/>
      <c r="E672" s="81"/>
      <c r="F672" s="81"/>
      <c r="G672" s="81"/>
      <c r="H672" s="148">
        <f t="shared" si="141"/>
        <v>0</v>
      </c>
      <c r="I672" s="128"/>
      <c r="J672" s="128"/>
      <c r="K672" s="82">
        <f t="shared" si="142"/>
        <v>0</v>
      </c>
    </row>
    <row r="673" spans="2:13" ht="18" x14ac:dyDescent="0.3">
      <c r="B673" s="81"/>
      <c r="C673" s="241"/>
      <c r="D673" s="81"/>
      <c r="E673" s="81"/>
      <c r="F673" s="81"/>
      <c r="G673" s="81"/>
      <c r="H673" s="148">
        <f t="shared" si="141"/>
        <v>0</v>
      </c>
      <c r="I673" s="128"/>
      <c r="J673" s="128"/>
      <c r="K673" s="82">
        <f t="shared" si="142"/>
        <v>0</v>
      </c>
    </row>
    <row r="676" spans="2:13" ht="36" x14ac:dyDescent="0.3">
      <c r="B676" s="122" t="s">
        <v>0</v>
      </c>
      <c r="C676" s="238" t="s">
        <v>223</v>
      </c>
      <c r="D676" s="122" t="s">
        <v>5</v>
      </c>
      <c r="E676" s="122" t="s">
        <v>220</v>
      </c>
      <c r="F676" s="122" t="s">
        <v>59</v>
      </c>
      <c r="G676" s="122" t="s">
        <v>61</v>
      </c>
      <c r="H676" s="147" t="s">
        <v>221</v>
      </c>
      <c r="I676" s="125" t="s">
        <v>222</v>
      </c>
      <c r="J676" s="125" t="s">
        <v>63</v>
      </c>
      <c r="K676" s="123" t="s">
        <v>890</v>
      </c>
      <c r="L676" s="124"/>
      <c r="M676" s="124"/>
    </row>
    <row r="677" spans="2:13" ht="18" x14ac:dyDescent="0.3">
      <c r="B677" s="121"/>
      <c r="C677" s="239"/>
      <c r="D677" s="121">
        <f>+SUM(D678:D687)</f>
        <v>0</v>
      </c>
      <c r="E677" s="121"/>
      <c r="F677" s="121"/>
      <c r="G677" s="121"/>
      <c r="H677" s="121">
        <f>+SUM(H678:H686)</f>
        <v>0</v>
      </c>
      <c r="I677" s="126"/>
      <c r="J677" s="126"/>
      <c r="K677" s="121">
        <f>+SUM(K678:K686)</f>
        <v>0</v>
      </c>
      <c r="L677" s="118" t="s">
        <v>22</v>
      </c>
      <c r="M677" s="117">
        <f>+D677</f>
        <v>0</v>
      </c>
    </row>
    <row r="678" spans="2:13" ht="18" x14ac:dyDescent="0.3">
      <c r="B678" s="26"/>
      <c r="C678" s="240"/>
      <c r="D678" s="26"/>
      <c r="E678" s="26"/>
      <c r="F678" s="26"/>
      <c r="G678" s="26"/>
      <c r="H678" s="148">
        <f t="shared" ref="H678:H686" si="143">+F678-G678</f>
        <v>0</v>
      </c>
      <c r="I678" s="127"/>
      <c r="J678" s="127"/>
      <c r="K678" s="82">
        <f>+(H678-H678*I678/100)*J678</f>
        <v>0</v>
      </c>
      <c r="L678" s="118" t="str">
        <f>+K676</f>
        <v>запас</v>
      </c>
      <c r="M678" s="119">
        <f>+K677</f>
        <v>0</v>
      </c>
    </row>
    <row r="679" spans="2:13" ht="18" x14ac:dyDescent="0.3">
      <c r="B679" s="81"/>
      <c r="C679" s="241"/>
      <c r="D679" s="81"/>
      <c r="E679" s="81"/>
      <c r="F679" s="81"/>
      <c r="G679" s="81"/>
      <c r="H679" s="148">
        <f t="shared" si="143"/>
        <v>0</v>
      </c>
      <c r="I679" s="128"/>
      <c r="J679" s="128"/>
      <c r="K679" s="82">
        <f>+(H679-H679*I679/100)*J679</f>
        <v>0</v>
      </c>
      <c r="L679" s="118" t="s">
        <v>57</v>
      </c>
      <c r="M679" s="120">
        <f>+M677-M678</f>
        <v>0</v>
      </c>
    </row>
    <row r="680" spans="2:13" ht="18" x14ac:dyDescent="0.3">
      <c r="B680" s="81"/>
      <c r="C680" s="241"/>
      <c r="D680" s="81"/>
      <c r="E680" s="81"/>
      <c r="F680" s="81"/>
      <c r="G680" s="81"/>
      <c r="H680" s="148">
        <f t="shared" si="143"/>
        <v>0</v>
      </c>
      <c r="I680" s="128"/>
      <c r="J680" s="128"/>
      <c r="K680" s="82">
        <f>+(H680-H680*I680/100)*J680</f>
        <v>0</v>
      </c>
    </row>
    <row r="681" spans="2:13" ht="18" x14ac:dyDescent="0.3">
      <c r="B681" s="81"/>
      <c r="C681" s="241"/>
      <c r="D681" s="81"/>
      <c r="E681" s="81"/>
      <c r="F681" s="81"/>
      <c r="G681" s="81"/>
      <c r="H681" s="148">
        <f t="shared" si="143"/>
        <v>0</v>
      </c>
      <c r="I681" s="128"/>
      <c r="J681" s="128"/>
      <c r="K681" s="82">
        <f>+(H681-H681*I681/100)*J681</f>
        <v>0</v>
      </c>
    </row>
    <row r="682" spans="2:13" ht="18" x14ac:dyDescent="0.3">
      <c r="B682" s="81"/>
      <c r="C682" s="241"/>
      <c r="D682" s="81"/>
      <c r="E682" s="81"/>
      <c r="F682" s="81"/>
      <c r="G682" s="81"/>
      <c r="H682" s="148">
        <f t="shared" si="143"/>
        <v>0</v>
      </c>
      <c r="I682" s="128"/>
      <c r="J682" s="128"/>
      <c r="K682" s="82">
        <f t="shared" ref="K682:K686" si="144">+(H682-H682*I682/100)*J682</f>
        <v>0</v>
      </c>
    </row>
    <row r="683" spans="2:13" ht="18" x14ac:dyDescent="0.3">
      <c r="B683" s="81"/>
      <c r="C683" s="241"/>
      <c r="D683" s="81"/>
      <c r="E683" s="81"/>
      <c r="F683" s="81"/>
      <c r="G683" s="81"/>
      <c r="H683" s="148">
        <f t="shared" si="143"/>
        <v>0</v>
      </c>
      <c r="I683" s="128"/>
      <c r="J683" s="128"/>
      <c r="K683" s="82">
        <f t="shared" si="144"/>
        <v>0</v>
      </c>
    </row>
    <row r="684" spans="2:13" ht="18" x14ac:dyDescent="0.3">
      <c r="B684" s="81"/>
      <c r="C684" s="241"/>
      <c r="D684" s="81"/>
      <c r="E684" s="81"/>
      <c r="F684" s="81"/>
      <c r="G684" s="81"/>
      <c r="H684" s="148">
        <f t="shared" si="143"/>
        <v>0</v>
      </c>
      <c r="I684" s="128"/>
      <c r="J684" s="128"/>
      <c r="K684" s="82">
        <f t="shared" si="144"/>
        <v>0</v>
      </c>
    </row>
    <row r="685" spans="2:13" ht="18" x14ac:dyDescent="0.3">
      <c r="B685" s="81"/>
      <c r="C685" s="241"/>
      <c r="D685" s="81"/>
      <c r="E685" s="81"/>
      <c r="F685" s="81"/>
      <c r="G685" s="81"/>
      <c r="H685" s="148">
        <f t="shared" si="143"/>
        <v>0</v>
      </c>
      <c r="I685" s="128"/>
      <c r="J685" s="128"/>
      <c r="K685" s="82">
        <f t="shared" si="144"/>
        <v>0</v>
      </c>
    </row>
    <row r="686" spans="2:13" ht="18" x14ac:dyDescent="0.3">
      <c r="B686" s="81"/>
      <c r="C686" s="241"/>
      <c r="D686" s="81"/>
      <c r="E686" s="81"/>
      <c r="F686" s="81"/>
      <c r="G686" s="81"/>
      <c r="H686" s="148">
        <f t="shared" si="143"/>
        <v>0</v>
      </c>
      <c r="I686" s="128"/>
      <c r="J686" s="128"/>
      <c r="K686" s="82">
        <f t="shared" si="144"/>
        <v>0</v>
      </c>
    </row>
    <row r="689" spans="2:13" ht="36" x14ac:dyDescent="0.3">
      <c r="B689" s="122" t="s">
        <v>0</v>
      </c>
      <c r="C689" s="238" t="s">
        <v>223</v>
      </c>
      <c r="D689" s="122" t="s">
        <v>5</v>
      </c>
      <c r="E689" s="122" t="s">
        <v>220</v>
      </c>
      <c r="F689" s="122" t="s">
        <v>59</v>
      </c>
      <c r="G689" s="122" t="s">
        <v>61</v>
      </c>
      <c r="H689" s="147" t="s">
        <v>221</v>
      </c>
      <c r="I689" s="125" t="s">
        <v>222</v>
      </c>
      <c r="J689" s="125" t="s">
        <v>63</v>
      </c>
      <c r="K689" s="123" t="s">
        <v>890</v>
      </c>
      <c r="L689" s="124"/>
      <c r="M689" s="124"/>
    </row>
    <row r="690" spans="2:13" ht="18" x14ac:dyDescent="0.3">
      <c r="B690" s="121"/>
      <c r="C690" s="239"/>
      <c r="D690" s="121">
        <f>+SUM(D691:D700)</f>
        <v>0</v>
      </c>
      <c r="E690" s="121"/>
      <c r="F690" s="121"/>
      <c r="G690" s="121"/>
      <c r="H690" s="121">
        <f>+SUM(H691:H700)</f>
        <v>0</v>
      </c>
      <c r="I690" s="126"/>
      <c r="J690" s="126"/>
      <c r="K690" s="121">
        <f>+SUM(K691:K699)</f>
        <v>0</v>
      </c>
      <c r="L690" s="118" t="s">
        <v>22</v>
      </c>
      <c r="M690" s="117">
        <f>+D690</f>
        <v>0</v>
      </c>
    </row>
    <row r="691" spans="2:13" ht="18" x14ac:dyDescent="0.3">
      <c r="B691" s="26"/>
      <c r="C691" s="240"/>
      <c r="D691" s="26"/>
      <c r="E691" s="26"/>
      <c r="F691" s="26"/>
      <c r="G691" s="26"/>
      <c r="H691" s="148">
        <f t="shared" ref="H691:H699" si="145">+F691-G691</f>
        <v>0</v>
      </c>
      <c r="I691" s="127"/>
      <c r="J691" s="127"/>
      <c r="K691" s="82">
        <f>+(H691-H691*I691/100)*J691</f>
        <v>0</v>
      </c>
      <c r="L691" s="118" t="str">
        <f>+K689</f>
        <v>запас</v>
      </c>
      <c r="M691" s="119">
        <f>+K690</f>
        <v>0</v>
      </c>
    </row>
    <row r="692" spans="2:13" ht="18" x14ac:dyDescent="0.3">
      <c r="B692" s="81"/>
      <c r="C692" s="241"/>
      <c r="D692" s="81"/>
      <c r="E692" s="81"/>
      <c r="F692" s="81"/>
      <c r="G692" s="81"/>
      <c r="H692" s="148">
        <f t="shared" si="145"/>
        <v>0</v>
      </c>
      <c r="I692" s="128"/>
      <c r="J692" s="128"/>
      <c r="K692" s="82">
        <f>+(H692-H692*I692/100)*J692</f>
        <v>0</v>
      </c>
      <c r="L692" s="118" t="s">
        <v>57</v>
      </c>
      <c r="M692" s="120">
        <f>+M690-M691</f>
        <v>0</v>
      </c>
    </row>
    <row r="693" spans="2:13" ht="18" x14ac:dyDescent="0.3">
      <c r="B693" s="81"/>
      <c r="C693" s="241"/>
      <c r="D693" s="81"/>
      <c r="E693" s="81"/>
      <c r="F693" s="81"/>
      <c r="G693" s="81"/>
      <c r="H693" s="148">
        <f t="shared" si="145"/>
        <v>0</v>
      </c>
      <c r="I693" s="128"/>
      <c r="J693" s="128"/>
      <c r="K693" s="82">
        <f>+(H693-H693*I693/100)*J693</f>
        <v>0</v>
      </c>
    </row>
    <row r="694" spans="2:13" ht="18" x14ac:dyDescent="0.3">
      <c r="B694" s="81"/>
      <c r="C694" s="241"/>
      <c r="D694" s="81"/>
      <c r="E694" s="81"/>
      <c r="F694" s="81"/>
      <c r="G694" s="81"/>
      <c r="H694" s="148">
        <f t="shared" si="145"/>
        <v>0</v>
      </c>
      <c r="I694" s="128"/>
      <c r="J694" s="128"/>
      <c r="K694" s="82">
        <f>+(H694-H694*I694/100)*J694</f>
        <v>0</v>
      </c>
    </row>
    <row r="695" spans="2:13" ht="18" x14ac:dyDescent="0.3">
      <c r="B695" s="81"/>
      <c r="C695" s="241"/>
      <c r="D695" s="81"/>
      <c r="E695" s="81"/>
      <c r="F695" s="81"/>
      <c r="G695" s="81"/>
      <c r="H695" s="148">
        <f t="shared" si="145"/>
        <v>0</v>
      </c>
      <c r="I695" s="128"/>
      <c r="J695" s="128"/>
      <c r="K695" s="82">
        <f t="shared" ref="K695:K699" si="146">+(H695-H695*I695/100)*J695</f>
        <v>0</v>
      </c>
    </row>
    <row r="696" spans="2:13" ht="18" x14ac:dyDescent="0.3">
      <c r="B696" s="81"/>
      <c r="C696" s="241"/>
      <c r="D696" s="81"/>
      <c r="E696" s="81"/>
      <c r="F696" s="81"/>
      <c r="G696" s="81"/>
      <c r="H696" s="148">
        <f t="shared" si="145"/>
        <v>0</v>
      </c>
      <c r="I696" s="128"/>
      <c r="J696" s="128"/>
      <c r="K696" s="82">
        <f t="shared" si="146"/>
        <v>0</v>
      </c>
    </row>
    <row r="697" spans="2:13" ht="18" x14ac:dyDescent="0.3">
      <c r="B697" s="81"/>
      <c r="C697" s="241"/>
      <c r="D697" s="81"/>
      <c r="E697" s="81"/>
      <c r="F697" s="81"/>
      <c r="G697" s="81"/>
      <c r="H697" s="148">
        <f t="shared" si="145"/>
        <v>0</v>
      </c>
      <c r="I697" s="128"/>
      <c r="J697" s="128"/>
      <c r="K697" s="82">
        <f t="shared" si="146"/>
        <v>0</v>
      </c>
    </row>
    <row r="698" spans="2:13" ht="18" x14ac:dyDescent="0.3">
      <c r="B698" s="81"/>
      <c r="C698" s="241"/>
      <c r="D698" s="81"/>
      <c r="E698" s="81"/>
      <c r="F698" s="81"/>
      <c r="G698" s="81"/>
      <c r="H698" s="148">
        <f t="shared" si="145"/>
        <v>0</v>
      </c>
      <c r="I698" s="128"/>
      <c r="J698" s="128"/>
      <c r="K698" s="82">
        <f t="shared" si="146"/>
        <v>0</v>
      </c>
    </row>
    <row r="699" spans="2:13" ht="18" x14ac:dyDescent="0.3">
      <c r="B699" s="81"/>
      <c r="C699" s="241"/>
      <c r="D699" s="81"/>
      <c r="E699" s="81"/>
      <c r="F699" s="81"/>
      <c r="G699" s="81"/>
      <c r="H699" s="148">
        <f t="shared" si="145"/>
        <v>0</v>
      </c>
      <c r="I699" s="128"/>
      <c r="J699" s="128"/>
      <c r="K699" s="82">
        <f t="shared" si="146"/>
        <v>0</v>
      </c>
    </row>
    <row r="702" spans="2:13" ht="36" x14ac:dyDescent="0.3">
      <c r="B702" s="122" t="s">
        <v>0</v>
      </c>
      <c r="C702" s="238" t="s">
        <v>223</v>
      </c>
      <c r="D702" s="122" t="s">
        <v>5</v>
      </c>
      <c r="E702" s="122" t="s">
        <v>220</v>
      </c>
      <c r="F702" s="122" t="s">
        <v>59</v>
      </c>
      <c r="G702" s="122" t="s">
        <v>61</v>
      </c>
      <c r="H702" s="147" t="s">
        <v>221</v>
      </c>
      <c r="I702" s="125" t="s">
        <v>222</v>
      </c>
      <c r="J702" s="125" t="s">
        <v>63</v>
      </c>
      <c r="K702" s="123" t="s">
        <v>890</v>
      </c>
      <c r="L702" s="124"/>
      <c r="M702" s="124"/>
    </row>
    <row r="703" spans="2:13" ht="18" x14ac:dyDescent="0.3">
      <c r="B703" s="121"/>
      <c r="C703" s="239"/>
      <c r="D703" s="121">
        <f>+SUM(D704:D713)</f>
        <v>0</v>
      </c>
      <c r="E703" s="121"/>
      <c r="F703" s="121"/>
      <c r="G703" s="121"/>
      <c r="H703" s="121">
        <f>+SUM(H704:H713)</f>
        <v>0</v>
      </c>
      <c r="I703" s="126"/>
      <c r="J703" s="126"/>
      <c r="K703" s="121">
        <f>+SUM(K704:K712)</f>
        <v>0</v>
      </c>
      <c r="L703" s="118" t="s">
        <v>22</v>
      </c>
      <c r="M703" s="117">
        <f>+D703</f>
        <v>0</v>
      </c>
    </row>
    <row r="704" spans="2:13" ht="18" x14ac:dyDescent="0.3">
      <c r="B704" s="26"/>
      <c r="C704" s="240"/>
      <c r="D704" s="26"/>
      <c r="E704" s="26"/>
      <c r="F704" s="26"/>
      <c r="G704" s="26"/>
      <c r="H704" s="148">
        <f t="shared" ref="H704:H705" si="147">+F704-G704</f>
        <v>0</v>
      </c>
      <c r="I704" s="127"/>
      <c r="J704" s="127"/>
      <c r="K704" s="82">
        <f>+(H704-H704*I704/100)*J704</f>
        <v>0</v>
      </c>
      <c r="L704" s="118" t="str">
        <f>+K702</f>
        <v>запас</v>
      </c>
      <c r="M704" s="119">
        <f>+K703</f>
        <v>0</v>
      </c>
    </row>
    <row r="705" spans="2:13" ht="18" x14ac:dyDescent="0.3">
      <c r="B705" s="81"/>
      <c r="C705" s="241"/>
      <c r="D705" s="81"/>
      <c r="E705" s="81"/>
      <c r="F705" s="81"/>
      <c r="G705" s="81"/>
      <c r="H705" s="148">
        <f t="shared" si="147"/>
        <v>0</v>
      </c>
      <c r="I705" s="128"/>
      <c r="J705" s="128"/>
      <c r="K705" s="82">
        <f>+(H705-H705*I705/100)*J705</f>
        <v>0</v>
      </c>
      <c r="L705" s="118" t="s">
        <v>57</v>
      </c>
      <c r="M705" s="120">
        <f>+M703-M704</f>
        <v>0</v>
      </c>
    </row>
    <row r="706" spans="2:13" ht="18" x14ac:dyDescent="0.3">
      <c r="B706" s="81"/>
      <c r="C706" s="241"/>
      <c r="D706" s="81"/>
      <c r="E706" s="81"/>
      <c r="F706" s="81"/>
      <c r="G706" s="81"/>
      <c r="H706" s="148">
        <f>+F706-G706</f>
        <v>0</v>
      </c>
      <c r="I706" s="128"/>
      <c r="J706" s="128"/>
      <c r="K706" s="82">
        <f>+(H706-H706*I706/100)*J706</f>
        <v>0</v>
      </c>
    </row>
    <row r="707" spans="2:13" ht="18" x14ac:dyDescent="0.3">
      <c r="B707" s="81"/>
      <c r="C707" s="241"/>
      <c r="D707" s="81"/>
      <c r="E707" s="81"/>
      <c r="F707" s="81"/>
      <c r="G707" s="81"/>
      <c r="H707" s="148">
        <f t="shared" ref="H707:H712" si="148">+F707-G707</f>
        <v>0</v>
      </c>
      <c r="I707" s="128"/>
      <c r="J707" s="128"/>
      <c r="K707" s="82">
        <f>+(H707-H707*I707/100)*J707</f>
        <v>0</v>
      </c>
    </row>
    <row r="708" spans="2:13" ht="18" x14ac:dyDescent="0.3">
      <c r="B708" s="81"/>
      <c r="C708" s="241"/>
      <c r="D708" s="81"/>
      <c r="E708" s="81"/>
      <c r="F708" s="81"/>
      <c r="G708" s="81"/>
      <c r="H708" s="148">
        <f t="shared" si="148"/>
        <v>0</v>
      </c>
      <c r="I708" s="128"/>
      <c r="J708" s="128"/>
      <c r="K708" s="82">
        <f t="shared" ref="K708:K712" si="149">+(H708-H708*I708/100)*J708</f>
        <v>0</v>
      </c>
    </row>
    <row r="709" spans="2:13" ht="18" x14ac:dyDescent="0.3">
      <c r="B709" s="81"/>
      <c r="C709" s="241"/>
      <c r="D709" s="81"/>
      <c r="E709" s="81"/>
      <c r="F709" s="81"/>
      <c r="G709" s="81"/>
      <c r="H709" s="148">
        <f t="shared" si="148"/>
        <v>0</v>
      </c>
      <c r="I709" s="128"/>
      <c r="J709" s="128"/>
      <c r="K709" s="82">
        <f t="shared" si="149"/>
        <v>0</v>
      </c>
    </row>
    <row r="710" spans="2:13" ht="18" x14ac:dyDescent="0.3">
      <c r="B710" s="81"/>
      <c r="C710" s="241"/>
      <c r="D710" s="81"/>
      <c r="E710" s="81"/>
      <c r="F710" s="81"/>
      <c r="G710" s="81"/>
      <c r="H710" s="148">
        <f t="shared" si="148"/>
        <v>0</v>
      </c>
      <c r="I710" s="128"/>
      <c r="J710" s="128"/>
      <c r="K710" s="82">
        <f t="shared" si="149"/>
        <v>0</v>
      </c>
    </row>
    <row r="711" spans="2:13" ht="18" x14ac:dyDescent="0.3">
      <c r="B711" s="81"/>
      <c r="C711" s="241"/>
      <c r="D711" s="81"/>
      <c r="E711" s="81"/>
      <c r="F711" s="81"/>
      <c r="G711" s="81"/>
      <c r="H711" s="148">
        <f t="shared" si="148"/>
        <v>0</v>
      </c>
      <c r="I711" s="128"/>
      <c r="J711" s="128"/>
      <c r="K711" s="82">
        <f t="shared" si="149"/>
        <v>0</v>
      </c>
    </row>
    <row r="712" spans="2:13" ht="18" x14ac:dyDescent="0.3">
      <c r="B712" s="81"/>
      <c r="C712" s="241"/>
      <c r="D712" s="81"/>
      <c r="E712" s="81"/>
      <c r="F712" s="81"/>
      <c r="G712" s="81"/>
      <c r="H712" s="148">
        <f t="shared" si="148"/>
        <v>0</v>
      </c>
      <c r="I712" s="128"/>
      <c r="J712" s="128"/>
      <c r="K712" s="82">
        <f t="shared" si="149"/>
        <v>0</v>
      </c>
    </row>
    <row r="715" spans="2:13" ht="36" x14ac:dyDescent="0.3">
      <c r="B715" s="122" t="s">
        <v>0</v>
      </c>
      <c r="C715" s="238" t="s">
        <v>223</v>
      </c>
      <c r="D715" s="122" t="s">
        <v>5</v>
      </c>
      <c r="E715" s="122" t="s">
        <v>220</v>
      </c>
      <c r="F715" s="122" t="s">
        <v>59</v>
      </c>
      <c r="G715" s="122" t="s">
        <v>61</v>
      </c>
      <c r="H715" s="147" t="s">
        <v>221</v>
      </c>
      <c r="I715" s="125" t="s">
        <v>222</v>
      </c>
      <c r="J715" s="125" t="s">
        <v>63</v>
      </c>
      <c r="K715" s="123" t="s">
        <v>890</v>
      </c>
      <c r="L715" s="124"/>
      <c r="M715" s="124"/>
    </row>
    <row r="716" spans="2:13" ht="18" x14ac:dyDescent="0.3">
      <c r="B716" s="121"/>
      <c r="C716" s="239"/>
      <c r="D716" s="121">
        <f>+SUM(D717:D726)</f>
        <v>0</v>
      </c>
      <c r="E716" s="121"/>
      <c r="F716" s="121"/>
      <c r="G716" s="121"/>
      <c r="H716" s="121">
        <f>+SUM(H717:H726)</f>
        <v>0</v>
      </c>
      <c r="I716" s="126"/>
      <c r="J716" s="126"/>
      <c r="K716" s="121">
        <f>+SUM(K717:K725)</f>
        <v>0</v>
      </c>
      <c r="L716" s="118" t="s">
        <v>22</v>
      </c>
      <c r="M716" s="117">
        <f>+D716</f>
        <v>0</v>
      </c>
    </row>
    <row r="717" spans="2:13" ht="18" x14ac:dyDescent="0.3">
      <c r="B717" s="26"/>
      <c r="C717" s="240"/>
      <c r="D717" s="26"/>
      <c r="E717" s="26"/>
      <c r="F717" s="26"/>
      <c r="G717" s="26"/>
      <c r="H717" s="148">
        <f t="shared" ref="H717:H723" si="150">+F717-G717</f>
        <v>0</v>
      </c>
      <c r="I717" s="127"/>
      <c r="J717" s="127"/>
      <c r="K717" s="82">
        <f t="shared" ref="K717:K723" si="151">+(H717-H717*I717/100)*J717</f>
        <v>0</v>
      </c>
      <c r="L717" s="118" t="str">
        <f>+K715</f>
        <v>запас</v>
      </c>
      <c r="M717" s="119">
        <f>+K716</f>
        <v>0</v>
      </c>
    </row>
    <row r="718" spans="2:13" ht="18" x14ac:dyDescent="0.3">
      <c r="B718" s="81"/>
      <c r="C718" s="241"/>
      <c r="D718" s="81"/>
      <c r="E718" s="81"/>
      <c r="F718" s="81"/>
      <c r="G718" s="81"/>
      <c r="H718" s="148">
        <f t="shared" si="150"/>
        <v>0</v>
      </c>
      <c r="I718" s="128"/>
      <c r="J718" s="128"/>
      <c r="K718" s="82">
        <f t="shared" si="151"/>
        <v>0</v>
      </c>
      <c r="L718" s="118" t="s">
        <v>57</v>
      </c>
      <c r="M718" s="120">
        <f>+M716-M717</f>
        <v>0</v>
      </c>
    </row>
    <row r="719" spans="2:13" ht="18" x14ac:dyDescent="0.3">
      <c r="B719" s="81"/>
      <c r="C719" s="241"/>
      <c r="D719" s="81"/>
      <c r="E719" s="81"/>
      <c r="F719" s="81"/>
      <c r="G719" s="81"/>
      <c r="H719" s="148">
        <f t="shared" si="150"/>
        <v>0</v>
      </c>
      <c r="I719" s="128"/>
      <c r="J719" s="128"/>
      <c r="K719" s="82">
        <f t="shared" si="151"/>
        <v>0</v>
      </c>
    </row>
    <row r="720" spans="2:13" ht="18" x14ac:dyDescent="0.3">
      <c r="B720" s="81"/>
      <c r="C720" s="241"/>
      <c r="D720" s="81"/>
      <c r="E720" s="81"/>
      <c r="F720" s="81"/>
      <c r="G720" s="81"/>
      <c r="H720" s="148">
        <f t="shared" si="150"/>
        <v>0</v>
      </c>
      <c r="I720" s="128"/>
      <c r="J720" s="128"/>
      <c r="K720" s="82">
        <f t="shared" si="151"/>
        <v>0</v>
      </c>
    </row>
    <row r="721" spans="2:13" ht="18" x14ac:dyDescent="0.3">
      <c r="B721" s="81"/>
      <c r="C721" s="241"/>
      <c r="D721" s="81"/>
      <c r="E721" s="81"/>
      <c r="F721" s="81"/>
      <c r="G721" s="81"/>
      <c r="H721" s="148">
        <f t="shared" si="150"/>
        <v>0</v>
      </c>
      <c r="I721" s="128"/>
      <c r="J721" s="128"/>
      <c r="K721" s="82">
        <f t="shared" si="151"/>
        <v>0</v>
      </c>
    </row>
    <row r="722" spans="2:13" ht="18" x14ac:dyDescent="0.3">
      <c r="B722" s="81"/>
      <c r="C722" s="241"/>
      <c r="D722" s="81"/>
      <c r="E722" s="81"/>
      <c r="F722" s="81"/>
      <c r="G722" s="81"/>
      <c r="H722" s="148">
        <f t="shared" si="150"/>
        <v>0</v>
      </c>
      <c r="I722" s="128"/>
      <c r="J722" s="128"/>
      <c r="K722" s="82">
        <f t="shared" si="151"/>
        <v>0</v>
      </c>
    </row>
    <row r="723" spans="2:13" ht="18" x14ac:dyDescent="0.3">
      <c r="B723" s="81"/>
      <c r="C723" s="241"/>
      <c r="D723" s="81"/>
      <c r="E723" s="81"/>
      <c r="F723" s="81"/>
      <c r="G723" s="81"/>
      <c r="H723" s="148">
        <f t="shared" si="150"/>
        <v>0</v>
      </c>
      <c r="I723" s="128"/>
      <c r="J723" s="128"/>
      <c r="K723" s="82">
        <f t="shared" si="151"/>
        <v>0</v>
      </c>
    </row>
    <row r="724" spans="2:13" ht="18" x14ac:dyDescent="0.3">
      <c r="B724" s="81"/>
      <c r="C724" s="241"/>
      <c r="D724" s="81"/>
      <c r="E724" s="81"/>
      <c r="F724" s="81"/>
      <c r="G724" s="81"/>
      <c r="H724" s="148">
        <f t="shared" ref="H724:H725" si="152">+F724-G724</f>
        <v>0</v>
      </c>
      <c r="I724" s="128"/>
      <c r="J724" s="128"/>
      <c r="K724" s="82">
        <f t="shared" ref="K724:K725" si="153">+(H724-H724*I724/100)*J724</f>
        <v>0</v>
      </c>
    </row>
    <row r="725" spans="2:13" ht="18" x14ac:dyDescent="0.3">
      <c r="B725" s="81"/>
      <c r="C725" s="241"/>
      <c r="D725" s="81"/>
      <c r="E725" s="81"/>
      <c r="F725" s="81"/>
      <c r="G725" s="81"/>
      <c r="H725" s="148">
        <f t="shared" si="152"/>
        <v>0</v>
      </c>
      <c r="I725" s="128"/>
      <c r="J725" s="128"/>
      <c r="K725" s="82">
        <f t="shared" si="153"/>
        <v>0</v>
      </c>
    </row>
    <row r="728" spans="2:13" ht="36" x14ac:dyDescent="0.3">
      <c r="B728" s="122" t="s">
        <v>0</v>
      </c>
      <c r="C728" s="238" t="s">
        <v>223</v>
      </c>
      <c r="D728" s="122" t="s">
        <v>5</v>
      </c>
      <c r="E728" s="122" t="s">
        <v>220</v>
      </c>
      <c r="F728" s="122" t="s">
        <v>59</v>
      </c>
      <c r="G728" s="122" t="s">
        <v>61</v>
      </c>
      <c r="H728" s="147" t="s">
        <v>221</v>
      </c>
      <c r="I728" s="125" t="s">
        <v>222</v>
      </c>
      <c r="J728" s="125" t="s">
        <v>63</v>
      </c>
      <c r="K728" s="123" t="s">
        <v>890</v>
      </c>
      <c r="L728" s="124"/>
      <c r="M728" s="124"/>
    </row>
    <row r="729" spans="2:13" ht="18" x14ac:dyDescent="0.3">
      <c r="B729" s="121"/>
      <c r="C729" s="239"/>
      <c r="D729" s="121">
        <f>+SUM(D730:D739)</f>
        <v>0</v>
      </c>
      <c r="E729" s="121"/>
      <c r="F729" s="121"/>
      <c r="G729" s="121"/>
      <c r="H729" s="121">
        <f>+SUM(H730:H739)</f>
        <v>0</v>
      </c>
      <c r="I729" s="126"/>
      <c r="J729" s="126"/>
      <c r="K729" s="121">
        <f>+SUM(K730:K738)</f>
        <v>0</v>
      </c>
      <c r="L729" s="118" t="s">
        <v>22</v>
      </c>
      <c r="M729" s="117">
        <f>+D729</f>
        <v>0</v>
      </c>
    </row>
    <row r="730" spans="2:13" ht="18" x14ac:dyDescent="0.3">
      <c r="B730" s="26"/>
      <c r="C730" s="240"/>
      <c r="D730" s="26"/>
      <c r="E730" s="26"/>
      <c r="F730" s="26"/>
      <c r="G730" s="26"/>
      <c r="H730" s="148">
        <f t="shared" ref="H730:H738" si="154">+F730-G730</f>
        <v>0</v>
      </c>
      <c r="I730" s="127"/>
      <c r="J730" s="127"/>
      <c r="K730" s="82">
        <f>+(H730-H730*I730/100)*J730</f>
        <v>0</v>
      </c>
      <c r="L730" s="118" t="str">
        <f>+K728</f>
        <v>запас</v>
      </c>
      <c r="M730" s="119">
        <f>+K729</f>
        <v>0</v>
      </c>
    </row>
    <row r="731" spans="2:13" ht="18" x14ac:dyDescent="0.3">
      <c r="B731" s="81"/>
      <c r="C731" s="241"/>
      <c r="D731" s="81"/>
      <c r="E731" s="81"/>
      <c r="F731" s="81"/>
      <c r="G731" s="81"/>
      <c r="H731" s="148">
        <f t="shared" si="154"/>
        <v>0</v>
      </c>
      <c r="I731" s="128"/>
      <c r="J731" s="128"/>
      <c r="K731" s="82">
        <f>+(H731-H731*I731/100)*J731</f>
        <v>0</v>
      </c>
      <c r="L731" s="118" t="s">
        <v>57</v>
      </c>
      <c r="M731" s="120">
        <f>+M729-M730</f>
        <v>0</v>
      </c>
    </row>
    <row r="732" spans="2:13" ht="18" x14ac:dyDescent="0.3">
      <c r="B732" s="81"/>
      <c r="C732" s="241"/>
      <c r="D732" s="81"/>
      <c r="E732" s="81"/>
      <c r="F732" s="81"/>
      <c r="G732" s="81"/>
      <c r="H732" s="148">
        <f t="shared" si="154"/>
        <v>0</v>
      </c>
      <c r="I732" s="128"/>
      <c r="J732" s="128"/>
      <c r="K732" s="82">
        <f>+(H732-H732*I732/100)*J732</f>
        <v>0</v>
      </c>
    </row>
    <row r="733" spans="2:13" ht="18" x14ac:dyDescent="0.3">
      <c r="B733" s="81"/>
      <c r="C733" s="241"/>
      <c r="D733" s="81"/>
      <c r="E733" s="81"/>
      <c r="F733" s="81"/>
      <c r="G733" s="81"/>
      <c r="H733" s="148">
        <f t="shared" si="154"/>
        <v>0</v>
      </c>
      <c r="I733" s="128"/>
      <c r="J733" s="128"/>
      <c r="K733" s="82">
        <f>+(H733-H733*I733/100)*J733</f>
        <v>0</v>
      </c>
    </row>
    <row r="734" spans="2:13" ht="18" x14ac:dyDescent="0.3">
      <c r="B734" s="81"/>
      <c r="C734" s="241"/>
      <c r="D734" s="81"/>
      <c r="E734" s="81"/>
      <c r="F734" s="81"/>
      <c r="G734" s="81"/>
      <c r="H734" s="148">
        <f t="shared" si="154"/>
        <v>0</v>
      </c>
      <c r="I734" s="128"/>
      <c r="J734" s="128"/>
      <c r="K734" s="82">
        <f t="shared" ref="K734:K738" si="155">+(H734-H734*I734/100)*J734</f>
        <v>0</v>
      </c>
    </row>
    <row r="735" spans="2:13" ht="18" x14ac:dyDescent="0.3">
      <c r="B735" s="81"/>
      <c r="C735" s="241"/>
      <c r="D735" s="81"/>
      <c r="E735" s="81"/>
      <c r="F735" s="81"/>
      <c r="G735" s="81"/>
      <c r="H735" s="148">
        <f t="shared" si="154"/>
        <v>0</v>
      </c>
      <c r="I735" s="128"/>
      <c r="J735" s="128"/>
      <c r="K735" s="82">
        <f t="shared" si="155"/>
        <v>0</v>
      </c>
    </row>
    <row r="736" spans="2:13" ht="18" x14ac:dyDescent="0.3">
      <c r="B736" s="81"/>
      <c r="C736" s="241"/>
      <c r="D736" s="81"/>
      <c r="E736" s="81"/>
      <c r="F736" s="81"/>
      <c r="G736" s="81"/>
      <c r="H736" s="148">
        <f t="shared" si="154"/>
        <v>0</v>
      </c>
      <c r="I736" s="128"/>
      <c r="J736" s="128"/>
      <c r="K736" s="82">
        <f t="shared" si="155"/>
        <v>0</v>
      </c>
    </row>
    <row r="737" spans="2:13" ht="18" x14ac:dyDescent="0.3">
      <c r="B737" s="81"/>
      <c r="C737" s="241"/>
      <c r="D737" s="81"/>
      <c r="E737" s="81"/>
      <c r="F737" s="81"/>
      <c r="G737" s="81"/>
      <c r="H737" s="148">
        <f t="shared" si="154"/>
        <v>0</v>
      </c>
      <c r="I737" s="128"/>
      <c r="J737" s="128"/>
      <c r="K737" s="82">
        <f t="shared" si="155"/>
        <v>0</v>
      </c>
    </row>
    <row r="738" spans="2:13" ht="18" x14ac:dyDescent="0.3">
      <c r="B738" s="81"/>
      <c r="C738" s="241"/>
      <c r="D738" s="81"/>
      <c r="E738" s="81"/>
      <c r="F738" s="81"/>
      <c r="G738" s="81"/>
      <c r="H738" s="148">
        <f t="shared" si="154"/>
        <v>0</v>
      </c>
      <c r="I738" s="128"/>
      <c r="J738" s="128"/>
      <c r="K738" s="82">
        <f t="shared" si="155"/>
        <v>0</v>
      </c>
    </row>
    <row r="741" spans="2:13" ht="36" x14ac:dyDescent="0.3">
      <c r="B741" s="122" t="s">
        <v>0</v>
      </c>
      <c r="C741" s="238" t="s">
        <v>223</v>
      </c>
      <c r="D741" s="122" t="s">
        <v>5</v>
      </c>
      <c r="E741" s="122" t="s">
        <v>220</v>
      </c>
      <c r="F741" s="122" t="s">
        <v>59</v>
      </c>
      <c r="G741" s="122" t="s">
        <v>61</v>
      </c>
      <c r="H741" s="147" t="s">
        <v>221</v>
      </c>
      <c r="I741" s="125" t="s">
        <v>222</v>
      </c>
      <c r="J741" s="125" t="s">
        <v>63</v>
      </c>
      <c r="K741" s="123" t="s">
        <v>890</v>
      </c>
      <c r="L741" s="124"/>
      <c r="M741" s="124"/>
    </row>
    <row r="742" spans="2:13" ht="18" x14ac:dyDescent="0.3">
      <c r="B742" s="121"/>
      <c r="C742" s="239"/>
      <c r="D742" s="121">
        <f>+SUM(D743:D752)</f>
        <v>0</v>
      </c>
      <c r="E742" s="121"/>
      <c r="F742" s="121"/>
      <c r="G742" s="121"/>
      <c r="H742" s="121">
        <f>+SUM(H743:H752)</f>
        <v>0</v>
      </c>
      <c r="I742" s="126"/>
      <c r="J742" s="126"/>
      <c r="K742" s="121">
        <f>+SUM(K743:K751)</f>
        <v>0</v>
      </c>
      <c r="L742" s="118" t="s">
        <v>22</v>
      </c>
      <c r="M742" s="117">
        <f>+D742</f>
        <v>0</v>
      </c>
    </row>
    <row r="743" spans="2:13" ht="18" x14ac:dyDescent="0.3">
      <c r="B743" s="26"/>
      <c r="C743" s="240"/>
      <c r="D743" s="26"/>
      <c r="E743" s="26"/>
      <c r="F743" s="26"/>
      <c r="G743" s="26"/>
      <c r="H743" s="148">
        <f t="shared" ref="H743:H751" si="156">+F743-G743</f>
        <v>0</v>
      </c>
      <c r="I743" s="127"/>
      <c r="J743" s="127"/>
      <c r="K743" s="82">
        <f>+(H743-H743*I743/100)*J743</f>
        <v>0</v>
      </c>
      <c r="L743" s="118" t="str">
        <f>+K741</f>
        <v>запас</v>
      </c>
      <c r="M743" s="119">
        <f>+K742</f>
        <v>0</v>
      </c>
    </row>
    <row r="744" spans="2:13" ht="18" x14ac:dyDescent="0.3">
      <c r="B744" s="81"/>
      <c r="C744" s="241"/>
      <c r="D744" s="81"/>
      <c r="E744" s="81"/>
      <c r="F744" s="81"/>
      <c r="G744" s="81"/>
      <c r="H744" s="148">
        <f t="shared" si="156"/>
        <v>0</v>
      </c>
      <c r="I744" s="128"/>
      <c r="J744" s="128"/>
      <c r="K744" s="82">
        <f>+(H744-H744*I744/100)*J744</f>
        <v>0</v>
      </c>
      <c r="L744" s="118" t="s">
        <v>57</v>
      </c>
      <c r="M744" s="120">
        <f>+M742-M743</f>
        <v>0</v>
      </c>
    </row>
    <row r="745" spans="2:13" ht="18" x14ac:dyDescent="0.3">
      <c r="B745" s="81"/>
      <c r="C745" s="241"/>
      <c r="D745" s="81"/>
      <c r="E745" s="81"/>
      <c r="F745" s="81"/>
      <c r="G745" s="81"/>
      <c r="H745" s="148">
        <f t="shared" si="156"/>
        <v>0</v>
      </c>
      <c r="I745" s="128"/>
      <c r="J745" s="128"/>
      <c r="K745" s="82">
        <f>+(H745-H745*I745/100)*J745</f>
        <v>0</v>
      </c>
    </row>
    <row r="746" spans="2:13" ht="18" x14ac:dyDescent="0.3">
      <c r="B746" s="81"/>
      <c r="C746" s="241"/>
      <c r="D746" s="81"/>
      <c r="E746" s="81"/>
      <c r="F746" s="81"/>
      <c r="G746" s="81"/>
      <c r="H746" s="148">
        <f t="shared" si="156"/>
        <v>0</v>
      </c>
      <c r="I746" s="128"/>
      <c r="J746" s="128"/>
      <c r="K746" s="82">
        <f>+(H746-H746*I746/100)*J746</f>
        <v>0</v>
      </c>
    </row>
    <row r="747" spans="2:13" ht="18" x14ac:dyDescent="0.3">
      <c r="B747" s="81"/>
      <c r="C747" s="241"/>
      <c r="D747" s="81"/>
      <c r="E747" s="81"/>
      <c r="F747" s="81"/>
      <c r="G747" s="81"/>
      <c r="H747" s="148">
        <f t="shared" si="156"/>
        <v>0</v>
      </c>
      <c r="I747" s="128"/>
      <c r="J747" s="128"/>
      <c r="K747" s="82">
        <f t="shared" ref="K747:K751" si="157">+(H747-H747*I747/100)*J747</f>
        <v>0</v>
      </c>
    </row>
    <row r="748" spans="2:13" ht="18" x14ac:dyDescent="0.3">
      <c r="B748" s="81"/>
      <c r="C748" s="241"/>
      <c r="D748" s="81"/>
      <c r="E748" s="81"/>
      <c r="F748" s="81"/>
      <c r="G748" s="81"/>
      <c r="H748" s="148">
        <f t="shared" si="156"/>
        <v>0</v>
      </c>
      <c r="I748" s="128"/>
      <c r="J748" s="128"/>
      <c r="K748" s="82">
        <f t="shared" si="157"/>
        <v>0</v>
      </c>
    </row>
    <row r="749" spans="2:13" ht="18" x14ac:dyDescent="0.3">
      <c r="B749" s="81"/>
      <c r="C749" s="241"/>
      <c r="D749" s="81"/>
      <c r="E749" s="81"/>
      <c r="F749" s="81"/>
      <c r="G749" s="81"/>
      <c r="H749" s="148">
        <f t="shared" si="156"/>
        <v>0</v>
      </c>
      <c r="I749" s="128"/>
      <c r="J749" s="128"/>
      <c r="K749" s="82">
        <f t="shared" si="157"/>
        <v>0</v>
      </c>
    </row>
    <row r="750" spans="2:13" ht="18" x14ac:dyDescent="0.3">
      <c r="B750" s="81"/>
      <c r="C750" s="241"/>
      <c r="D750" s="81"/>
      <c r="E750" s="81"/>
      <c r="F750" s="81"/>
      <c r="G750" s="81"/>
      <c r="H750" s="148">
        <f t="shared" si="156"/>
        <v>0</v>
      </c>
      <c r="I750" s="128"/>
      <c r="J750" s="128"/>
      <c r="K750" s="82">
        <f t="shared" si="157"/>
        <v>0</v>
      </c>
    </row>
    <row r="751" spans="2:13" ht="18" x14ac:dyDescent="0.3">
      <c r="B751" s="81"/>
      <c r="C751" s="241"/>
      <c r="D751" s="81"/>
      <c r="E751" s="81"/>
      <c r="F751" s="81"/>
      <c r="G751" s="81"/>
      <c r="H751" s="148">
        <f t="shared" si="156"/>
        <v>0</v>
      </c>
      <c r="I751" s="128"/>
      <c r="J751" s="128"/>
      <c r="K751" s="82">
        <f t="shared" si="157"/>
        <v>0</v>
      </c>
    </row>
    <row r="754" spans="2:13" ht="36" x14ac:dyDescent="0.3">
      <c r="B754" s="122" t="s">
        <v>0</v>
      </c>
      <c r="C754" s="238" t="s">
        <v>223</v>
      </c>
      <c r="D754" s="122" t="s">
        <v>5</v>
      </c>
      <c r="E754" s="122" t="s">
        <v>220</v>
      </c>
      <c r="F754" s="122" t="s">
        <v>59</v>
      </c>
      <c r="G754" s="122" t="s">
        <v>61</v>
      </c>
      <c r="H754" s="147" t="s">
        <v>221</v>
      </c>
      <c r="I754" s="125" t="s">
        <v>222</v>
      </c>
      <c r="J754" s="125" t="s">
        <v>63</v>
      </c>
      <c r="K754" s="123" t="s">
        <v>890</v>
      </c>
      <c r="L754" s="124"/>
      <c r="M754" s="124"/>
    </row>
    <row r="755" spans="2:13" ht="18" x14ac:dyDescent="0.3">
      <c r="B755" s="121"/>
      <c r="C755" s="239"/>
      <c r="D755" s="121">
        <f>+SUM(D756:D765)</f>
        <v>0</v>
      </c>
      <c r="E755" s="121"/>
      <c r="F755" s="121"/>
      <c r="G755" s="121"/>
      <c r="H755" s="121">
        <f>+SUM(H756:H765)</f>
        <v>0</v>
      </c>
      <c r="I755" s="126"/>
      <c r="J755" s="126"/>
      <c r="K755" s="121">
        <f>+SUM(K756:K764)</f>
        <v>0</v>
      </c>
      <c r="L755" s="118" t="s">
        <v>22</v>
      </c>
      <c r="M755" s="117">
        <f>+D755</f>
        <v>0</v>
      </c>
    </row>
    <row r="756" spans="2:13" ht="18" x14ac:dyDescent="0.3">
      <c r="B756" s="26"/>
      <c r="C756" s="240"/>
      <c r="D756" s="26"/>
      <c r="E756" s="26"/>
      <c r="F756" s="26"/>
      <c r="G756" s="26"/>
      <c r="H756" s="148">
        <f t="shared" ref="H756:H764" si="158">+F756-G756</f>
        <v>0</v>
      </c>
      <c r="I756" s="127"/>
      <c r="J756" s="127"/>
      <c r="K756" s="82">
        <f>+(H756-H756*I756/100)*J756</f>
        <v>0</v>
      </c>
      <c r="L756" s="118" t="str">
        <f>+K754</f>
        <v>запас</v>
      </c>
      <c r="M756" s="119">
        <f>+K755</f>
        <v>0</v>
      </c>
    </row>
    <row r="757" spans="2:13" ht="18" x14ac:dyDescent="0.3">
      <c r="B757" s="81"/>
      <c r="C757" s="241"/>
      <c r="D757" s="81"/>
      <c r="E757" s="81"/>
      <c r="F757" s="81"/>
      <c r="G757" s="81"/>
      <c r="H757" s="148">
        <f t="shared" si="158"/>
        <v>0</v>
      </c>
      <c r="I757" s="128"/>
      <c r="J757" s="128"/>
      <c r="K757" s="82">
        <f>+(H757-H757*I757/100)*J757</f>
        <v>0</v>
      </c>
      <c r="L757" s="118" t="s">
        <v>57</v>
      </c>
      <c r="M757" s="120">
        <f>+M755-M756</f>
        <v>0</v>
      </c>
    </row>
    <row r="758" spans="2:13" ht="18" x14ac:dyDescent="0.3">
      <c r="B758" s="81"/>
      <c r="C758" s="241"/>
      <c r="D758" s="81"/>
      <c r="E758" s="81"/>
      <c r="F758" s="81"/>
      <c r="G758" s="81"/>
      <c r="H758" s="148">
        <f t="shared" si="158"/>
        <v>0</v>
      </c>
      <c r="I758" s="128"/>
      <c r="J758" s="128"/>
      <c r="K758" s="82">
        <f>+(H758-H758*I758/100)*J758</f>
        <v>0</v>
      </c>
    </row>
    <row r="759" spans="2:13" ht="18" x14ac:dyDescent="0.3">
      <c r="B759" s="81"/>
      <c r="C759" s="241"/>
      <c r="D759" s="81"/>
      <c r="E759" s="81"/>
      <c r="F759" s="81"/>
      <c r="G759" s="81"/>
      <c r="H759" s="148">
        <f t="shared" si="158"/>
        <v>0</v>
      </c>
      <c r="I759" s="128"/>
      <c r="J759" s="128"/>
      <c r="K759" s="82">
        <f>+(H759-H759*I759/100)*J759</f>
        <v>0</v>
      </c>
    </row>
    <row r="760" spans="2:13" ht="18" x14ac:dyDescent="0.3">
      <c r="B760" s="81"/>
      <c r="C760" s="241"/>
      <c r="D760" s="81"/>
      <c r="E760" s="81"/>
      <c r="F760" s="81"/>
      <c r="G760" s="81"/>
      <c r="H760" s="148">
        <f t="shared" si="158"/>
        <v>0</v>
      </c>
      <c r="I760" s="128"/>
      <c r="J760" s="128"/>
      <c r="K760" s="82">
        <f t="shared" ref="K760:K764" si="159">+(H760-H760*I760/100)*J760</f>
        <v>0</v>
      </c>
    </row>
    <row r="761" spans="2:13" ht="18" x14ac:dyDescent="0.3">
      <c r="B761" s="81"/>
      <c r="C761" s="241"/>
      <c r="D761" s="81"/>
      <c r="E761" s="81"/>
      <c r="F761" s="81"/>
      <c r="G761" s="81"/>
      <c r="H761" s="148">
        <f t="shared" si="158"/>
        <v>0</v>
      </c>
      <c r="I761" s="128"/>
      <c r="J761" s="128"/>
      <c r="K761" s="82">
        <f t="shared" si="159"/>
        <v>0</v>
      </c>
    </row>
    <row r="762" spans="2:13" ht="18" x14ac:dyDescent="0.3">
      <c r="B762" s="81"/>
      <c r="C762" s="241"/>
      <c r="D762" s="81"/>
      <c r="E762" s="81"/>
      <c r="F762" s="81"/>
      <c r="G762" s="81"/>
      <c r="H762" s="148">
        <f t="shared" si="158"/>
        <v>0</v>
      </c>
      <c r="I762" s="128"/>
      <c r="J762" s="128"/>
      <c r="K762" s="82">
        <f t="shared" si="159"/>
        <v>0</v>
      </c>
    </row>
    <row r="763" spans="2:13" ht="18" x14ac:dyDescent="0.3">
      <c r="B763" s="81"/>
      <c r="C763" s="241"/>
      <c r="D763" s="81"/>
      <c r="E763" s="81"/>
      <c r="F763" s="81"/>
      <c r="G763" s="81"/>
      <c r="H763" s="148">
        <f t="shared" si="158"/>
        <v>0</v>
      </c>
      <c r="I763" s="128"/>
      <c r="J763" s="128"/>
      <c r="K763" s="82">
        <f t="shared" si="159"/>
        <v>0</v>
      </c>
    </row>
    <row r="764" spans="2:13" ht="18" x14ac:dyDescent="0.3">
      <c r="B764" s="81"/>
      <c r="C764" s="241"/>
      <c r="D764" s="81"/>
      <c r="E764" s="81"/>
      <c r="F764" s="81"/>
      <c r="G764" s="81"/>
      <c r="H764" s="148">
        <f t="shared" si="158"/>
        <v>0</v>
      </c>
      <c r="I764" s="128"/>
      <c r="J764" s="128"/>
      <c r="K764" s="82">
        <f t="shared" si="159"/>
        <v>0</v>
      </c>
    </row>
    <row r="767" spans="2:13" ht="36" x14ac:dyDescent="0.3">
      <c r="B767" s="122" t="s">
        <v>0</v>
      </c>
      <c r="C767" s="238" t="s">
        <v>223</v>
      </c>
      <c r="D767" s="122" t="s">
        <v>5</v>
      </c>
      <c r="E767" s="122" t="s">
        <v>220</v>
      </c>
      <c r="F767" s="122" t="s">
        <v>59</v>
      </c>
      <c r="G767" s="122" t="s">
        <v>61</v>
      </c>
      <c r="H767" s="147" t="s">
        <v>221</v>
      </c>
      <c r="I767" s="125" t="s">
        <v>222</v>
      </c>
      <c r="J767" s="125" t="s">
        <v>63</v>
      </c>
      <c r="K767" s="123" t="s">
        <v>890</v>
      </c>
      <c r="L767" s="124"/>
      <c r="M767" s="124"/>
    </row>
    <row r="768" spans="2:13" ht="18" x14ac:dyDescent="0.3">
      <c r="B768" s="121"/>
      <c r="C768" s="239"/>
      <c r="D768" s="121">
        <f>+SUM(D769:D778)</f>
        <v>0</v>
      </c>
      <c r="E768" s="121"/>
      <c r="F768" s="121"/>
      <c r="G768" s="121"/>
      <c r="H768" s="121">
        <f>+SUM(H769:H778)</f>
        <v>0</v>
      </c>
      <c r="I768" s="126"/>
      <c r="J768" s="126"/>
      <c r="K768" s="121">
        <f>+SUM(K769:K777)</f>
        <v>0</v>
      </c>
      <c r="L768" s="118" t="s">
        <v>22</v>
      </c>
      <c r="M768" s="117">
        <f>+D768</f>
        <v>0</v>
      </c>
    </row>
    <row r="769" spans="2:13" ht="18" x14ac:dyDescent="0.3">
      <c r="B769" s="26"/>
      <c r="C769" s="240"/>
      <c r="D769" s="26"/>
      <c r="E769" s="26"/>
      <c r="F769" s="26"/>
      <c r="G769" s="26"/>
      <c r="H769" s="148">
        <f t="shared" ref="H769:H777" si="160">+F769-G769</f>
        <v>0</v>
      </c>
      <c r="I769" s="127"/>
      <c r="J769" s="127"/>
      <c r="K769" s="82">
        <f>+(H769-H769*I769/100)*J769</f>
        <v>0</v>
      </c>
      <c r="L769" s="118" t="str">
        <f>+K767</f>
        <v>запас</v>
      </c>
      <c r="M769" s="119">
        <f>+K768</f>
        <v>0</v>
      </c>
    </row>
    <row r="770" spans="2:13" ht="18" x14ac:dyDescent="0.3">
      <c r="B770" s="81"/>
      <c r="C770" s="241"/>
      <c r="D770" s="81"/>
      <c r="E770" s="81"/>
      <c r="F770" s="81"/>
      <c r="G770" s="81"/>
      <c r="H770" s="148">
        <f t="shared" si="160"/>
        <v>0</v>
      </c>
      <c r="I770" s="128"/>
      <c r="J770" s="128"/>
      <c r="K770" s="82">
        <f>+(H770-H770*I770/100)*J770</f>
        <v>0</v>
      </c>
      <c r="L770" s="118" t="s">
        <v>57</v>
      </c>
      <c r="M770" s="120">
        <f>+M768-M769</f>
        <v>0</v>
      </c>
    </row>
    <row r="771" spans="2:13" ht="18" x14ac:dyDescent="0.3">
      <c r="B771" s="81"/>
      <c r="C771" s="241"/>
      <c r="D771" s="81"/>
      <c r="E771" s="81"/>
      <c r="F771" s="81"/>
      <c r="G771" s="81"/>
      <c r="H771" s="148">
        <f t="shared" si="160"/>
        <v>0</v>
      </c>
      <c r="I771" s="128"/>
      <c r="J771" s="128"/>
      <c r="K771" s="82">
        <f>+(H771-H771*I771/100)*J771</f>
        <v>0</v>
      </c>
    </row>
    <row r="772" spans="2:13" ht="18" x14ac:dyDescent="0.3">
      <c r="B772" s="81"/>
      <c r="C772" s="241"/>
      <c r="D772" s="81"/>
      <c r="E772" s="81"/>
      <c r="F772" s="81"/>
      <c r="G772" s="81"/>
      <c r="H772" s="148">
        <f t="shared" si="160"/>
        <v>0</v>
      </c>
      <c r="I772" s="128"/>
      <c r="J772" s="128"/>
      <c r="K772" s="82">
        <f>+(H772-H772*I772/100)*J772</f>
        <v>0</v>
      </c>
    </row>
    <row r="773" spans="2:13" ht="18" x14ac:dyDescent="0.3">
      <c r="B773" s="81"/>
      <c r="C773" s="241"/>
      <c r="D773" s="81"/>
      <c r="E773" s="81"/>
      <c r="F773" s="81"/>
      <c r="G773" s="81"/>
      <c r="H773" s="148">
        <f t="shared" si="160"/>
        <v>0</v>
      </c>
      <c r="I773" s="128"/>
      <c r="J773" s="128"/>
      <c r="K773" s="82">
        <f t="shared" ref="K773:K777" si="161">+(H773-H773*I773/100)*J773</f>
        <v>0</v>
      </c>
    </row>
    <row r="774" spans="2:13" ht="18" x14ac:dyDescent="0.3">
      <c r="B774" s="81"/>
      <c r="C774" s="241"/>
      <c r="D774" s="81"/>
      <c r="E774" s="81"/>
      <c r="F774" s="81"/>
      <c r="G774" s="81"/>
      <c r="H774" s="148">
        <f t="shared" si="160"/>
        <v>0</v>
      </c>
      <c r="I774" s="128"/>
      <c r="J774" s="128"/>
      <c r="K774" s="82">
        <f t="shared" si="161"/>
        <v>0</v>
      </c>
    </row>
    <row r="775" spans="2:13" ht="18" x14ac:dyDescent="0.3">
      <c r="B775" s="81"/>
      <c r="C775" s="241"/>
      <c r="D775" s="81"/>
      <c r="E775" s="81"/>
      <c r="F775" s="81"/>
      <c r="G775" s="81"/>
      <c r="H775" s="148">
        <f t="shared" si="160"/>
        <v>0</v>
      </c>
      <c r="I775" s="128"/>
      <c r="J775" s="128"/>
      <c r="K775" s="82">
        <f t="shared" si="161"/>
        <v>0</v>
      </c>
    </row>
    <row r="776" spans="2:13" ht="18" x14ac:dyDescent="0.3">
      <c r="B776" s="81"/>
      <c r="C776" s="241"/>
      <c r="D776" s="81"/>
      <c r="E776" s="81"/>
      <c r="F776" s="81"/>
      <c r="G776" s="81"/>
      <c r="H776" s="148">
        <f t="shared" si="160"/>
        <v>0</v>
      </c>
      <c r="I776" s="128"/>
      <c r="J776" s="128"/>
      <c r="K776" s="82">
        <f t="shared" si="161"/>
        <v>0</v>
      </c>
    </row>
    <row r="777" spans="2:13" ht="18" x14ac:dyDescent="0.3">
      <c r="B777" s="81"/>
      <c r="C777" s="241"/>
      <c r="D777" s="81"/>
      <c r="E777" s="81"/>
      <c r="F777" s="81"/>
      <c r="G777" s="81"/>
      <c r="H777" s="148">
        <f t="shared" si="160"/>
        <v>0</v>
      </c>
      <c r="I777" s="128"/>
      <c r="J777" s="128"/>
      <c r="K777" s="82">
        <f t="shared" si="161"/>
        <v>0</v>
      </c>
      <c r="L777" s="188"/>
      <c r="M777" s="188"/>
    </row>
    <row r="780" spans="2:13" ht="36" x14ac:dyDescent="0.3">
      <c r="B780" s="122" t="s">
        <v>0</v>
      </c>
      <c r="C780" s="238" t="s">
        <v>223</v>
      </c>
      <c r="D780" s="122" t="s">
        <v>5</v>
      </c>
      <c r="E780" s="122" t="s">
        <v>220</v>
      </c>
      <c r="F780" s="122" t="s">
        <v>59</v>
      </c>
      <c r="G780" s="122" t="s">
        <v>61</v>
      </c>
      <c r="H780" s="147" t="s">
        <v>221</v>
      </c>
      <c r="I780" s="125" t="s">
        <v>222</v>
      </c>
      <c r="J780" s="125" t="s">
        <v>63</v>
      </c>
      <c r="K780" s="123" t="s">
        <v>890</v>
      </c>
      <c r="L780" s="124"/>
      <c r="M780" s="124"/>
    </row>
    <row r="781" spans="2:13" ht="18" x14ac:dyDescent="0.3">
      <c r="B781" s="121"/>
      <c r="C781" s="239"/>
      <c r="D781" s="121">
        <f>+SUM(D782:D791)</f>
        <v>0</v>
      </c>
      <c r="E781" s="121"/>
      <c r="F781" s="121"/>
      <c r="G781" s="121"/>
      <c r="H781" s="121">
        <f>+SUM(H782:H791)</f>
        <v>0</v>
      </c>
      <c r="I781" s="126"/>
      <c r="J781" s="126"/>
      <c r="K781" s="121">
        <f>+SUM(K782:K790)</f>
        <v>0</v>
      </c>
      <c r="L781" s="118" t="s">
        <v>22</v>
      </c>
      <c r="M781" s="117">
        <f>+D781</f>
        <v>0</v>
      </c>
    </row>
    <row r="782" spans="2:13" ht="18" x14ac:dyDescent="0.3">
      <c r="B782" s="26"/>
      <c r="C782" s="240"/>
      <c r="D782" s="26"/>
      <c r="E782" s="26"/>
      <c r="F782" s="26"/>
      <c r="G782" s="26"/>
      <c r="H782" s="148">
        <f t="shared" ref="H782:H790" si="162">+F782-G782</f>
        <v>0</v>
      </c>
      <c r="I782" s="127"/>
      <c r="J782" s="127"/>
      <c r="K782" s="82">
        <f>+(H782-H782*I782/100)*J782</f>
        <v>0</v>
      </c>
      <c r="L782" s="118" t="str">
        <f>+K780</f>
        <v>запас</v>
      </c>
      <c r="M782" s="119">
        <f>+K781</f>
        <v>0</v>
      </c>
    </row>
    <row r="783" spans="2:13" ht="18" x14ac:dyDescent="0.3">
      <c r="B783" s="81"/>
      <c r="C783" s="241"/>
      <c r="D783" s="81"/>
      <c r="E783" s="81"/>
      <c r="F783" s="81"/>
      <c r="G783" s="81"/>
      <c r="H783" s="148">
        <f t="shared" si="162"/>
        <v>0</v>
      </c>
      <c r="I783" s="128"/>
      <c r="J783" s="128"/>
      <c r="K783" s="82">
        <f>+(H783-H783*I783/100)*J783</f>
        <v>0</v>
      </c>
      <c r="L783" s="118" t="s">
        <v>57</v>
      </c>
      <c r="M783" s="120">
        <f>+M781-M782</f>
        <v>0</v>
      </c>
    </row>
    <row r="784" spans="2:13" ht="18" x14ac:dyDescent="0.3">
      <c r="B784" s="81"/>
      <c r="C784" s="241"/>
      <c r="D784" s="81"/>
      <c r="E784" s="81"/>
      <c r="F784" s="81"/>
      <c r="G784" s="81"/>
      <c r="H784" s="148">
        <f t="shared" si="162"/>
        <v>0</v>
      </c>
      <c r="I784" s="128"/>
      <c r="J784" s="128"/>
      <c r="K784" s="82">
        <f>+(H784-H784*I784/100)*J784</f>
        <v>0</v>
      </c>
    </row>
    <row r="785" spans="2:13" ht="18" x14ac:dyDescent="0.3">
      <c r="B785" s="81"/>
      <c r="C785" s="241"/>
      <c r="D785" s="81"/>
      <c r="E785" s="81"/>
      <c r="F785" s="81"/>
      <c r="G785" s="81"/>
      <c r="H785" s="148">
        <f t="shared" si="162"/>
        <v>0</v>
      </c>
      <c r="I785" s="128"/>
      <c r="J785" s="128"/>
      <c r="K785" s="82">
        <f>+(H785-H785*I785/100)*J785</f>
        <v>0</v>
      </c>
    </row>
    <row r="786" spans="2:13" ht="18" x14ac:dyDescent="0.3">
      <c r="B786" s="81"/>
      <c r="C786" s="241"/>
      <c r="D786" s="81"/>
      <c r="E786" s="81"/>
      <c r="F786" s="81"/>
      <c r="G786" s="81"/>
      <c r="H786" s="148">
        <f t="shared" si="162"/>
        <v>0</v>
      </c>
      <c r="I786" s="128"/>
      <c r="J786" s="128"/>
      <c r="K786" s="82">
        <f t="shared" ref="K786:K790" si="163">+(H786-H786*I786/100)*J786</f>
        <v>0</v>
      </c>
    </row>
    <row r="787" spans="2:13" ht="18" x14ac:dyDescent="0.3">
      <c r="B787" s="81"/>
      <c r="C787" s="241"/>
      <c r="D787" s="81"/>
      <c r="E787" s="81"/>
      <c r="F787" s="81"/>
      <c r="G787" s="81"/>
      <c r="H787" s="148">
        <f t="shared" si="162"/>
        <v>0</v>
      </c>
      <c r="I787" s="128"/>
      <c r="J787" s="128"/>
      <c r="K787" s="82">
        <f t="shared" si="163"/>
        <v>0</v>
      </c>
    </row>
    <row r="788" spans="2:13" ht="18" x14ac:dyDescent="0.3">
      <c r="B788" s="81"/>
      <c r="C788" s="241"/>
      <c r="D788" s="81"/>
      <c r="E788" s="81"/>
      <c r="F788" s="81"/>
      <c r="G788" s="81"/>
      <c r="H788" s="148">
        <f t="shared" si="162"/>
        <v>0</v>
      </c>
      <c r="I788" s="128"/>
      <c r="J788" s="128"/>
      <c r="K788" s="82">
        <f t="shared" si="163"/>
        <v>0</v>
      </c>
    </row>
    <row r="789" spans="2:13" ht="18" x14ac:dyDescent="0.3">
      <c r="B789" s="81"/>
      <c r="C789" s="241"/>
      <c r="D789" s="81"/>
      <c r="E789" s="81"/>
      <c r="F789" s="81"/>
      <c r="G789" s="81"/>
      <c r="H789" s="148">
        <f t="shared" si="162"/>
        <v>0</v>
      </c>
      <c r="I789" s="128"/>
      <c r="J789" s="128"/>
      <c r="K789" s="82">
        <f t="shared" si="163"/>
        <v>0</v>
      </c>
    </row>
    <row r="790" spans="2:13" ht="18" x14ac:dyDescent="0.3">
      <c r="B790" s="81"/>
      <c r="C790" s="241"/>
      <c r="D790" s="81"/>
      <c r="E790" s="81"/>
      <c r="F790" s="81"/>
      <c r="G790" s="81"/>
      <c r="H790" s="148">
        <f t="shared" si="162"/>
        <v>0</v>
      </c>
      <c r="I790" s="128"/>
      <c r="J790" s="128"/>
      <c r="K790" s="82">
        <f t="shared" si="163"/>
        <v>0</v>
      </c>
    </row>
    <row r="793" spans="2:13" ht="36" x14ac:dyDescent="0.3">
      <c r="B793" s="122" t="s">
        <v>0</v>
      </c>
      <c r="C793" s="238" t="s">
        <v>223</v>
      </c>
      <c r="D793" s="122" t="s">
        <v>5</v>
      </c>
      <c r="E793" s="122" t="s">
        <v>220</v>
      </c>
      <c r="F793" s="122" t="s">
        <v>59</v>
      </c>
      <c r="G793" s="122" t="s">
        <v>61</v>
      </c>
      <c r="H793" s="147" t="s">
        <v>221</v>
      </c>
      <c r="I793" s="125" t="s">
        <v>222</v>
      </c>
      <c r="J793" s="125" t="s">
        <v>63</v>
      </c>
      <c r="K793" s="123" t="s">
        <v>890</v>
      </c>
      <c r="L793" s="124"/>
      <c r="M793" s="124"/>
    </row>
    <row r="794" spans="2:13" ht="18" x14ac:dyDescent="0.3">
      <c r="B794" s="121"/>
      <c r="C794" s="239"/>
      <c r="D794" s="121">
        <f>+SUM(D795:D804)</f>
        <v>0</v>
      </c>
      <c r="E794" s="121"/>
      <c r="F794" s="121"/>
      <c r="G794" s="121"/>
      <c r="H794" s="121">
        <f>+SUM(H795:H804)</f>
        <v>0</v>
      </c>
      <c r="I794" s="126"/>
      <c r="J794" s="126"/>
      <c r="K794" s="121">
        <f>+SUM(K795:K803)</f>
        <v>0</v>
      </c>
      <c r="L794" s="118" t="s">
        <v>22</v>
      </c>
      <c r="M794" s="117">
        <f>+D794</f>
        <v>0</v>
      </c>
    </row>
    <row r="795" spans="2:13" ht="18" x14ac:dyDescent="0.3">
      <c r="B795" s="26"/>
      <c r="C795" s="240"/>
      <c r="D795" s="26"/>
      <c r="E795" s="26"/>
      <c r="F795" s="26"/>
      <c r="G795" s="26"/>
      <c r="H795" s="148">
        <f t="shared" ref="H795:H803" si="164">+F795-G795</f>
        <v>0</v>
      </c>
      <c r="I795" s="127"/>
      <c r="J795" s="127"/>
      <c r="K795" s="82">
        <f>+(H795-H795*I795/100)*J795</f>
        <v>0</v>
      </c>
      <c r="L795" s="118" t="str">
        <f>+K793</f>
        <v>запас</v>
      </c>
      <c r="M795" s="119">
        <f>+K794</f>
        <v>0</v>
      </c>
    </row>
    <row r="796" spans="2:13" ht="18" x14ac:dyDescent="0.3">
      <c r="B796" s="81"/>
      <c r="C796" s="241"/>
      <c r="D796" s="81"/>
      <c r="E796" s="81"/>
      <c r="F796" s="81"/>
      <c r="G796" s="81"/>
      <c r="H796" s="148">
        <f t="shared" si="164"/>
        <v>0</v>
      </c>
      <c r="I796" s="128"/>
      <c r="J796" s="128"/>
      <c r="K796" s="82">
        <f>+(H796-H796*I796/100)*J796</f>
        <v>0</v>
      </c>
      <c r="L796" s="118" t="s">
        <v>57</v>
      </c>
      <c r="M796" s="120">
        <f>+M794-M795</f>
        <v>0</v>
      </c>
    </row>
    <row r="797" spans="2:13" ht="18" x14ac:dyDescent="0.3">
      <c r="B797" s="81"/>
      <c r="C797" s="241"/>
      <c r="D797" s="81"/>
      <c r="E797" s="81"/>
      <c r="F797" s="81"/>
      <c r="G797" s="81"/>
      <c r="H797" s="148">
        <f t="shared" si="164"/>
        <v>0</v>
      </c>
      <c r="I797" s="128"/>
      <c r="J797" s="128"/>
      <c r="K797" s="82">
        <f>+(H797-H797*I797/100)*J797</f>
        <v>0</v>
      </c>
    </row>
    <row r="798" spans="2:13" ht="18" x14ac:dyDescent="0.3">
      <c r="B798" s="81"/>
      <c r="C798" s="241"/>
      <c r="D798" s="81"/>
      <c r="E798" s="81"/>
      <c r="F798" s="81"/>
      <c r="G798" s="81"/>
      <c r="H798" s="148">
        <f t="shared" si="164"/>
        <v>0</v>
      </c>
      <c r="I798" s="128"/>
      <c r="J798" s="128"/>
      <c r="K798" s="82">
        <f>+(H798-H798*I798/100)*J798</f>
        <v>0</v>
      </c>
    </row>
    <row r="799" spans="2:13" ht="18" x14ac:dyDescent="0.3">
      <c r="B799" s="81"/>
      <c r="C799" s="241"/>
      <c r="D799" s="81"/>
      <c r="E799" s="81"/>
      <c r="F799" s="81"/>
      <c r="G799" s="81"/>
      <c r="H799" s="148">
        <f t="shared" si="164"/>
        <v>0</v>
      </c>
      <c r="I799" s="128"/>
      <c r="J799" s="128"/>
      <c r="K799" s="82">
        <f t="shared" ref="K799:K803" si="165">+(H799-H799*I799/100)*J799</f>
        <v>0</v>
      </c>
    </row>
    <row r="800" spans="2:13" ht="18" x14ac:dyDescent="0.3">
      <c r="B800" s="81"/>
      <c r="C800" s="241"/>
      <c r="D800" s="81"/>
      <c r="E800" s="81"/>
      <c r="F800" s="81"/>
      <c r="G800" s="81"/>
      <c r="H800" s="148">
        <f t="shared" si="164"/>
        <v>0</v>
      </c>
      <c r="I800" s="128"/>
      <c r="J800" s="128"/>
      <c r="K800" s="82">
        <f t="shared" si="165"/>
        <v>0</v>
      </c>
    </row>
    <row r="801" spans="2:13" ht="18" x14ac:dyDescent="0.3">
      <c r="B801" s="81"/>
      <c r="C801" s="241"/>
      <c r="D801" s="81"/>
      <c r="E801" s="81"/>
      <c r="F801" s="81"/>
      <c r="G801" s="81"/>
      <c r="H801" s="148">
        <f t="shared" si="164"/>
        <v>0</v>
      </c>
      <c r="I801" s="128"/>
      <c r="J801" s="128"/>
      <c r="K801" s="82">
        <f t="shared" si="165"/>
        <v>0</v>
      </c>
    </row>
    <row r="802" spans="2:13" ht="18" x14ac:dyDescent="0.3">
      <c r="B802" s="81"/>
      <c r="C802" s="241"/>
      <c r="D802" s="81"/>
      <c r="E802" s="81"/>
      <c r="F802" s="81"/>
      <c r="G802" s="81"/>
      <c r="H802" s="148">
        <f t="shared" si="164"/>
        <v>0</v>
      </c>
      <c r="I802" s="128"/>
      <c r="J802" s="128"/>
      <c r="K802" s="82">
        <f t="shared" si="165"/>
        <v>0</v>
      </c>
    </row>
    <row r="803" spans="2:13" ht="18" x14ac:dyDescent="0.3">
      <c r="B803" s="81"/>
      <c r="C803" s="241"/>
      <c r="D803" s="81"/>
      <c r="E803" s="81"/>
      <c r="F803" s="81"/>
      <c r="G803" s="81"/>
      <c r="H803" s="148">
        <f t="shared" si="164"/>
        <v>0</v>
      </c>
      <c r="I803" s="128"/>
      <c r="J803" s="128"/>
      <c r="K803" s="82">
        <f t="shared" si="165"/>
        <v>0</v>
      </c>
    </row>
    <row r="806" spans="2:13" ht="36" x14ac:dyDescent="0.3">
      <c r="B806" s="122" t="s">
        <v>0</v>
      </c>
      <c r="C806" s="238" t="s">
        <v>223</v>
      </c>
      <c r="D806" s="122" t="s">
        <v>5</v>
      </c>
      <c r="E806" s="122" t="s">
        <v>220</v>
      </c>
      <c r="F806" s="122" t="s">
        <v>59</v>
      </c>
      <c r="G806" s="122" t="s">
        <v>61</v>
      </c>
      <c r="H806" s="147" t="s">
        <v>221</v>
      </c>
      <c r="I806" s="125" t="s">
        <v>222</v>
      </c>
      <c r="J806" s="125" t="s">
        <v>63</v>
      </c>
      <c r="K806" s="123" t="s">
        <v>890</v>
      </c>
      <c r="L806" s="124"/>
      <c r="M806" s="124"/>
    </row>
    <row r="807" spans="2:13" ht="18" x14ac:dyDescent="0.3">
      <c r="B807" s="121"/>
      <c r="C807" s="239"/>
      <c r="D807" s="121">
        <f>+SUM(D808:D817)</f>
        <v>0</v>
      </c>
      <c r="E807" s="121"/>
      <c r="F807" s="121"/>
      <c r="G807" s="121"/>
      <c r="H807" s="121">
        <f>+SUM(H808:H817)</f>
        <v>0</v>
      </c>
      <c r="I807" s="126"/>
      <c r="J807" s="126"/>
      <c r="K807" s="121">
        <f>+SUM(K808:K816)</f>
        <v>0</v>
      </c>
      <c r="L807" s="118" t="s">
        <v>22</v>
      </c>
      <c r="M807" s="117">
        <f>+D807</f>
        <v>0</v>
      </c>
    </row>
    <row r="808" spans="2:13" ht="18" x14ac:dyDescent="0.3">
      <c r="B808" s="26"/>
      <c r="C808" s="240"/>
      <c r="D808" s="26"/>
      <c r="E808" s="26"/>
      <c r="F808" s="26"/>
      <c r="G808" s="26"/>
      <c r="H808" s="148">
        <f t="shared" ref="H808:H816" si="166">+F808-G808</f>
        <v>0</v>
      </c>
      <c r="I808" s="127"/>
      <c r="J808" s="127"/>
      <c r="K808" s="82">
        <f>+(H808-H808*I808/100)*J808</f>
        <v>0</v>
      </c>
      <c r="L808" s="118" t="str">
        <f>+K806</f>
        <v>запас</v>
      </c>
      <c r="M808" s="119">
        <f>+K807</f>
        <v>0</v>
      </c>
    </row>
    <row r="809" spans="2:13" ht="18" x14ac:dyDescent="0.3">
      <c r="B809" s="81"/>
      <c r="C809" s="241"/>
      <c r="D809" s="81"/>
      <c r="E809" s="81"/>
      <c r="F809" s="81"/>
      <c r="G809" s="81"/>
      <c r="H809" s="148">
        <f t="shared" si="166"/>
        <v>0</v>
      </c>
      <c r="I809" s="128"/>
      <c r="J809" s="128"/>
      <c r="K809" s="82">
        <f>+(H809-H809*I809/100)*J809</f>
        <v>0</v>
      </c>
      <c r="L809" s="118" t="s">
        <v>57</v>
      </c>
      <c r="M809" s="120">
        <f>+M807-M808</f>
        <v>0</v>
      </c>
    </row>
    <row r="810" spans="2:13" ht="18" x14ac:dyDescent="0.3">
      <c r="B810" s="81"/>
      <c r="C810" s="241"/>
      <c r="D810" s="81"/>
      <c r="E810" s="81"/>
      <c r="F810" s="81"/>
      <c r="G810" s="81"/>
      <c r="H810" s="148">
        <f t="shared" si="166"/>
        <v>0</v>
      </c>
      <c r="I810" s="128"/>
      <c r="J810" s="128"/>
      <c r="K810" s="82">
        <f>+(H810-H810*I810/100)*J810</f>
        <v>0</v>
      </c>
    </row>
    <row r="811" spans="2:13" ht="18" x14ac:dyDescent="0.3">
      <c r="B811" s="81"/>
      <c r="C811" s="241"/>
      <c r="D811" s="81"/>
      <c r="E811" s="81"/>
      <c r="F811" s="81"/>
      <c r="G811" s="81"/>
      <c r="H811" s="148">
        <f t="shared" si="166"/>
        <v>0</v>
      </c>
      <c r="I811" s="128"/>
      <c r="J811" s="128"/>
      <c r="K811" s="82">
        <f>+(H811-H811*I811/100)*J811</f>
        <v>0</v>
      </c>
    </row>
    <row r="812" spans="2:13" ht="18" x14ac:dyDescent="0.3">
      <c r="B812" s="81"/>
      <c r="C812" s="241"/>
      <c r="D812" s="81"/>
      <c r="E812" s="81"/>
      <c r="F812" s="81"/>
      <c r="G812" s="81"/>
      <c r="H812" s="148">
        <f t="shared" si="166"/>
        <v>0</v>
      </c>
      <c r="I812" s="128"/>
      <c r="J812" s="128"/>
      <c r="K812" s="82">
        <f t="shared" ref="K812:K816" si="167">+(H812-H812*I812/100)*J812</f>
        <v>0</v>
      </c>
    </row>
    <row r="813" spans="2:13" ht="18" x14ac:dyDescent="0.3">
      <c r="B813" s="81"/>
      <c r="C813" s="241"/>
      <c r="D813" s="81"/>
      <c r="E813" s="81"/>
      <c r="F813" s="81"/>
      <c r="G813" s="81"/>
      <c r="H813" s="148">
        <f t="shared" si="166"/>
        <v>0</v>
      </c>
      <c r="I813" s="128"/>
      <c r="J813" s="128"/>
      <c r="K813" s="82">
        <f t="shared" si="167"/>
        <v>0</v>
      </c>
    </row>
    <row r="814" spans="2:13" ht="18" x14ac:dyDescent="0.3">
      <c r="B814" s="81"/>
      <c r="C814" s="241"/>
      <c r="D814" s="81"/>
      <c r="E814" s="81"/>
      <c r="F814" s="81"/>
      <c r="G814" s="81"/>
      <c r="H814" s="148">
        <f t="shared" si="166"/>
        <v>0</v>
      </c>
      <c r="I814" s="128"/>
      <c r="J814" s="128"/>
      <c r="K814" s="82">
        <f t="shared" si="167"/>
        <v>0</v>
      </c>
    </row>
    <row r="815" spans="2:13" ht="18" x14ac:dyDescent="0.3">
      <c r="B815" s="81"/>
      <c r="C815" s="241"/>
      <c r="D815" s="81"/>
      <c r="E815" s="81"/>
      <c r="F815" s="81"/>
      <c r="G815" s="81"/>
      <c r="H815" s="148">
        <f t="shared" si="166"/>
        <v>0</v>
      </c>
      <c r="I815" s="128"/>
      <c r="J815" s="128"/>
      <c r="K815" s="82">
        <f t="shared" si="167"/>
        <v>0</v>
      </c>
    </row>
    <row r="816" spans="2:13" ht="18" x14ac:dyDescent="0.3">
      <c r="B816" s="81"/>
      <c r="C816" s="241"/>
      <c r="D816" s="81"/>
      <c r="E816" s="81"/>
      <c r="F816" s="81"/>
      <c r="G816" s="81"/>
      <c r="H816" s="148">
        <f t="shared" si="166"/>
        <v>0</v>
      </c>
      <c r="I816" s="128"/>
      <c r="J816" s="128"/>
      <c r="K816" s="82">
        <f t="shared" si="167"/>
        <v>0</v>
      </c>
    </row>
    <row r="819" spans="2:13" ht="36" x14ac:dyDescent="0.3">
      <c r="B819" s="122" t="s">
        <v>0</v>
      </c>
      <c r="C819" s="238" t="s">
        <v>223</v>
      </c>
      <c r="D819" s="122" t="s">
        <v>5</v>
      </c>
      <c r="E819" s="122" t="s">
        <v>220</v>
      </c>
      <c r="F819" s="122" t="s">
        <v>59</v>
      </c>
      <c r="G819" s="122" t="s">
        <v>61</v>
      </c>
      <c r="H819" s="147" t="s">
        <v>221</v>
      </c>
      <c r="I819" s="125" t="s">
        <v>222</v>
      </c>
      <c r="J819" s="125" t="s">
        <v>63</v>
      </c>
      <c r="K819" s="123" t="s">
        <v>915</v>
      </c>
      <c r="L819" s="124"/>
      <c r="M819" s="124"/>
    </row>
    <row r="820" spans="2:13" ht="18" x14ac:dyDescent="0.3">
      <c r="B820" s="121"/>
      <c r="C820" s="239"/>
      <c r="D820" s="121">
        <f>+SUM(D821:D830)</f>
        <v>0</v>
      </c>
      <c r="E820" s="121"/>
      <c r="F820" s="121"/>
      <c r="G820" s="121"/>
      <c r="H820" s="121">
        <f>+SUM(H821:H830)</f>
        <v>0</v>
      </c>
      <c r="I820" s="126"/>
      <c r="J820" s="126"/>
      <c r="K820" s="121">
        <f>+SUM(K821:K829)</f>
        <v>0</v>
      </c>
      <c r="L820" s="118" t="s">
        <v>22</v>
      </c>
      <c r="M820" s="117">
        <f>+D820</f>
        <v>0</v>
      </c>
    </row>
    <row r="821" spans="2:13" ht="18" x14ac:dyDescent="0.3">
      <c r="B821" s="26"/>
      <c r="C821" s="240"/>
      <c r="D821" s="26"/>
      <c r="E821" s="26"/>
      <c r="F821" s="26"/>
      <c r="G821" s="26"/>
      <c r="H821" s="148">
        <f t="shared" ref="H821:H829" si="168">+F821-G821</f>
        <v>0</v>
      </c>
      <c r="I821" s="127"/>
      <c r="J821" s="127"/>
      <c r="K821" s="82">
        <f>+(H821-H821*I821/100)*J821</f>
        <v>0</v>
      </c>
      <c r="L821" s="118" t="str">
        <f>+K819</f>
        <v>ЗАПАС</v>
      </c>
      <c r="M821" s="119">
        <f>+K820</f>
        <v>0</v>
      </c>
    </row>
    <row r="822" spans="2:13" ht="18" x14ac:dyDescent="0.3">
      <c r="B822" s="81"/>
      <c r="C822" s="241"/>
      <c r="D822" s="81"/>
      <c r="E822" s="81"/>
      <c r="F822" s="81"/>
      <c r="G822" s="81"/>
      <c r="H822" s="148">
        <f t="shared" si="168"/>
        <v>0</v>
      </c>
      <c r="I822" s="128"/>
      <c r="J822" s="128"/>
      <c r="K822" s="82">
        <f>+(H822-H822*I822/100)*J822</f>
        <v>0</v>
      </c>
      <c r="L822" s="118" t="s">
        <v>57</v>
      </c>
      <c r="M822" s="120">
        <f>+M820-M821</f>
        <v>0</v>
      </c>
    </row>
    <row r="823" spans="2:13" ht="18" x14ac:dyDescent="0.3">
      <c r="B823" s="81"/>
      <c r="C823" s="241"/>
      <c r="D823" s="81"/>
      <c r="E823" s="81"/>
      <c r="F823" s="81"/>
      <c r="G823" s="81"/>
      <c r="H823" s="148">
        <f t="shared" si="168"/>
        <v>0</v>
      </c>
      <c r="I823" s="128"/>
      <c r="J823" s="128"/>
      <c r="K823" s="82">
        <f>+(H823-H823*I823/100)*J823</f>
        <v>0</v>
      </c>
    </row>
    <row r="824" spans="2:13" ht="18" x14ac:dyDescent="0.3">
      <c r="B824" s="81"/>
      <c r="C824" s="241"/>
      <c r="D824" s="81"/>
      <c r="E824" s="81"/>
      <c r="F824" s="81"/>
      <c r="G824" s="81"/>
      <c r="H824" s="148">
        <f t="shared" si="168"/>
        <v>0</v>
      </c>
      <c r="I824" s="128"/>
      <c r="J824" s="128"/>
      <c r="K824" s="82">
        <f>+(H824-H824*I824/100)*J824</f>
        <v>0</v>
      </c>
    </row>
    <row r="825" spans="2:13" ht="18" x14ac:dyDescent="0.3">
      <c r="B825" s="81"/>
      <c r="C825" s="241"/>
      <c r="D825" s="81"/>
      <c r="E825" s="81"/>
      <c r="F825" s="81"/>
      <c r="G825" s="81"/>
      <c r="H825" s="148">
        <f t="shared" si="168"/>
        <v>0</v>
      </c>
      <c r="I825" s="128"/>
      <c r="J825" s="128"/>
      <c r="K825" s="82">
        <f t="shared" ref="K825:K829" si="169">+(H825-H825*I825/100)*J825</f>
        <v>0</v>
      </c>
    </row>
    <row r="826" spans="2:13" ht="18" x14ac:dyDescent="0.3">
      <c r="B826" s="81"/>
      <c r="C826" s="241"/>
      <c r="D826" s="81"/>
      <c r="E826" s="81"/>
      <c r="F826" s="81"/>
      <c r="G826" s="81"/>
      <c r="H826" s="148">
        <f t="shared" si="168"/>
        <v>0</v>
      </c>
      <c r="I826" s="128"/>
      <c r="J826" s="128"/>
      <c r="K826" s="82">
        <f t="shared" si="169"/>
        <v>0</v>
      </c>
    </row>
    <row r="827" spans="2:13" ht="18" x14ac:dyDescent="0.3">
      <c r="B827" s="81"/>
      <c r="C827" s="241"/>
      <c r="D827" s="81"/>
      <c r="E827" s="81"/>
      <c r="F827" s="81"/>
      <c r="G827" s="81"/>
      <c r="H827" s="148">
        <f t="shared" si="168"/>
        <v>0</v>
      </c>
      <c r="I827" s="128"/>
      <c r="J827" s="128"/>
      <c r="K827" s="82">
        <f t="shared" si="169"/>
        <v>0</v>
      </c>
    </row>
    <row r="828" spans="2:13" ht="18" x14ac:dyDescent="0.3">
      <c r="B828" s="81"/>
      <c r="C828" s="241"/>
      <c r="D828" s="81"/>
      <c r="E828" s="81"/>
      <c r="F828" s="81"/>
      <c r="G828" s="81"/>
      <c r="H828" s="148">
        <f t="shared" si="168"/>
        <v>0</v>
      </c>
      <c r="I828" s="128"/>
      <c r="J828" s="128"/>
      <c r="K828" s="82">
        <f t="shared" si="169"/>
        <v>0</v>
      </c>
    </row>
    <row r="829" spans="2:13" ht="18" x14ac:dyDescent="0.3">
      <c r="B829" s="81"/>
      <c r="C829" s="241"/>
      <c r="D829" s="81"/>
      <c r="E829" s="81"/>
      <c r="F829" s="81"/>
      <c r="G829" s="81"/>
      <c r="H829" s="148">
        <f t="shared" si="168"/>
        <v>0</v>
      </c>
      <c r="I829" s="128"/>
      <c r="J829" s="128"/>
      <c r="K829" s="82">
        <f t="shared" si="169"/>
        <v>0</v>
      </c>
    </row>
    <row r="832" spans="2:13" ht="36" x14ac:dyDescent="0.3">
      <c r="B832" s="122" t="s">
        <v>0</v>
      </c>
      <c r="C832" s="238" t="s">
        <v>223</v>
      </c>
      <c r="D832" s="122" t="s">
        <v>5</v>
      </c>
      <c r="E832" s="122" t="s">
        <v>220</v>
      </c>
      <c r="F832" s="122" t="s">
        <v>59</v>
      </c>
      <c r="G832" s="122" t="s">
        <v>61</v>
      </c>
      <c r="H832" s="147" t="s">
        <v>221</v>
      </c>
      <c r="I832" s="125" t="s">
        <v>222</v>
      </c>
      <c r="J832" s="125" t="s">
        <v>63</v>
      </c>
      <c r="K832" s="123" t="s">
        <v>890</v>
      </c>
      <c r="L832" s="124"/>
      <c r="M832" s="124"/>
    </row>
    <row r="833" spans="2:13" ht="18" x14ac:dyDescent="0.3">
      <c r="B833" s="121"/>
      <c r="C833" s="239"/>
      <c r="D833" s="121">
        <f>+SUM(D834:D843)</f>
        <v>0</v>
      </c>
      <c r="E833" s="121"/>
      <c r="F833" s="121"/>
      <c r="G833" s="121"/>
      <c r="H833" s="121">
        <f>+SUM(H834:H843)</f>
        <v>0</v>
      </c>
      <c r="I833" s="126"/>
      <c r="J833" s="126"/>
      <c r="K833" s="121">
        <f>+SUM(K834:K842)</f>
        <v>0</v>
      </c>
      <c r="L833" s="118" t="s">
        <v>22</v>
      </c>
      <c r="M833" s="117">
        <f>+D833</f>
        <v>0</v>
      </c>
    </row>
    <row r="834" spans="2:13" ht="18" x14ac:dyDescent="0.3">
      <c r="B834" s="26"/>
      <c r="C834" s="240"/>
      <c r="D834" s="26"/>
      <c r="E834" s="26"/>
      <c r="F834" s="26"/>
      <c r="G834" s="26"/>
      <c r="H834" s="148">
        <f t="shared" ref="H834:H842" si="170">+F834-G834</f>
        <v>0</v>
      </c>
      <c r="I834" s="127"/>
      <c r="J834" s="127"/>
      <c r="K834" s="82">
        <f>+(H834-H834*I834/100)*J834</f>
        <v>0</v>
      </c>
      <c r="L834" s="118" t="str">
        <f>+K832</f>
        <v>запас</v>
      </c>
      <c r="M834" s="119">
        <f>+K833</f>
        <v>0</v>
      </c>
    </row>
    <row r="835" spans="2:13" ht="18" x14ac:dyDescent="0.3">
      <c r="B835" s="81"/>
      <c r="C835" s="241"/>
      <c r="D835" s="81"/>
      <c r="E835" s="81"/>
      <c r="F835" s="81"/>
      <c r="G835" s="81"/>
      <c r="H835" s="148">
        <f t="shared" si="170"/>
        <v>0</v>
      </c>
      <c r="I835" s="128"/>
      <c r="J835" s="128"/>
      <c r="K835" s="82">
        <f>+(H835-H835*I835/100)*J835</f>
        <v>0</v>
      </c>
      <c r="L835" s="118" t="s">
        <v>57</v>
      </c>
      <c r="M835" s="120">
        <f>+M833-M834</f>
        <v>0</v>
      </c>
    </row>
    <row r="836" spans="2:13" ht="18" x14ac:dyDescent="0.3">
      <c r="B836" s="81"/>
      <c r="C836" s="241"/>
      <c r="D836" s="81"/>
      <c r="E836" s="81"/>
      <c r="F836" s="81"/>
      <c r="G836" s="81"/>
      <c r="H836" s="148">
        <f t="shared" si="170"/>
        <v>0</v>
      </c>
      <c r="I836" s="128"/>
      <c r="J836" s="128"/>
      <c r="K836" s="82">
        <f>+(H836-H836*I836/100)*J836</f>
        <v>0</v>
      </c>
    </row>
    <row r="837" spans="2:13" ht="18" x14ac:dyDescent="0.3">
      <c r="B837" s="81"/>
      <c r="C837" s="241"/>
      <c r="D837" s="81"/>
      <c r="E837" s="81"/>
      <c r="F837" s="81"/>
      <c r="G837" s="81"/>
      <c r="H837" s="148">
        <f t="shared" si="170"/>
        <v>0</v>
      </c>
      <c r="I837" s="128"/>
      <c r="J837" s="128"/>
      <c r="K837" s="82">
        <f>+(H837-H837*I837/100)*J837</f>
        <v>0</v>
      </c>
    </row>
    <row r="838" spans="2:13" ht="18" x14ac:dyDescent="0.3">
      <c r="B838" s="81"/>
      <c r="C838" s="241"/>
      <c r="D838" s="81"/>
      <c r="E838" s="81"/>
      <c r="F838" s="81"/>
      <c r="G838" s="81"/>
      <c r="H838" s="148">
        <f t="shared" si="170"/>
        <v>0</v>
      </c>
      <c r="I838" s="128"/>
      <c r="J838" s="128"/>
      <c r="K838" s="82">
        <f t="shared" ref="K838:K842" si="171">+(H838-H838*I838/100)*J838</f>
        <v>0</v>
      </c>
    </row>
    <row r="839" spans="2:13" ht="18" x14ac:dyDescent="0.3">
      <c r="B839" s="81"/>
      <c r="C839" s="241"/>
      <c r="D839" s="81"/>
      <c r="E839" s="81"/>
      <c r="F839" s="81"/>
      <c r="G839" s="81"/>
      <c r="H839" s="148">
        <f t="shared" si="170"/>
        <v>0</v>
      </c>
      <c r="I839" s="128"/>
      <c r="J839" s="128"/>
      <c r="K839" s="82">
        <f t="shared" si="171"/>
        <v>0</v>
      </c>
    </row>
    <row r="840" spans="2:13" ht="18" x14ac:dyDescent="0.3">
      <c r="B840" s="81"/>
      <c r="C840" s="241"/>
      <c r="D840" s="81"/>
      <c r="E840" s="81"/>
      <c r="F840" s="81"/>
      <c r="G840" s="81"/>
      <c r="H840" s="148">
        <f t="shared" si="170"/>
        <v>0</v>
      </c>
      <c r="I840" s="128"/>
      <c r="J840" s="128"/>
      <c r="K840" s="82">
        <f t="shared" si="171"/>
        <v>0</v>
      </c>
    </row>
    <row r="841" spans="2:13" ht="18" x14ac:dyDescent="0.3">
      <c r="B841" s="81"/>
      <c r="C841" s="241"/>
      <c r="D841" s="81"/>
      <c r="E841" s="81"/>
      <c r="F841" s="81"/>
      <c r="G841" s="81"/>
      <c r="H841" s="148">
        <f t="shared" si="170"/>
        <v>0</v>
      </c>
      <c r="I841" s="128"/>
      <c r="J841" s="128"/>
      <c r="K841" s="82">
        <f t="shared" si="171"/>
        <v>0</v>
      </c>
    </row>
    <row r="842" spans="2:13" ht="18" x14ac:dyDescent="0.3">
      <c r="B842" s="81"/>
      <c r="C842" s="241"/>
      <c r="D842" s="81"/>
      <c r="E842" s="81"/>
      <c r="F842" s="81"/>
      <c r="G842" s="81"/>
      <c r="H842" s="148">
        <f t="shared" si="170"/>
        <v>0</v>
      </c>
      <c r="I842" s="128"/>
      <c r="J842" s="128"/>
      <c r="K842" s="82">
        <f t="shared" si="171"/>
        <v>0</v>
      </c>
    </row>
    <row r="845" spans="2:13" ht="36" x14ac:dyDescent="0.3">
      <c r="B845" s="122" t="s">
        <v>0</v>
      </c>
      <c r="C845" s="238" t="s">
        <v>223</v>
      </c>
      <c r="D845" s="122" t="s">
        <v>5</v>
      </c>
      <c r="E845" s="122" t="s">
        <v>220</v>
      </c>
      <c r="F845" s="122" t="s">
        <v>59</v>
      </c>
      <c r="G845" s="122" t="s">
        <v>61</v>
      </c>
      <c r="H845" s="147" t="s">
        <v>221</v>
      </c>
      <c r="I845" s="125" t="s">
        <v>222</v>
      </c>
      <c r="J845" s="125" t="s">
        <v>63</v>
      </c>
      <c r="K845" s="123" t="s">
        <v>890</v>
      </c>
      <c r="L845" s="124"/>
      <c r="M845" s="124"/>
    </row>
    <row r="846" spans="2:13" ht="18" x14ac:dyDescent="0.3">
      <c r="B846" s="121"/>
      <c r="C846" s="239"/>
      <c r="D846" s="121">
        <f>+SUM(D847:D856)</f>
        <v>0</v>
      </c>
      <c r="E846" s="121"/>
      <c r="F846" s="121"/>
      <c r="G846" s="121"/>
      <c r="H846" s="121">
        <f>+SUM(H847:H856)</f>
        <v>0</v>
      </c>
      <c r="I846" s="126"/>
      <c r="J846" s="126"/>
      <c r="K846" s="121">
        <f>+SUM(K847:K855)</f>
        <v>0</v>
      </c>
      <c r="L846" s="118" t="s">
        <v>22</v>
      </c>
      <c r="M846" s="117">
        <f>+D846</f>
        <v>0</v>
      </c>
    </row>
    <row r="847" spans="2:13" ht="18" x14ac:dyDescent="0.3">
      <c r="B847" s="26"/>
      <c r="C847" s="240"/>
      <c r="D847" s="26"/>
      <c r="E847" s="26"/>
      <c r="F847" s="26"/>
      <c r="G847" s="26"/>
      <c r="H847" s="148">
        <f t="shared" ref="H847:H855" si="172">+F847-G847</f>
        <v>0</v>
      </c>
      <c r="I847" s="127"/>
      <c r="J847" s="127"/>
      <c r="K847" s="82">
        <f>+(H847-H847*I847/100)*J847</f>
        <v>0</v>
      </c>
      <c r="L847" s="118" t="str">
        <f>+K845</f>
        <v>запас</v>
      </c>
      <c r="M847" s="119">
        <f>+K846</f>
        <v>0</v>
      </c>
    </row>
    <row r="848" spans="2:13" ht="18" x14ac:dyDescent="0.3">
      <c r="B848" s="81"/>
      <c r="C848" s="241"/>
      <c r="D848" s="81"/>
      <c r="E848" s="81"/>
      <c r="F848" s="81"/>
      <c r="G848" s="81"/>
      <c r="H848" s="148">
        <f t="shared" si="172"/>
        <v>0</v>
      </c>
      <c r="I848" s="128"/>
      <c r="J848" s="128"/>
      <c r="K848" s="82">
        <f>+(H848-H848*I848/100)*J848</f>
        <v>0</v>
      </c>
      <c r="L848" s="118" t="s">
        <v>57</v>
      </c>
      <c r="M848" s="120">
        <f>+M846-M847</f>
        <v>0</v>
      </c>
    </row>
    <row r="849" spans="2:13" ht="18" x14ac:dyDescent="0.3">
      <c r="B849" s="81"/>
      <c r="C849" s="241"/>
      <c r="D849" s="81"/>
      <c r="E849" s="81"/>
      <c r="F849" s="81"/>
      <c r="G849" s="81"/>
      <c r="H849" s="148">
        <f t="shared" si="172"/>
        <v>0</v>
      </c>
      <c r="I849" s="128"/>
      <c r="J849" s="128"/>
      <c r="K849" s="82">
        <f>+(H849-H849*I849/100)*J849</f>
        <v>0</v>
      </c>
    </row>
    <row r="850" spans="2:13" ht="18" x14ac:dyDescent="0.3">
      <c r="B850" s="81"/>
      <c r="C850" s="241"/>
      <c r="D850" s="81"/>
      <c r="E850" s="81"/>
      <c r="F850" s="81"/>
      <c r="G850" s="81"/>
      <c r="H850" s="148">
        <f t="shared" si="172"/>
        <v>0</v>
      </c>
      <c r="I850" s="128"/>
      <c r="J850" s="128"/>
      <c r="K850" s="82">
        <f>+(H850-H850*I850/100)*J850</f>
        <v>0</v>
      </c>
    </row>
    <row r="851" spans="2:13" ht="18" x14ac:dyDescent="0.3">
      <c r="B851" s="81"/>
      <c r="C851" s="241"/>
      <c r="D851" s="81"/>
      <c r="E851" s="81"/>
      <c r="F851" s="81"/>
      <c r="G851" s="81"/>
      <c r="H851" s="148">
        <f t="shared" si="172"/>
        <v>0</v>
      </c>
      <c r="I851" s="128"/>
      <c r="J851" s="128"/>
      <c r="K851" s="82">
        <f t="shared" ref="K851:K855" si="173">+(H851-H851*I851/100)*J851</f>
        <v>0</v>
      </c>
    </row>
    <row r="852" spans="2:13" ht="18" x14ac:dyDescent="0.3">
      <c r="B852" s="81"/>
      <c r="C852" s="241"/>
      <c r="D852" s="81"/>
      <c r="E852" s="81"/>
      <c r="F852" s="81"/>
      <c r="G852" s="81"/>
      <c r="H852" s="148">
        <f t="shared" si="172"/>
        <v>0</v>
      </c>
      <c r="I852" s="128"/>
      <c r="J852" s="128"/>
      <c r="K852" s="82">
        <f t="shared" si="173"/>
        <v>0</v>
      </c>
    </row>
    <row r="853" spans="2:13" ht="18" x14ac:dyDescent="0.3">
      <c r="B853" s="81"/>
      <c r="C853" s="241"/>
      <c r="D853" s="81"/>
      <c r="E853" s="81"/>
      <c r="F853" s="81"/>
      <c r="G853" s="81"/>
      <c r="H853" s="148">
        <f t="shared" si="172"/>
        <v>0</v>
      </c>
      <c r="I853" s="128"/>
      <c r="J853" s="128"/>
      <c r="K853" s="82">
        <f t="shared" si="173"/>
        <v>0</v>
      </c>
    </row>
    <row r="854" spans="2:13" ht="18" x14ac:dyDescent="0.3">
      <c r="B854" s="81"/>
      <c r="C854" s="241"/>
      <c r="D854" s="81"/>
      <c r="E854" s="81"/>
      <c r="F854" s="81"/>
      <c r="G854" s="81"/>
      <c r="H854" s="148">
        <f t="shared" si="172"/>
        <v>0</v>
      </c>
      <c r="I854" s="128"/>
      <c r="J854" s="128"/>
      <c r="K854" s="82">
        <f t="shared" si="173"/>
        <v>0</v>
      </c>
    </row>
    <row r="855" spans="2:13" ht="18" x14ac:dyDescent="0.3">
      <c r="B855" s="81"/>
      <c r="C855" s="241"/>
      <c r="D855" s="81"/>
      <c r="E855" s="81"/>
      <c r="F855" s="81"/>
      <c r="G855" s="81"/>
      <c r="H855" s="148">
        <f t="shared" si="172"/>
        <v>0</v>
      </c>
      <c r="I855" s="128"/>
      <c r="J855" s="128"/>
      <c r="K855" s="82">
        <f t="shared" si="173"/>
        <v>0</v>
      </c>
    </row>
    <row r="858" spans="2:13" ht="36" x14ac:dyDescent="0.3">
      <c r="B858" s="122" t="s">
        <v>0</v>
      </c>
      <c r="C858" s="238" t="s">
        <v>223</v>
      </c>
      <c r="D858" s="122" t="s">
        <v>5</v>
      </c>
      <c r="E858" s="122" t="s">
        <v>220</v>
      </c>
      <c r="F858" s="122" t="s">
        <v>59</v>
      </c>
      <c r="G858" s="122" t="s">
        <v>61</v>
      </c>
      <c r="H858" s="147" t="s">
        <v>221</v>
      </c>
      <c r="I858" s="125" t="s">
        <v>222</v>
      </c>
      <c r="J858" s="125" t="s">
        <v>63</v>
      </c>
      <c r="K858" s="123" t="s">
        <v>890</v>
      </c>
      <c r="L858" s="124"/>
      <c r="M858" s="124"/>
    </row>
    <row r="859" spans="2:13" ht="18" x14ac:dyDescent="0.3">
      <c r="B859" s="121"/>
      <c r="C859" s="239"/>
      <c r="D859" s="121">
        <f>+SUM(D860:D869)</f>
        <v>0</v>
      </c>
      <c r="E859" s="121"/>
      <c r="F859" s="121"/>
      <c r="G859" s="121"/>
      <c r="H859" s="121">
        <f>+SUM(H860:H869)</f>
        <v>0</v>
      </c>
      <c r="I859" s="126"/>
      <c r="J859" s="126"/>
      <c r="K859" s="121">
        <f>+SUM(K860:K868)</f>
        <v>0</v>
      </c>
      <c r="L859" s="118" t="s">
        <v>22</v>
      </c>
      <c r="M859" s="117">
        <f>+D859</f>
        <v>0</v>
      </c>
    </row>
    <row r="860" spans="2:13" ht="18" x14ac:dyDescent="0.3">
      <c r="B860" s="26"/>
      <c r="C860" s="240"/>
      <c r="D860" s="26"/>
      <c r="E860" s="26"/>
      <c r="F860" s="26"/>
      <c r="G860" s="26"/>
      <c r="H860" s="148">
        <f t="shared" ref="H860:H868" si="174">+F860-G860</f>
        <v>0</v>
      </c>
      <c r="I860" s="127"/>
      <c r="J860" s="127"/>
      <c r="K860" s="82">
        <f>+(H860-H860*I860/100)*J860</f>
        <v>0</v>
      </c>
      <c r="L860" s="118" t="str">
        <f>+K858</f>
        <v>запас</v>
      </c>
      <c r="M860" s="119">
        <f>+K859</f>
        <v>0</v>
      </c>
    </row>
    <row r="861" spans="2:13" ht="18" x14ac:dyDescent="0.3">
      <c r="B861" s="81"/>
      <c r="C861" s="241"/>
      <c r="D861" s="81"/>
      <c r="E861" s="81"/>
      <c r="F861" s="81"/>
      <c r="G861" s="81"/>
      <c r="H861" s="148">
        <f t="shared" si="174"/>
        <v>0</v>
      </c>
      <c r="I861" s="128"/>
      <c r="J861" s="128"/>
      <c r="K861" s="82">
        <f>+(H861-H861*I861/100)*J861</f>
        <v>0</v>
      </c>
      <c r="L861" s="118" t="s">
        <v>57</v>
      </c>
      <c r="M861" s="120">
        <f>+M859-M860</f>
        <v>0</v>
      </c>
    </row>
    <row r="862" spans="2:13" ht="18" x14ac:dyDescent="0.3">
      <c r="B862" s="81"/>
      <c r="C862" s="241"/>
      <c r="D862" s="81"/>
      <c r="E862" s="81"/>
      <c r="F862" s="81"/>
      <c r="G862" s="81"/>
      <c r="H862" s="148">
        <f t="shared" si="174"/>
        <v>0</v>
      </c>
      <c r="I862" s="128"/>
      <c r="J862" s="128"/>
      <c r="K862" s="82">
        <f>+(H862-H862*I862/100)*J862</f>
        <v>0</v>
      </c>
    </row>
    <row r="863" spans="2:13" ht="18" x14ac:dyDescent="0.3">
      <c r="B863" s="81"/>
      <c r="C863" s="241"/>
      <c r="D863" s="81"/>
      <c r="E863" s="81"/>
      <c r="F863" s="81"/>
      <c r="G863" s="81"/>
      <c r="H863" s="148">
        <f t="shared" si="174"/>
        <v>0</v>
      </c>
      <c r="I863" s="128"/>
      <c r="J863" s="128"/>
      <c r="K863" s="82">
        <f>+(H863-H863*I863/100)*J863</f>
        <v>0</v>
      </c>
    </row>
    <row r="864" spans="2:13" ht="18" x14ac:dyDescent="0.3">
      <c r="B864" s="81"/>
      <c r="C864" s="241"/>
      <c r="D864" s="81"/>
      <c r="E864" s="81"/>
      <c r="F864" s="81"/>
      <c r="G864" s="81"/>
      <c r="H864" s="148">
        <f t="shared" si="174"/>
        <v>0</v>
      </c>
      <c r="I864" s="128"/>
      <c r="J864" s="128"/>
      <c r="K864" s="82">
        <f t="shared" ref="K864:K868" si="175">+(H864-H864*I864/100)*J864</f>
        <v>0</v>
      </c>
    </row>
    <row r="865" spans="2:11" ht="18" x14ac:dyDescent="0.3">
      <c r="B865" s="81"/>
      <c r="C865" s="241"/>
      <c r="D865" s="81"/>
      <c r="E865" s="81"/>
      <c r="F865" s="81"/>
      <c r="G865" s="81"/>
      <c r="H865" s="148">
        <f t="shared" si="174"/>
        <v>0</v>
      </c>
      <c r="I865" s="128"/>
      <c r="J865" s="128"/>
      <c r="K865" s="82">
        <f t="shared" si="175"/>
        <v>0</v>
      </c>
    </row>
    <row r="866" spans="2:11" ht="18" x14ac:dyDescent="0.3">
      <c r="B866" s="81"/>
      <c r="C866" s="241"/>
      <c r="D866" s="81"/>
      <c r="E866" s="81"/>
      <c r="F866" s="81"/>
      <c r="G866" s="81"/>
      <c r="H866" s="148">
        <f t="shared" si="174"/>
        <v>0</v>
      </c>
      <c r="I866" s="128"/>
      <c r="J866" s="128"/>
      <c r="K866" s="82">
        <f t="shared" si="175"/>
        <v>0</v>
      </c>
    </row>
    <row r="867" spans="2:11" ht="18" x14ac:dyDescent="0.3">
      <c r="B867" s="81"/>
      <c r="C867" s="241"/>
      <c r="D867" s="81"/>
      <c r="E867" s="81"/>
      <c r="F867" s="81"/>
      <c r="G867" s="81"/>
      <c r="H867" s="148">
        <f t="shared" si="174"/>
        <v>0</v>
      </c>
      <c r="I867" s="128"/>
      <c r="J867" s="128"/>
      <c r="K867" s="82">
        <f t="shared" si="175"/>
        <v>0</v>
      </c>
    </row>
    <row r="868" spans="2:11" ht="18" x14ac:dyDescent="0.3">
      <c r="B868" s="81"/>
      <c r="C868" s="241"/>
      <c r="D868" s="81"/>
      <c r="E868" s="81"/>
      <c r="F868" s="81"/>
      <c r="G868" s="81"/>
      <c r="H868" s="148">
        <f t="shared" si="174"/>
        <v>0</v>
      </c>
      <c r="I868" s="128"/>
      <c r="J868" s="128"/>
      <c r="K868" s="82">
        <f t="shared" si="175"/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J138"/>
  <sheetViews>
    <sheetView tabSelected="1" view="pageBreakPreview" topLeftCell="B1" zoomScaleNormal="85" zoomScaleSheetLayoutView="100"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2" max="2" width="30" customWidth="1"/>
    <col min="3" max="3" width="16.5546875" style="25" bestFit="1" customWidth="1"/>
    <col min="4" max="4" width="27.6640625" style="25" customWidth="1"/>
    <col min="5" max="5" width="28.109375" style="25" customWidth="1"/>
    <col min="6" max="6" width="27.5546875" style="25" bestFit="1" customWidth="1"/>
    <col min="7" max="7" width="29.88671875" style="25" customWidth="1"/>
    <col min="8" max="8" width="11.44140625" bestFit="1" customWidth="1"/>
    <col min="9" max="38" width="8.88671875" customWidth="1"/>
  </cols>
  <sheetData>
    <row r="1" spans="1:8" ht="26.4" thickBot="1" x14ac:dyDescent="0.35">
      <c r="A1" s="19" t="s">
        <v>1</v>
      </c>
      <c r="B1" s="20"/>
      <c r="C1" s="20" t="s">
        <v>30</v>
      </c>
      <c r="D1" s="21" t="s">
        <v>2</v>
      </c>
      <c r="E1" s="22" t="s">
        <v>3</v>
      </c>
    </row>
    <row r="2" spans="1:8" ht="26.4" thickBot="1" x14ac:dyDescent="0.55000000000000004">
      <c r="A2" s="252"/>
      <c r="B2" s="252"/>
      <c r="C2" s="252"/>
      <c r="D2" s="252">
        <f>+SUM(D5:D10037)</f>
        <v>301869165</v>
      </c>
      <c r="E2" s="252">
        <f>+SUM(E5:E10037)</f>
        <v>1259964111.5739975</v>
      </c>
      <c r="F2" s="64" t="s">
        <v>71</v>
      </c>
      <c r="G2" s="63">
        <f>D2-E2</f>
        <v>-958094946.5739975</v>
      </c>
    </row>
    <row r="3" spans="1:8" ht="34.5" customHeight="1" thickBot="1" x14ac:dyDescent="0.55000000000000004">
      <c r="A3" s="253"/>
      <c r="B3" s="253"/>
      <c r="C3" s="253"/>
      <c r="D3" s="253"/>
      <c r="E3" s="253"/>
      <c r="F3" s="64" t="s">
        <v>72</v>
      </c>
      <c r="G3" s="63">
        <f>+'Приход-Расход'!C2</f>
        <v>-958094946.57399964</v>
      </c>
    </row>
    <row r="4" spans="1:8" ht="26.4" thickBot="1" x14ac:dyDescent="0.55000000000000004">
      <c r="A4" s="254"/>
      <c r="B4" s="254"/>
      <c r="C4" s="254"/>
      <c r="D4" s="254"/>
      <c r="E4" s="254"/>
      <c r="F4" s="64" t="s">
        <v>57</v>
      </c>
      <c r="G4" s="108">
        <f>+G2-G3</f>
        <v>2.1457672119140625E-6</v>
      </c>
    </row>
    <row r="5" spans="1:8" ht="19.8" x14ac:dyDescent="0.4">
      <c r="A5" s="23">
        <v>1</v>
      </c>
      <c r="B5" s="67" t="s">
        <v>23</v>
      </c>
      <c r="C5" s="31"/>
      <c r="D5" s="71"/>
      <c r="E5" s="71">
        <f>+'тура ака'!N3</f>
        <v>-1184935388.4260025</v>
      </c>
      <c r="G5" s="65"/>
    </row>
    <row r="6" spans="1:8" ht="21" x14ac:dyDescent="0.4">
      <c r="A6" s="23">
        <f>+A5+1</f>
        <v>2</v>
      </c>
      <c r="B6" s="67" t="s">
        <v>4</v>
      </c>
      <c r="C6" s="31"/>
      <c r="D6" s="71"/>
      <c r="E6" s="71">
        <f>+Хитой!C38</f>
        <v>0</v>
      </c>
      <c r="F6" s="154" t="s">
        <v>77</v>
      </c>
      <c r="G6" s="144">
        <f>+Каракул!D56*-1</f>
        <v>-141473600</v>
      </c>
    </row>
    <row r="7" spans="1:8" ht="21" x14ac:dyDescent="0.4">
      <c r="A7" s="23">
        <f t="shared" ref="A7:A60" si="0">+A6+1</f>
        <v>3</v>
      </c>
      <c r="B7" s="67" t="s">
        <v>26</v>
      </c>
      <c r="C7" s="31"/>
      <c r="D7" s="71"/>
      <c r="E7" s="71">
        <f>+Хитой!C41</f>
        <v>0</v>
      </c>
      <c r="F7" s="154" t="s">
        <v>329</v>
      </c>
      <c r="G7" s="145">
        <f>+G6+G3+17010000</f>
        <v>-1082558546.5739996</v>
      </c>
      <c r="H7" s="244">
        <f>+G7/12000</f>
        <v>-90213.212214499974</v>
      </c>
    </row>
    <row r="8" spans="1:8" ht="21" x14ac:dyDescent="0.4">
      <c r="A8" s="23">
        <f t="shared" si="0"/>
        <v>4</v>
      </c>
      <c r="B8" s="67" t="s">
        <v>32</v>
      </c>
      <c r="C8" s="31"/>
      <c r="D8" s="71" t="s">
        <v>33</v>
      </c>
      <c r="E8" s="71">
        <f>+Хитой!C48</f>
        <v>0</v>
      </c>
      <c r="F8" s="155" t="s">
        <v>245</v>
      </c>
      <c r="G8" s="145">
        <f>+Гостиница!C3</f>
        <v>0</v>
      </c>
    </row>
    <row r="9" spans="1:8" ht="19.8" x14ac:dyDescent="0.4">
      <c r="A9" s="23">
        <f t="shared" si="0"/>
        <v>5</v>
      </c>
      <c r="B9" s="67" t="s">
        <v>40</v>
      </c>
      <c r="C9" s="31"/>
      <c r="D9" s="71">
        <f>+Рахим!B18</f>
        <v>72520000</v>
      </c>
      <c r="E9" s="71"/>
      <c r="F9" s="156"/>
      <c r="G9" s="146"/>
    </row>
    <row r="10" spans="1:8" ht="21" x14ac:dyDescent="0.3">
      <c r="A10" s="23">
        <f t="shared" si="0"/>
        <v>6</v>
      </c>
      <c r="B10" s="68" t="s">
        <v>28</v>
      </c>
      <c r="C10" s="31"/>
      <c r="D10" s="71">
        <f>Рахим!B19</f>
        <v>37320000</v>
      </c>
      <c r="E10" s="71">
        <f>+Рахим!B17</f>
        <v>3439500</v>
      </c>
      <c r="F10" s="154" t="s">
        <v>246</v>
      </c>
      <c r="G10" s="145">
        <v>1082558547</v>
      </c>
      <c r="H10" s="235"/>
    </row>
    <row r="11" spans="1:8" ht="21" x14ac:dyDescent="0.4">
      <c r="A11" s="23">
        <f t="shared" si="0"/>
        <v>7</v>
      </c>
      <c r="B11" s="67" t="s">
        <v>31</v>
      </c>
      <c r="C11" s="31"/>
      <c r="D11" s="71"/>
      <c r="E11" s="71">
        <f>+'Чермт Бонус'!H4</f>
        <v>0</v>
      </c>
      <c r="F11" s="154" t="s">
        <v>57</v>
      </c>
      <c r="G11" s="145">
        <f>+G10+G7</f>
        <v>0.42600035667419434</v>
      </c>
    </row>
    <row r="12" spans="1:8" ht="21" x14ac:dyDescent="0.4">
      <c r="A12" s="23">
        <f t="shared" si="0"/>
        <v>8</v>
      </c>
      <c r="B12" s="67" t="s">
        <v>50</v>
      </c>
      <c r="C12" s="31"/>
      <c r="D12" s="71">
        <f>+Рахим!M2</f>
        <v>101446000</v>
      </c>
      <c r="E12" s="71"/>
      <c r="F12" s="155" t="s">
        <v>247</v>
      </c>
      <c r="G12" s="143">
        <f>+G8+G11</f>
        <v>0.42600035667419434</v>
      </c>
    </row>
    <row r="13" spans="1:8" ht="21" x14ac:dyDescent="0.4">
      <c r="A13" s="23">
        <f t="shared" si="0"/>
        <v>9</v>
      </c>
      <c r="B13" s="67" t="str">
        <f>+Рахим!T1</f>
        <v>рахим киленти янги</v>
      </c>
      <c r="C13" s="31"/>
      <c r="D13" s="71">
        <f>+Рахим!R2</f>
        <v>0</v>
      </c>
      <c r="E13" s="71"/>
      <c r="F13" s="142"/>
      <c r="G13" s="141"/>
    </row>
    <row r="14" spans="1:8" ht="21" x14ac:dyDescent="0.4">
      <c r="A14" s="23">
        <f t="shared" si="0"/>
        <v>10</v>
      </c>
      <c r="B14" s="67" t="s">
        <v>201</v>
      </c>
      <c r="C14" s="31"/>
      <c r="D14" s="71">
        <f>+тогом!A2</f>
        <v>-14976200</v>
      </c>
      <c r="E14" s="71"/>
      <c r="F14" s="141"/>
      <c r="G14" s="142"/>
    </row>
    <row r="15" spans="1:8" ht="21" x14ac:dyDescent="0.4">
      <c r="A15" s="23">
        <f t="shared" si="0"/>
        <v>11</v>
      </c>
      <c r="B15" s="192" t="str">
        <f>+тонн!I1</f>
        <v>Остатка Нурбек</v>
      </c>
      <c r="C15" s="193"/>
      <c r="D15" s="194">
        <f>+тонн!I2</f>
        <v>77200000</v>
      </c>
      <c r="E15" s="193"/>
      <c r="F15" s="189"/>
      <c r="G15" s="190"/>
    </row>
    <row r="16" spans="1:8" ht="19.8" x14ac:dyDescent="0.4">
      <c r="A16" s="23">
        <v>10</v>
      </c>
      <c r="B16" s="67" t="str">
        <f>+дафтарча!K2</f>
        <v>Феруз укаси</v>
      </c>
      <c r="C16" s="31"/>
      <c r="D16" s="71">
        <f>+дафтарча!M5</f>
        <v>-17013150</v>
      </c>
      <c r="E16" s="71"/>
      <c r="G16" s="65"/>
    </row>
    <row r="17" spans="1:7" ht="19.8" x14ac:dyDescent="0.4">
      <c r="A17" s="23">
        <f t="shared" si="0"/>
        <v>11</v>
      </c>
      <c r="B17" s="67" t="str">
        <f>+Бонусча!G2</f>
        <v>Хитой бонусча</v>
      </c>
      <c r="C17" s="31"/>
      <c r="D17" s="71">
        <f>+Бонусча!I7</f>
        <v>0</v>
      </c>
      <c r="E17" s="71"/>
      <c r="G17" s="65"/>
    </row>
    <row r="18" spans="1:7" ht="19.8" x14ac:dyDescent="0.4">
      <c r="A18" s="23">
        <f t="shared" si="0"/>
        <v>12</v>
      </c>
      <c r="B18" s="67" t="str">
        <f>+дафтарча!K57</f>
        <v>шамсилло</v>
      </c>
      <c r="C18" s="31"/>
      <c r="D18" s="71">
        <f>+дафтарча!M60</f>
        <v>11815705</v>
      </c>
      <c r="E18" s="71"/>
    </row>
    <row r="19" spans="1:7" ht="19.8" x14ac:dyDescent="0.4">
      <c r="A19" s="23">
        <f t="shared" si="0"/>
        <v>13</v>
      </c>
      <c r="B19" s="67" t="str">
        <f>+дафтарча!K110</f>
        <v xml:space="preserve">сает </v>
      </c>
      <c r="C19" s="31"/>
      <c r="D19" s="71">
        <f>+дафтарча!M113</f>
        <v>10000000</v>
      </c>
      <c r="E19" s="71"/>
    </row>
    <row r="20" spans="1:7" ht="19.8" x14ac:dyDescent="0.4">
      <c r="A20" s="23">
        <f t="shared" si="0"/>
        <v>14</v>
      </c>
      <c r="B20" s="67" t="str">
        <f>+дафтарча!K134</f>
        <v>хасан</v>
      </c>
      <c r="C20" s="31"/>
      <c r="D20" s="71">
        <f>+дафтарча!M137</f>
        <v>19351500</v>
      </c>
      <c r="E20" s="71"/>
      <c r="F20" s="60" t="s">
        <v>71</v>
      </c>
      <c r="G20" s="54">
        <f>+SUM(D16:D68)</f>
        <v>-157740135</v>
      </c>
    </row>
    <row r="21" spans="1:7" ht="19.8" x14ac:dyDescent="0.4">
      <c r="A21" s="23">
        <f t="shared" si="0"/>
        <v>15</v>
      </c>
      <c r="B21" s="67" t="str">
        <f>+дафтарча!K155</f>
        <v>мехри вобкент</v>
      </c>
      <c r="C21" s="31"/>
      <c r="D21" s="71">
        <f>+дафтарча!M158</f>
        <v>-3465750</v>
      </c>
      <c r="E21" s="71"/>
      <c r="F21" s="60" t="s">
        <v>925</v>
      </c>
      <c r="G21" s="54">
        <f>+дафтарча!P4+Бонусча!I7</f>
        <v>0</v>
      </c>
    </row>
    <row r="22" spans="1:7" ht="19.8" x14ac:dyDescent="0.4">
      <c r="A22" s="23">
        <f t="shared" si="0"/>
        <v>16</v>
      </c>
      <c r="B22" s="67" t="str">
        <f>+дафтарча!K169</f>
        <v>мавлон</v>
      </c>
      <c r="C22" s="31"/>
      <c r="D22" s="71">
        <f>+дафтарча!M172</f>
        <v>-23990970</v>
      </c>
      <c r="E22" s="71"/>
      <c r="F22" s="198" t="s">
        <v>57</v>
      </c>
      <c r="G22" s="199">
        <f>+G20-G21</f>
        <v>-157740135</v>
      </c>
    </row>
    <row r="23" spans="1:7" ht="19.8" x14ac:dyDescent="0.4">
      <c r="A23" s="23">
        <f t="shared" si="0"/>
        <v>17</v>
      </c>
      <c r="B23" s="67" t="str">
        <f>+дафтарча!K185</f>
        <v>бобир того</v>
      </c>
      <c r="C23" s="31"/>
      <c r="D23" s="71">
        <f>+дафтарча!M188</f>
        <v>-26935550</v>
      </c>
      <c r="E23" s="71"/>
    </row>
    <row r="24" spans="1:7" ht="19.8" x14ac:dyDescent="0.4">
      <c r="A24" s="23">
        <f t="shared" si="0"/>
        <v>18</v>
      </c>
      <c r="B24" s="67" t="str">
        <f>+дафтарча!K204</f>
        <v>сироч ака 20 тн</v>
      </c>
      <c r="C24" s="31"/>
      <c r="D24" s="71">
        <f>+дафтарча!M207</f>
        <v>-60000000</v>
      </c>
      <c r="E24" s="71"/>
    </row>
    <row r="25" spans="1:7" ht="19.8" x14ac:dyDescent="0.4">
      <c r="A25" s="23">
        <f t="shared" si="0"/>
        <v>19</v>
      </c>
      <c r="B25" s="67" t="str">
        <f>+дафтарча!K218</f>
        <v>САРДОР</v>
      </c>
      <c r="C25" s="31"/>
      <c r="D25" s="71">
        <f>+дафтарча!M221</f>
        <v>-254600.00000000186</v>
      </c>
      <c r="E25" s="71"/>
    </row>
    <row r="26" spans="1:7" ht="19.8" x14ac:dyDescent="0.4">
      <c r="A26" s="23">
        <f t="shared" si="0"/>
        <v>20</v>
      </c>
      <c r="B26" s="67" t="str">
        <f>+дафтарча!K247</f>
        <v>али,</v>
      </c>
      <c r="C26" s="31"/>
      <c r="D26" s="71">
        <f>+дафтарча!M250</f>
        <v>14280000</v>
      </c>
      <c r="E26" s="71"/>
    </row>
    <row r="27" spans="1:7" ht="19.8" x14ac:dyDescent="0.4">
      <c r="A27" s="23">
        <f t="shared" si="0"/>
        <v>21</v>
      </c>
      <c r="B27" s="67" t="str">
        <f>+дафтарча!K265</f>
        <v>одил ака</v>
      </c>
      <c r="C27" s="31"/>
      <c r="D27" s="71">
        <f>+дафтарча!M268</f>
        <v>2825000</v>
      </c>
      <c r="E27" s="71"/>
    </row>
    <row r="28" spans="1:7" ht="19.8" x14ac:dyDescent="0.4">
      <c r="A28" s="23">
        <f t="shared" si="0"/>
        <v>22</v>
      </c>
      <c r="B28" s="67" t="str">
        <f>+дафтарча!K277</f>
        <v>фармон</v>
      </c>
      <c r="C28" s="31"/>
      <c r="D28" s="71">
        <f>+дафтарча!M280</f>
        <v>8130000</v>
      </c>
      <c r="E28" s="71"/>
    </row>
    <row r="29" spans="1:7" ht="19.8" x14ac:dyDescent="0.4">
      <c r="A29" s="23">
        <f t="shared" si="0"/>
        <v>23</v>
      </c>
      <c r="B29" s="67" t="str">
        <f>+дафтарча!K294</f>
        <v>Достон пешку</v>
      </c>
      <c r="C29" s="31"/>
      <c r="D29" s="71">
        <f>+дафтарча!M297</f>
        <v>-33340000</v>
      </c>
      <c r="E29" s="71"/>
    </row>
    <row r="30" spans="1:7" ht="19.8" x14ac:dyDescent="0.4">
      <c r="A30" s="23">
        <f t="shared" si="0"/>
        <v>24</v>
      </c>
      <c r="B30" s="67" t="str">
        <f>+дафтарча!K321</f>
        <v>истат</v>
      </c>
      <c r="C30" s="31"/>
      <c r="D30" s="71">
        <f>+дафтарча!M324</f>
        <v>-42537320</v>
      </c>
      <c r="E30" s="71"/>
    </row>
    <row r="31" spans="1:7" ht="19.8" x14ac:dyDescent="0.4">
      <c r="A31" s="23">
        <f t="shared" si="0"/>
        <v>25</v>
      </c>
      <c r="B31" s="67" t="str">
        <f>+дафтарча!K338</f>
        <v>сироч еко</v>
      </c>
      <c r="C31" s="31"/>
      <c r="D31" s="71">
        <f>+дафтарча!M341</f>
        <v>-20160000</v>
      </c>
      <c r="E31" s="71"/>
    </row>
    <row r="32" spans="1:7" ht="19.8" x14ac:dyDescent="0.4">
      <c r="A32" s="23">
        <f t="shared" si="0"/>
        <v>26</v>
      </c>
      <c r="B32" s="67" t="str">
        <f>+дафтарча!K378</f>
        <v>запас</v>
      </c>
      <c r="C32" s="31"/>
      <c r="D32" s="71">
        <f>+дафтарча!M381</f>
        <v>0</v>
      </c>
      <c r="E32" s="71"/>
    </row>
    <row r="33" spans="1:5" ht="19.8" x14ac:dyDescent="0.4">
      <c r="A33" s="23">
        <f t="shared" si="0"/>
        <v>27</v>
      </c>
      <c r="B33" s="245" t="str">
        <f>+дафтарча!K392</f>
        <v>запас</v>
      </c>
      <c r="C33" s="31"/>
      <c r="D33" s="71">
        <f>+дафтарча!M395</f>
        <v>0</v>
      </c>
      <c r="E33" s="71"/>
    </row>
    <row r="34" spans="1:5" ht="19.8" x14ac:dyDescent="0.4">
      <c r="A34" s="23">
        <f t="shared" si="0"/>
        <v>28</v>
      </c>
      <c r="B34" s="67" t="str">
        <f>+дафтарча!K406</f>
        <v>запас</v>
      </c>
      <c r="C34" s="31"/>
      <c r="D34" s="71">
        <f>+дафтарча!M409</f>
        <v>0</v>
      </c>
      <c r="E34" s="71"/>
    </row>
    <row r="35" spans="1:5" ht="19.8" x14ac:dyDescent="0.4">
      <c r="A35" s="23">
        <f t="shared" si="0"/>
        <v>29</v>
      </c>
      <c r="B35" s="67" t="str">
        <f>+дафтарча!K427</f>
        <v>запас</v>
      </c>
      <c r="C35" s="31"/>
      <c r="D35" s="71">
        <f>+дафтарча!M430</f>
        <v>0</v>
      </c>
      <c r="E35" s="71"/>
    </row>
    <row r="36" spans="1:5" ht="19.8" x14ac:dyDescent="0.4">
      <c r="A36" s="23">
        <f t="shared" si="0"/>
        <v>30</v>
      </c>
      <c r="B36" s="67" t="str">
        <f>+дафтарча!K441</f>
        <v>запас</v>
      </c>
      <c r="C36" s="31"/>
      <c r="D36" s="71">
        <f>+дафтарча!M444</f>
        <v>0</v>
      </c>
      <c r="E36" s="71"/>
    </row>
    <row r="37" spans="1:5" ht="19.8" x14ac:dyDescent="0.4">
      <c r="A37" s="23">
        <f t="shared" si="0"/>
        <v>31</v>
      </c>
      <c r="B37" s="67" t="str">
        <f>+дафтарча!K455</f>
        <v>запас</v>
      </c>
      <c r="C37" s="31"/>
      <c r="D37" s="71">
        <f>+дафтарча!M458</f>
        <v>0</v>
      </c>
      <c r="E37" s="71"/>
    </row>
    <row r="38" spans="1:5" ht="19.8" x14ac:dyDescent="0.4">
      <c r="A38" s="23">
        <f t="shared" si="0"/>
        <v>32</v>
      </c>
      <c r="B38" s="67" t="str">
        <f>+дафтарча!K469</f>
        <v>запас</v>
      </c>
      <c r="C38" s="31"/>
      <c r="D38" s="71">
        <f>+дафтарча!M472</f>
        <v>0</v>
      </c>
      <c r="E38" s="71"/>
    </row>
    <row r="39" spans="1:5" ht="19.8" x14ac:dyDescent="0.4">
      <c r="A39" s="23">
        <f t="shared" si="0"/>
        <v>33</v>
      </c>
      <c r="B39" s="67" t="str">
        <f>+дафтарча!K493</f>
        <v>запас</v>
      </c>
      <c r="C39" s="31"/>
      <c r="D39" s="71">
        <f>+дафтарча!M496</f>
        <v>0</v>
      </c>
      <c r="E39" s="71"/>
    </row>
    <row r="40" spans="1:5" ht="19.8" x14ac:dyDescent="0.4">
      <c r="A40" s="23">
        <f t="shared" si="0"/>
        <v>34</v>
      </c>
      <c r="B40" s="67" t="str">
        <f>+дафтарча!K506</f>
        <v>запас</v>
      </c>
      <c r="C40" s="31"/>
      <c r="D40" s="71">
        <f>+дафтарча!M509</f>
        <v>0</v>
      </c>
      <c r="E40" s="71"/>
    </row>
    <row r="41" spans="1:5" ht="19.8" x14ac:dyDescent="0.4">
      <c r="A41" s="23">
        <f t="shared" si="0"/>
        <v>35</v>
      </c>
      <c r="B41" s="67" t="str">
        <f>+дафтарча!K519</f>
        <v>запас</v>
      </c>
      <c r="C41" s="31"/>
      <c r="D41" s="71">
        <f>+дафтарча!M522</f>
        <v>0</v>
      </c>
      <c r="E41" s="71"/>
    </row>
    <row r="42" spans="1:5" ht="19.8" x14ac:dyDescent="0.4">
      <c r="A42" s="23">
        <f t="shared" si="0"/>
        <v>36</v>
      </c>
      <c r="B42" s="67" t="str">
        <f>+дафтарча!K532</f>
        <v>запас</v>
      </c>
      <c r="C42" s="31"/>
      <c r="D42" s="71">
        <f>+дафтарча!M535</f>
        <v>0</v>
      </c>
      <c r="E42" s="71"/>
    </row>
    <row r="43" spans="1:5" ht="19.8" x14ac:dyDescent="0.4">
      <c r="A43" s="23">
        <f t="shared" si="0"/>
        <v>37</v>
      </c>
      <c r="B43" s="67" t="str">
        <f>+дафтарча!K545</f>
        <v>запас</v>
      </c>
      <c r="C43" s="31"/>
      <c r="D43" s="71">
        <f>+дафтарча!M548</f>
        <v>0</v>
      </c>
      <c r="E43" s="71"/>
    </row>
    <row r="44" spans="1:5" ht="19.8" x14ac:dyDescent="0.4">
      <c r="A44" s="23">
        <f t="shared" si="0"/>
        <v>38</v>
      </c>
      <c r="B44" s="67" t="str">
        <f>+дафтарча!K558</f>
        <v>запас</v>
      </c>
      <c r="C44" s="31"/>
      <c r="D44" s="71">
        <f>+дафтарча!M561</f>
        <v>0</v>
      </c>
      <c r="E44" s="71"/>
    </row>
    <row r="45" spans="1:5" ht="19.8" x14ac:dyDescent="0.4">
      <c r="A45" s="23">
        <f t="shared" si="0"/>
        <v>39</v>
      </c>
      <c r="B45" s="67" t="str">
        <f>+дафтарча!K571</f>
        <v>запас</v>
      </c>
      <c r="C45" s="31"/>
      <c r="D45" s="71">
        <f>+дафтарча!M574</f>
        <v>0</v>
      </c>
      <c r="E45" s="71"/>
    </row>
    <row r="46" spans="1:5" ht="19.8" x14ac:dyDescent="0.4">
      <c r="A46" s="23">
        <f t="shared" si="0"/>
        <v>40</v>
      </c>
      <c r="B46" s="67" t="str">
        <f>+дафтарча!K584</f>
        <v>запас</v>
      </c>
      <c r="C46" s="31"/>
      <c r="D46" s="71">
        <f>+дафтарча!M587</f>
        <v>0</v>
      </c>
      <c r="E46" s="71"/>
    </row>
    <row r="47" spans="1:5" ht="19.8" x14ac:dyDescent="0.4">
      <c r="A47" s="23">
        <f t="shared" si="0"/>
        <v>41</v>
      </c>
      <c r="B47" s="67" t="str">
        <f>+дафтарча!K603</f>
        <v>запас</v>
      </c>
      <c r="C47" s="31"/>
      <c r="D47" s="71">
        <f>+дафтарча!M606</f>
        <v>0</v>
      </c>
      <c r="E47" s="71"/>
    </row>
    <row r="48" spans="1:5" ht="19.8" x14ac:dyDescent="0.4">
      <c r="A48" s="23">
        <f t="shared" si="0"/>
        <v>42</v>
      </c>
      <c r="B48" s="67" t="str">
        <f>+дафтарча!K352</f>
        <v>фарход путури</v>
      </c>
      <c r="C48" s="31"/>
      <c r="D48" s="71">
        <f>+дафтарча!M355</f>
        <v>3555000</v>
      </c>
      <c r="E48" s="71"/>
    </row>
    <row r="49" spans="1:5" ht="19.8" x14ac:dyDescent="0.4">
      <c r="A49" s="23">
        <f t="shared" si="0"/>
        <v>43</v>
      </c>
      <c r="B49" s="67" t="str">
        <f>+дафтарча!K365</f>
        <v>запас</v>
      </c>
      <c r="C49" s="31"/>
      <c r="D49" s="71">
        <f>+дафтарча!M368</f>
        <v>0</v>
      </c>
      <c r="E49" s="71"/>
    </row>
    <row r="50" spans="1:5" ht="19.8" x14ac:dyDescent="0.4">
      <c r="A50" s="23">
        <f t="shared" si="0"/>
        <v>44</v>
      </c>
      <c r="B50" s="67" t="str">
        <f>+дафтарча!K624</f>
        <v>запас</v>
      </c>
      <c r="C50" s="31"/>
      <c r="D50" s="71">
        <f>+дафтарча!M627</f>
        <v>0</v>
      </c>
      <c r="E50" s="71"/>
    </row>
    <row r="51" spans="1:5" ht="19.8" x14ac:dyDescent="0.4">
      <c r="A51" s="23">
        <f t="shared" si="0"/>
        <v>45</v>
      </c>
      <c r="B51" s="67" t="str">
        <f>+дафтарча!K637</f>
        <v>запас</v>
      </c>
      <c r="C51" s="31"/>
      <c r="D51" s="71">
        <f>+дафтарча!M640</f>
        <v>0</v>
      </c>
      <c r="E51" s="71"/>
    </row>
    <row r="52" spans="1:5" ht="19.8" x14ac:dyDescent="0.4">
      <c r="A52" s="23">
        <f t="shared" si="0"/>
        <v>46</v>
      </c>
      <c r="B52" s="67" t="str">
        <f>+дафтарча!K650</f>
        <v>запас</v>
      </c>
      <c r="C52" s="31"/>
      <c r="D52" s="71">
        <f>+дафтарча!M653</f>
        <v>0</v>
      </c>
      <c r="E52" s="71"/>
    </row>
    <row r="53" spans="1:5" ht="19.8" x14ac:dyDescent="0.4">
      <c r="A53" s="23">
        <f t="shared" si="0"/>
        <v>47</v>
      </c>
      <c r="B53" s="67" t="str">
        <f>+дафтарча!K663</f>
        <v>запас</v>
      </c>
      <c r="C53" s="31"/>
      <c r="D53" s="71">
        <f>+дафтарча!M666</f>
        <v>0</v>
      </c>
      <c r="E53" s="71"/>
    </row>
    <row r="54" spans="1:5" ht="19.8" x14ac:dyDescent="0.4">
      <c r="A54" s="23">
        <f t="shared" si="0"/>
        <v>48</v>
      </c>
      <c r="B54" s="67" t="str">
        <f>+дафтарча!K676</f>
        <v>запас</v>
      </c>
      <c r="C54" s="31"/>
      <c r="D54" s="71">
        <f>+дафтарча!M679</f>
        <v>0</v>
      </c>
      <c r="E54" s="71"/>
    </row>
    <row r="55" spans="1:5" ht="19.8" x14ac:dyDescent="0.4">
      <c r="A55" s="23">
        <f t="shared" si="0"/>
        <v>49</v>
      </c>
      <c r="B55" s="67" t="str">
        <f>+дафтарча!K689</f>
        <v>запас</v>
      </c>
      <c r="C55" s="31"/>
      <c r="D55" s="71">
        <f>+дафтарча!M692</f>
        <v>0</v>
      </c>
      <c r="E55" s="71"/>
    </row>
    <row r="56" spans="1:5" ht="19.8" x14ac:dyDescent="0.4">
      <c r="A56" s="23">
        <f t="shared" si="0"/>
        <v>50</v>
      </c>
      <c r="B56" s="67" t="str">
        <f>+дафтарча!K702</f>
        <v>запас</v>
      </c>
      <c r="C56" s="31"/>
      <c r="D56" s="71">
        <f>+дафтарча!M705</f>
        <v>0</v>
      </c>
      <c r="E56" s="71"/>
    </row>
    <row r="57" spans="1:5" ht="19.8" x14ac:dyDescent="0.4">
      <c r="A57" s="23">
        <f t="shared" si="0"/>
        <v>51</v>
      </c>
      <c r="B57" s="67" t="str">
        <f>+дафтарча!K715</f>
        <v>запас</v>
      </c>
      <c r="C57" s="31"/>
      <c r="D57" s="71">
        <f>+дафтарча!M718</f>
        <v>0</v>
      </c>
      <c r="E57" s="71"/>
    </row>
    <row r="58" spans="1:5" ht="19.8" x14ac:dyDescent="0.4">
      <c r="A58" s="23">
        <f t="shared" si="0"/>
        <v>52</v>
      </c>
      <c r="B58" s="67" t="str">
        <f>+дафтарча!K728</f>
        <v>запас</v>
      </c>
      <c r="C58" s="31"/>
      <c r="D58" s="71">
        <f>+дафтарча!M731</f>
        <v>0</v>
      </c>
      <c r="E58" s="71"/>
    </row>
    <row r="59" spans="1:5" ht="19.8" x14ac:dyDescent="0.4">
      <c r="A59" s="23">
        <f t="shared" si="0"/>
        <v>53</v>
      </c>
      <c r="B59" s="67" t="str">
        <f>+дафтарча!K741</f>
        <v>запас</v>
      </c>
      <c r="C59" s="31"/>
      <c r="D59" s="71">
        <f>+дафтарча!M744</f>
        <v>0</v>
      </c>
      <c r="E59" s="71"/>
    </row>
    <row r="60" spans="1:5" ht="19.8" x14ac:dyDescent="0.4">
      <c r="A60" s="23">
        <f t="shared" si="0"/>
        <v>54</v>
      </c>
      <c r="B60" s="67" t="str">
        <f>+дафтарча!K754</f>
        <v>запас</v>
      </c>
      <c r="C60" s="31"/>
      <c r="D60" s="71">
        <f>+дафтарча!M757</f>
        <v>0</v>
      </c>
      <c r="E60" s="71"/>
    </row>
    <row r="61" spans="1:5" ht="19.8" x14ac:dyDescent="0.4">
      <c r="A61" s="23">
        <f>+A60+1</f>
        <v>55</v>
      </c>
      <c r="B61" s="67" t="str">
        <f>+дафтарча!K767</f>
        <v>запас</v>
      </c>
      <c r="C61" s="31"/>
      <c r="D61" s="71">
        <f>+дафтарча!M770</f>
        <v>0</v>
      </c>
      <c r="E61" s="71"/>
    </row>
    <row r="62" spans="1:5" ht="19.8" x14ac:dyDescent="0.4">
      <c r="A62" s="23">
        <f t="shared" ref="A62:A127" si="1">+A61+1</f>
        <v>56</v>
      </c>
      <c r="B62" s="67" t="str">
        <f>+дафтарча!K780</f>
        <v>запас</v>
      </c>
      <c r="C62" s="31"/>
      <c r="D62" s="71">
        <f>+дафтарча!M783</f>
        <v>0</v>
      </c>
      <c r="E62" s="71"/>
    </row>
    <row r="63" spans="1:5" ht="19.8" x14ac:dyDescent="0.4">
      <c r="A63" s="23">
        <f t="shared" si="1"/>
        <v>57</v>
      </c>
      <c r="B63" s="67" t="str">
        <f>+дафтарча!K793</f>
        <v>запас</v>
      </c>
      <c r="C63" s="31"/>
      <c r="D63" s="71">
        <f>+дафтарча!M796</f>
        <v>0</v>
      </c>
      <c r="E63" s="71"/>
    </row>
    <row r="64" spans="1:5" ht="19.8" x14ac:dyDescent="0.4">
      <c r="A64" s="23">
        <f t="shared" si="1"/>
        <v>58</v>
      </c>
      <c r="B64" s="67" t="str">
        <f>+дафтарча!K806</f>
        <v>запас</v>
      </c>
      <c r="C64" s="31"/>
      <c r="D64" s="71">
        <f>+дафтарча!M809</f>
        <v>0</v>
      </c>
      <c r="E64" s="71"/>
    </row>
    <row r="65" spans="1:5" ht="19.8" x14ac:dyDescent="0.4">
      <c r="A65" s="23">
        <f t="shared" si="1"/>
        <v>59</v>
      </c>
      <c r="B65" s="67" t="str">
        <f>+дафтарча!K819</f>
        <v>ЗАПАС</v>
      </c>
      <c r="C65" s="31"/>
      <c r="D65" s="71">
        <f>+дафтарча!M822</f>
        <v>0</v>
      </c>
      <c r="E65" s="71"/>
    </row>
    <row r="66" spans="1:5" ht="19.8" x14ac:dyDescent="0.4">
      <c r="A66" s="23">
        <f t="shared" si="1"/>
        <v>60</v>
      </c>
      <c r="B66" s="67" t="str">
        <f>+дафтарча!K832</f>
        <v>запас</v>
      </c>
      <c r="C66" s="31"/>
      <c r="D66" s="71">
        <f>+дафтарча!M835</f>
        <v>0</v>
      </c>
      <c r="E66" s="71"/>
    </row>
    <row r="67" spans="1:5" ht="19.8" x14ac:dyDescent="0.4">
      <c r="A67" s="23">
        <f t="shared" si="1"/>
        <v>61</v>
      </c>
      <c r="B67" s="67" t="str">
        <f>+дафтарча!K845</f>
        <v>запас</v>
      </c>
      <c r="C67" s="31"/>
      <c r="D67" s="71">
        <f>+дафтарча!M848</f>
        <v>0</v>
      </c>
      <c r="E67" s="71"/>
    </row>
    <row r="68" spans="1:5" ht="19.8" x14ac:dyDescent="0.4">
      <c r="A68" s="23">
        <f t="shared" si="1"/>
        <v>62</v>
      </c>
      <c r="B68" s="67" t="str">
        <f>+дафтарча!K858</f>
        <v>запас</v>
      </c>
      <c r="C68" s="31"/>
      <c r="D68" s="71">
        <f>+дафтарча!M861</f>
        <v>0</v>
      </c>
      <c r="E68" s="71"/>
    </row>
    <row r="69" spans="1:5" ht="19.8" x14ac:dyDescent="0.4">
      <c r="A69" s="23">
        <f t="shared" si="1"/>
        <v>63</v>
      </c>
      <c r="B69" s="67" t="s">
        <v>1097</v>
      </c>
      <c r="C69" s="31"/>
      <c r="D69" s="71"/>
      <c r="E69" s="71">
        <f>+Чугун!P29</f>
        <v>0</v>
      </c>
    </row>
    <row r="70" spans="1:5" ht="19.8" x14ac:dyDescent="0.4">
      <c r="A70" s="23">
        <f t="shared" si="1"/>
        <v>64</v>
      </c>
      <c r="B70" s="232" t="str">
        <f>+Чугун!N2</f>
        <v xml:space="preserve">Навои Металл </v>
      </c>
      <c r="C70" s="233"/>
      <c r="D70" s="234"/>
      <c r="E70" s="234">
        <f>+Чугун!D22</f>
        <v>0</v>
      </c>
    </row>
    <row r="71" spans="1:5" ht="19.8" x14ac:dyDescent="0.4">
      <c r="A71" s="23">
        <f t="shared" si="1"/>
        <v>65</v>
      </c>
      <c r="B71" s="232" t="str">
        <f>+Чугун!C19</f>
        <v>Рахим НАВОИ</v>
      </c>
      <c r="C71" s="233"/>
      <c r="D71" s="234">
        <f>+Чугун!D19</f>
        <v>0</v>
      </c>
      <c r="E71" s="234"/>
    </row>
    <row r="72" spans="1:5" ht="19.8" x14ac:dyDescent="0.4">
      <c r="A72" s="23">
        <f t="shared" si="1"/>
        <v>66</v>
      </c>
      <c r="B72" s="69" t="s">
        <v>1907</v>
      </c>
      <c r="C72" s="24"/>
      <c r="D72" s="173">
        <v>56900000</v>
      </c>
      <c r="E72" s="24"/>
    </row>
    <row r="73" spans="1:5" ht="19.8" x14ac:dyDescent="0.4">
      <c r="A73" s="23">
        <f t="shared" si="1"/>
        <v>67</v>
      </c>
      <c r="B73" s="69" t="s">
        <v>130</v>
      </c>
      <c r="C73" s="24"/>
      <c r="D73" s="24">
        <f>7018*3000</f>
        <v>21054000</v>
      </c>
      <c r="E73" s="24"/>
    </row>
    <row r="74" spans="1:5" ht="19.8" x14ac:dyDescent="0.4">
      <c r="A74" s="23">
        <f t="shared" si="1"/>
        <v>68</v>
      </c>
      <c r="B74" s="70" t="s">
        <v>1894</v>
      </c>
      <c r="C74" s="66" t="s">
        <v>1943</v>
      </c>
      <c r="D74" s="66">
        <f>1610*11850</f>
        <v>19078500</v>
      </c>
      <c r="E74" s="66"/>
    </row>
    <row r="75" spans="1:5" ht="19.8" x14ac:dyDescent="0.4">
      <c r="A75" s="23">
        <f t="shared" si="1"/>
        <v>69</v>
      </c>
      <c r="B75" s="69" t="s">
        <v>79</v>
      </c>
      <c r="C75" s="24"/>
      <c r="D75" s="24">
        <v>8400000</v>
      </c>
      <c r="E75" s="24"/>
    </row>
    <row r="76" spans="1:5" ht="19.8" x14ac:dyDescent="0.4">
      <c r="A76" s="23">
        <f t="shared" si="1"/>
        <v>70</v>
      </c>
      <c r="B76" s="69" t="s">
        <v>273</v>
      </c>
      <c r="C76" s="24"/>
      <c r="D76" s="24">
        <v>5900000</v>
      </c>
      <c r="E76" s="24"/>
    </row>
    <row r="77" spans="1:5" ht="19.8" x14ac:dyDescent="0.4">
      <c r="A77" s="23">
        <f t="shared" si="1"/>
        <v>71</v>
      </c>
      <c r="B77" s="70" t="s">
        <v>1032</v>
      </c>
      <c r="C77" s="24"/>
      <c r="D77" s="24">
        <v>1482000</v>
      </c>
      <c r="E77" s="24"/>
    </row>
    <row r="78" spans="1:5" ht="19.8" x14ac:dyDescent="0.4">
      <c r="A78" s="23">
        <f t="shared" si="1"/>
        <v>72</v>
      </c>
      <c r="B78" s="69" t="s">
        <v>1355</v>
      </c>
      <c r="C78" s="24"/>
      <c r="D78" s="24">
        <v>2000000</v>
      </c>
      <c r="E78" s="24"/>
    </row>
    <row r="79" spans="1:5" ht="19.8" x14ac:dyDescent="0.4">
      <c r="A79" s="23">
        <f t="shared" si="1"/>
        <v>73</v>
      </c>
      <c r="B79" s="70">
        <v>620</v>
      </c>
      <c r="C79" s="66" t="s">
        <v>1574</v>
      </c>
      <c r="D79" s="66">
        <f>220*3000</f>
        <v>660000</v>
      </c>
      <c r="E79" s="24"/>
    </row>
    <row r="80" spans="1:5" ht="19.8" x14ac:dyDescent="0.3">
      <c r="A80" s="23">
        <f t="shared" si="1"/>
        <v>74</v>
      </c>
      <c r="B80" s="24" t="s">
        <v>1694</v>
      </c>
      <c r="C80" s="24" t="s">
        <v>1695</v>
      </c>
      <c r="D80" s="24">
        <v>8400000</v>
      </c>
      <c r="E80" s="66"/>
    </row>
    <row r="81" spans="1:6" ht="20.399999999999999" customHeight="1" x14ac:dyDescent="0.4">
      <c r="A81" s="23">
        <f t="shared" si="1"/>
        <v>75</v>
      </c>
      <c r="B81" s="70" t="s">
        <v>1855</v>
      </c>
      <c r="C81" s="24"/>
      <c r="D81" s="24">
        <v>95000</v>
      </c>
      <c r="E81" s="24"/>
    </row>
    <row r="82" spans="1:6" ht="20.399999999999999" customHeight="1" x14ac:dyDescent="0.4">
      <c r="A82" s="23">
        <f t="shared" si="1"/>
        <v>76</v>
      </c>
      <c r="B82" s="70" t="s">
        <v>1937</v>
      </c>
      <c r="C82" s="24"/>
      <c r="D82" s="24">
        <v>700000</v>
      </c>
      <c r="E82" s="24"/>
    </row>
    <row r="83" spans="1:6" ht="20.399999999999999" customHeight="1" x14ac:dyDescent="0.4">
      <c r="A83" s="23">
        <f t="shared" si="1"/>
        <v>77</v>
      </c>
      <c r="B83" s="70"/>
      <c r="C83" s="24"/>
      <c r="D83" s="24"/>
      <c r="E83" s="66"/>
    </row>
    <row r="84" spans="1:6" ht="20.399999999999999" customHeight="1" x14ac:dyDescent="0.4">
      <c r="A84" s="23">
        <f t="shared" si="1"/>
        <v>78</v>
      </c>
      <c r="B84" s="70"/>
      <c r="C84" s="66"/>
      <c r="D84" s="66"/>
      <c r="E84" s="66"/>
    </row>
    <row r="85" spans="1:6" ht="20.399999999999999" customHeight="1" x14ac:dyDescent="0.4">
      <c r="A85" s="23">
        <f t="shared" si="1"/>
        <v>79</v>
      </c>
      <c r="B85" s="70"/>
      <c r="C85" s="24"/>
      <c r="D85" s="24"/>
      <c r="E85" s="24"/>
    </row>
    <row r="86" spans="1:6" ht="20.399999999999999" customHeight="1" x14ac:dyDescent="0.4">
      <c r="A86" s="23">
        <f t="shared" si="1"/>
        <v>80</v>
      </c>
      <c r="B86" s="69"/>
      <c r="C86" s="24"/>
      <c r="D86" s="24"/>
      <c r="E86" s="24"/>
    </row>
    <row r="87" spans="1:6" ht="20.399999999999999" customHeight="1" x14ac:dyDescent="0.4">
      <c r="A87" s="23">
        <f t="shared" si="1"/>
        <v>81</v>
      </c>
      <c r="B87" s="70"/>
      <c r="C87" s="24"/>
      <c r="D87" s="24"/>
      <c r="E87" s="66"/>
    </row>
    <row r="88" spans="1:6" ht="20.399999999999999" customHeight="1" x14ac:dyDescent="0.4">
      <c r="A88" s="23">
        <f t="shared" si="1"/>
        <v>82</v>
      </c>
      <c r="B88" s="69"/>
      <c r="C88" s="24"/>
      <c r="D88" s="24"/>
      <c r="E88" s="24"/>
    </row>
    <row r="89" spans="1:6" ht="20.399999999999999" customHeight="1" x14ac:dyDescent="0.4">
      <c r="A89" s="23">
        <f t="shared" si="1"/>
        <v>83</v>
      </c>
      <c r="B89" s="69"/>
      <c r="C89" s="24"/>
      <c r="D89" s="24"/>
      <c r="E89" s="24"/>
    </row>
    <row r="90" spans="1:6" ht="20.399999999999999" customHeight="1" x14ac:dyDescent="0.4">
      <c r="A90" s="23">
        <f t="shared" si="1"/>
        <v>84</v>
      </c>
      <c r="B90" s="69"/>
      <c r="C90" s="24"/>
      <c r="D90" s="24"/>
      <c r="E90" s="24"/>
    </row>
    <row r="91" spans="1:6" ht="20.399999999999999" customHeight="1" x14ac:dyDescent="0.4">
      <c r="A91" s="23">
        <f t="shared" si="1"/>
        <v>85</v>
      </c>
      <c r="B91" s="69"/>
      <c r="C91" s="24"/>
      <c r="D91" s="24"/>
      <c r="E91" s="24"/>
    </row>
    <row r="92" spans="1:6" ht="20.399999999999999" customHeight="1" x14ac:dyDescent="0.4">
      <c r="A92" s="23">
        <f t="shared" si="1"/>
        <v>86</v>
      </c>
      <c r="B92" s="70"/>
      <c r="C92" s="24"/>
      <c r="D92" s="24"/>
      <c r="E92" s="24"/>
    </row>
    <row r="93" spans="1:6" ht="20.399999999999999" customHeight="1" x14ac:dyDescent="0.4">
      <c r="A93" s="23">
        <f t="shared" si="1"/>
        <v>87</v>
      </c>
      <c r="B93" s="70"/>
      <c r="C93" s="66"/>
      <c r="D93" s="66"/>
      <c r="E93" s="66"/>
    </row>
    <row r="94" spans="1:6" ht="20.399999999999999" customHeight="1" x14ac:dyDescent="0.4">
      <c r="A94" s="23">
        <f t="shared" si="1"/>
        <v>88</v>
      </c>
      <c r="B94" s="69"/>
      <c r="C94" s="24"/>
      <c r="D94" s="24"/>
      <c r="E94" s="24"/>
    </row>
    <row r="95" spans="1:6" ht="20.399999999999999" customHeight="1" x14ac:dyDescent="0.4">
      <c r="A95" s="23">
        <f t="shared" si="1"/>
        <v>89</v>
      </c>
      <c r="B95" s="69"/>
      <c r="C95" s="24"/>
      <c r="D95" s="24"/>
      <c r="E95" s="24"/>
    </row>
    <row r="96" spans="1:6" ht="20.399999999999999" customHeight="1" x14ac:dyDescent="0.4">
      <c r="A96" s="23">
        <f t="shared" si="1"/>
        <v>90</v>
      </c>
      <c r="B96" s="69"/>
      <c r="C96" s="24"/>
      <c r="D96" s="24"/>
      <c r="E96" s="24"/>
      <c r="F96" s="25" t="s">
        <v>154</v>
      </c>
    </row>
    <row r="97" spans="1:10" ht="20.399999999999999" customHeight="1" x14ac:dyDescent="0.4">
      <c r="A97" s="23">
        <f t="shared" si="1"/>
        <v>91</v>
      </c>
      <c r="B97" s="69"/>
      <c r="C97" s="24"/>
      <c r="D97" s="24"/>
      <c r="E97" s="24"/>
      <c r="F97" s="25" t="s">
        <v>1455</v>
      </c>
    </row>
    <row r="98" spans="1:10" ht="20.399999999999999" customHeight="1" x14ac:dyDescent="0.4">
      <c r="A98" s="23">
        <f t="shared" si="1"/>
        <v>92</v>
      </c>
      <c r="B98" s="69"/>
      <c r="C98" s="24"/>
      <c r="D98" s="24"/>
      <c r="E98" s="24"/>
      <c r="F98" s="25" t="s">
        <v>1764</v>
      </c>
    </row>
    <row r="99" spans="1:10" ht="20.399999999999999" customHeight="1" x14ac:dyDescent="0.4">
      <c r="A99" s="23">
        <f t="shared" si="1"/>
        <v>93</v>
      </c>
      <c r="B99" s="69" t="s">
        <v>1890</v>
      </c>
      <c r="C99" s="24" t="s">
        <v>1891</v>
      </c>
      <c r="D99" s="24"/>
      <c r="E99" s="24">
        <v>50000000</v>
      </c>
      <c r="F99" s="25" t="s">
        <v>1765</v>
      </c>
    </row>
    <row r="100" spans="1:10" ht="20.399999999999999" customHeight="1" x14ac:dyDescent="0.4">
      <c r="A100" s="23">
        <f t="shared" si="1"/>
        <v>94</v>
      </c>
      <c r="B100" s="69"/>
      <c r="C100" s="24"/>
      <c r="D100" s="24"/>
      <c r="E100" s="24"/>
      <c r="F100" s="25" t="s">
        <v>1766</v>
      </c>
    </row>
    <row r="101" spans="1:10" ht="20.399999999999999" customHeight="1" x14ac:dyDescent="0.4">
      <c r="A101" s="23">
        <f t="shared" si="1"/>
        <v>95</v>
      </c>
      <c r="B101" s="69" t="s">
        <v>1889</v>
      </c>
      <c r="C101" s="24"/>
      <c r="D101" s="24"/>
      <c r="E101" s="24">
        <v>60000000</v>
      </c>
    </row>
    <row r="102" spans="1:10" ht="20.399999999999999" customHeight="1" x14ac:dyDescent="0.4">
      <c r="A102" s="23">
        <f t="shared" si="1"/>
        <v>96</v>
      </c>
      <c r="B102" s="69" t="s">
        <v>528</v>
      </c>
      <c r="C102" s="24" t="s">
        <v>1579</v>
      </c>
      <c r="D102" s="24"/>
      <c r="E102" s="24">
        <f>605000000+242000000</f>
        <v>847000000</v>
      </c>
    </row>
    <row r="103" spans="1:10" ht="20.399999999999999" customHeight="1" x14ac:dyDescent="0.4">
      <c r="A103" s="23">
        <f t="shared" si="1"/>
        <v>97</v>
      </c>
      <c r="B103" s="69" t="s">
        <v>570</v>
      </c>
      <c r="C103" s="24" t="s">
        <v>569</v>
      </c>
      <c r="D103" s="24"/>
      <c r="E103" s="24">
        <f>15000*12200</f>
        <v>183000000</v>
      </c>
      <c r="F103" s="25" t="s">
        <v>1671</v>
      </c>
      <c r="G103" s="25" t="s">
        <v>1672</v>
      </c>
    </row>
    <row r="104" spans="1:10" ht="20.399999999999999" customHeight="1" x14ac:dyDescent="0.4">
      <c r="A104" s="23">
        <f t="shared" si="1"/>
        <v>98</v>
      </c>
      <c r="B104" s="69" t="s">
        <v>668</v>
      </c>
      <c r="C104" s="24" t="s">
        <v>1803</v>
      </c>
      <c r="D104" s="24">
        <v>50000000</v>
      </c>
      <c r="E104" s="24"/>
      <c r="F104" s="25" t="s">
        <v>1673</v>
      </c>
      <c r="G104" s="25" t="s">
        <v>1674</v>
      </c>
    </row>
    <row r="105" spans="1:10" ht="20.399999999999999" customHeight="1" x14ac:dyDescent="0.4">
      <c r="A105" s="23">
        <f t="shared" si="1"/>
        <v>99</v>
      </c>
      <c r="B105" s="69" t="s">
        <v>24</v>
      </c>
      <c r="C105" s="24" t="s">
        <v>1144</v>
      </c>
      <c r="D105" s="24"/>
      <c r="E105" s="24">
        <v>72600000</v>
      </c>
      <c r="F105" s="25" t="s">
        <v>1656</v>
      </c>
      <c r="G105" s="25" t="s">
        <v>1675</v>
      </c>
    </row>
    <row r="106" spans="1:10" ht="20.399999999999999" customHeight="1" x14ac:dyDescent="0.4">
      <c r="A106" s="23">
        <f t="shared" si="1"/>
        <v>100</v>
      </c>
      <c r="B106" s="69" t="s">
        <v>27</v>
      </c>
      <c r="C106" s="24" t="s">
        <v>1104</v>
      </c>
      <c r="D106" s="24"/>
      <c r="E106" s="24">
        <v>36300000</v>
      </c>
    </row>
    <row r="107" spans="1:10" ht="20.399999999999999" customHeight="1" x14ac:dyDescent="0.4">
      <c r="A107" s="23">
        <f t="shared" si="1"/>
        <v>101</v>
      </c>
      <c r="B107" s="69" t="s">
        <v>29</v>
      </c>
      <c r="C107" s="24" t="s">
        <v>1126</v>
      </c>
      <c r="D107" s="24"/>
      <c r="E107" s="24">
        <v>48400000</v>
      </c>
      <c r="F107" s="25" t="s">
        <v>1676</v>
      </c>
      <c r="G107" s="25" t="s">
        <v>1677</v>
      </c>
    </row>
    <row r="108" spans="1:10" ht="20.399999999999999" customHeight="1" x14ac:dyDescent="0.4">
      <c r="A108" s="23">
        <f t="shared" si="1"/>
        <v>102</v>
      </c>
      <c r="B108" s="69" t="s">
        <v>1570</v>
      </c>
      <c r="C108" s="24" t="s">
        <v>1581</v>
      </c>
      <c r="D108" s="24" t="s">
        <v>1582</v>
      </c>
      <c r="E108" s="24">
        <f>80000*12142</f>
        <v>971360000</v>
      </c>
      <c r="F108" s="25" t="s">
        <v>1671</v>
      </c>
      <c r="G108" s="25" t="s">
        <v>1675</v>
      </c>
    </row>
    <row r="109" spans="1:10" ht="20.399999999999999" customHeight="1" x14ac:dyDescent="0.4">
      <c r="A109" s="23">
        <f t="shared" si="1"/>
        <v>103</v>
      </c>
      <c r="B109" s="69" t="s">
        <v>1664</v>
      </c>
      <c r="C109" s="24" t="s">
        <v>1654</v>
      </c>
      <c r="D109" s="24" t="s">
        <v>1665</v>
      </c>
      <c r="E109" s="24"/>
      <c r="F109" s="25" t="s">
        <v>1668</v>
      </c>
      <c r="G109" s="25" t="s">
        <v>1678</v>
      </c>
      <c r="I109" s="25"/>
    </row>
    <row r="110" spans="1:10" ht="20.399999999999999" customHeight="1" x14ac:dyDescent="0.4">
      <c r="A110" s="23">
        <f t="shared" si="1"/>
        <v>104</v>
      </c>
      <c r="B110" s="69" t="s">
        <v>1732</v>
      </c>
      <c r="C110" s="24" t="s">
        <v>1733</v>
      </c>
      <c r="D110" s="24"/>
      <c r="E110" s="24">
        <f>4400*12000</f>
        <v>52800000</v>
      </c>
      <c r="F110" s="25" t="s">
        <v>1679</v>
      </c>
      <c r="G110" s="25" t="s">
        <v>1680</v>
      </c>
      <c r="I110" s="25"/>
      <c r="J110" s="25"/>
    </row>
    <row r="111" spans="1:10" ht="20.399999999999999" customHeight="1" x14ac:dyDescent="0.4">
      <c r="A111" s="23">
        <f t="shared" si="1"/>
        <v>105</v>
      </c>
      <c r="B111" s="69" t="s">
        <v>1007</v>
      </c>
      <c r="C111" s="24" t="s">
        <v>610</v>
      </c>
      <c r="D111" s="24"/>
      <c r="E111" s="24">
        <v>120000000</v>
      </c>
      <c r="F111" s="201" t="s">
        <v>1681</v>
      </c>
      <c r="G111" s="201" t="s">
        <v>1682</v>
      </c>
      <c r="H111" s="25"/>
      <c r="I111" s="25"/>
      <c r="J111" s="25"/>
    </row>
    <row r="112" spans="1:10" ht="20.399999999999999" customHeight="1" x14ac:dyDescent="0.4">
      <c r="A112" s="23">
        <f t="shared" si="1"/>
        <v>106</v>
      </c>
      <c r="B112" s="69"/>
      <c r="C112" s="24"/>
      <c r="D112" s="24"/>
      <c r="E112" s="24"/>
      <c r="H112" s="25"/>
      <c r="I112" s="25"/>
      <c r="J112" s="25"/>
    </row>
    <row r="113" spans="1:10" ht="20.399999999999999" customHeight="1" x14ac:dyDescent="0.4">
      <c r="A113" s="23">
        <f t="shared" si="1"/>
        <v>107</v>
      </c>
      <c r="B113" s="69" t="s">
        <v>1382</v>
      </c>
      <c r="C113" s="24"/>
      <c r="D113" s="24">
        <v>9600000</v>
      </c>
      <c r="E113" s="24"/>
      <c r="H113" s="25"/>
      <c r="I113" s="25"/>
      <c r="J113" s="25"/>
    </row>
    <row r="114" spans="1:10" ht="20.399999999999999" customHeight="1" x14ac:dyDescent="0.4">
      <c r="A114" s="23">
        <f t="shared" si="1"/>
        <v>108</v>
      </c>
      <c r="B114" s="69" t="s">
        <v>545</v>
      </c>
      <c r="C114" s="24" t="s">
        <v>546</v>
      </c>
      <c r="D114" s="24">
        <v>1830000</v>
      </c>
      <c r="E114" s="24"/>
      <c r="H114" s="25"/>
    </row>
    <row r="115" spans="1:10" ht="20.399999999999999" customHeight="1" x14ac:dyDescent="0.4">
      <c r="A115" s="23">
        <f t="shared" si="1"/>
        <v>109</v>
      </c>
      <c r="B115" s="69" t="s">
        <v>952</v>
      </c>
      <c r="C115" s="200">
        <v>2000000</v>
      </c>
      <c r="D115" s="24"/>
      <c r="E115" s="170"/>
      <c r="H115" s="25"/>
    </row>
    <row r="116" spans="1:10" ht="20.399999999999999" customHeight="1" x14ac:dyDescent="0.4">
      <c r="A116" s="23">
        <f t="shared" si="1"/>
        <v>110</v>
      </c>
      <c r="B116" s="69" t="s">
        <v>1242</v>
      </c>
      <c r="C116" s="24" t="s">
        <v>854</v>
      </c>
      <c r="D116" s="24"/>
      <c r="E116" s="24"/>
    </row>
    <row r="117" spans="1:10" ht="20.399999999999999" customHeight="1" x14ac:dyDescent="0.4">
      <c r="A117" s="23">
        <f t="shared" si="1"/>
        <v>111</v>
      </c>
      <c r="B117" s="69" t="s">
        <v>1381</v>
      </c>
      <c r="C117" s="200">
        <v>2000000</v>
      </c>
      <c r="D117" s="24"/>
      <c r="E117" s="24"/>
    </row>
    <row r="118" spans="1:10" ht="20.399999999999999" customHeight="1" x14ac:dyDescent="0.4">
      <c r="A118" s="23">
        <f t="shared" si="1"/>
        <v>112</v>
      </c>
      <c r="B118" s="69" t="s">
        <v>125</v>
      </c>
      <c r="C118" s="24">
        <v>600000</v>
      </c>
      <c r="D118" s="24"/>
      <c r="E118" s="24"/>
      <c r="F118" s="25" t="s">
        <v>947</v>
      </c>
      <c r="G118" s="25">
        <v>140000000</v>
      </c>
    </row>
    <row r="119" spans="1:10" ht="20.399999999999999" customHeight="1" x14ac:dyDescent="0.4">
      <c r="A119" s="23">
        <f t="shared" si="1"/>
        <v>113</v>
      </c>
      <c r="B119" s="69" t="s">
        <v>25</v>
      </c>
      <c r="C119" s="200">
        <v>6000000</v>
      </c>
      <c r="D119" s="24"/>
      <c r="E119" s="24"/>
      <c r="F119" s="25" t="s">
        <v>910</v>
      </c>
      <c r="G119" s="25">
        <v>20000000</v>
      </c>
    </row>
    <row r="120" spans="1:10" ht="18.600000000000001" customHeight="1" x14ac:dyDescent="0.4">
      <c r="A120" s="23">
        <f t="shared" si="1"/>
        <v>114</v>
      </c>
      <c r="B120" s="69" t="s">
        <v>695</v>
      </c>
      <c r="C120" s="24">
        <v>2000000</v>
      </c>
      <c r="D120" s="24"/>
      <c r="E120" s="24"/>
      <c r="F120" s="25" t="s">
        <v>1202</v>
      </c>
      <c r="G120" s="25">
        <v>20000000</v>
      </c>
    </row>
    <row r="121" spans="1:10" ht="20.399999999999999" customHeight="1" x14ac:dyDescent="0.4">
      <c r="A121" s="23">
        <f t="shared" si="1"/>
        <v>115</v>
      </c>
      <c r="B121" s="69" t="s">
        <v>115</v>
      </c>
      <c r="C121" s="24">
        <v>2500000</v>
      </c>
      <c r="D121" s="24"/>
      <c r="E121" s="24"/>
      <c r="F121" s="25" t="s">
        <v>1669</v>
      </c>
      <c r="G121" s="25" t="s">
        <v>1670</v>
      </c>
    </row>
    <row r="122" spans="1:10" ht="19.8" x14ac:dyDescent="0.4">
      <c r="A122" s="23">
        <f t="shared" si="1"/>
        <v>116</v>
      </c>
      <c r="B122" s="69" t="s">
        <v>315</v>
      </c>
      <c r="C122" s="24">
        <v>359600</v>
      </c>
      <c r="D122" s="24"/>
      <c r="E122" s="24"/>
    </row>
    <row r="123" spans="1:10" ht="19.8" x14ac:dyDescent="0.4">
      <c r="A123" s="23">
        <f t="shared" si="1"/>
        <v>117</v>
      </c>
      <c r="B123" s="69" t="s">
        <v>1569</v>
      </c>
      <c r="C123" s="24">
        <f>590*2900</f>
        <v>1711000</v>
      </c>
      <c r="D123" s="24"/>
      <c r="E123" s="24"/>
    </row>
    <row r="124" spans="1:10" ht="19.8" x14ac:dyDescent="0.4">
      <c r="A124" s="23">
        <f t="shared" si="1"/>
        <v>118</v>
      </c>
      <c r="B124" s="69" t="s">
        <v>107</v>
      </c>
      <c r="C124" s="24">
        <v>3605000</v>
      </c>
      <c r="D124" s="24"/>
      <c r="E124" s="24"/>
      <c r="F124" s="201" t="s">
        <v>1443</v>
      </c>
    </row>
    <row r="125" spans="1:10" ht="19.8" x14ac:dyDescent="0.4">
      <c r="A125" s="23">
        <f t="shared" si="1"/>
        <v>119</v>
      </c>
      <c r="B125" s="69" t="s">
        <v>853</v>
      </c>
      <c r="C125" s="24" t="s">
        <v>854</v>
      </c>
      <c r="D125" s="24"/>
      <c r="E125" s="24"/>
      <c r="F125" s="25" t="s">
        <v>1450</v>
      </c>
      <c r="G125" s="25">
        <v>1450</v>
      </c>
    </row>
    <row r="126" spans="1:10" ht="19.8" x14ac:dyDescent="0.4">
      <c r="A126" s="23">
        <f t="shared" si="1"/>
        <v>120</v>
      </c>
      <c r="B126" s="69" t="s">
        <v>904</v>
      </c>
      <c r="C126" s="24" t="s">
        <v>854</v>
      </c>
      <c r="D126" s="24"/>
      <c r="E126" s="24"/>
      <c r="F126" s="25" t="s">
        <v>497</v>
      </c>
      <c r="G126" s="25" t="s">
        <v>33</v>
      </c>
    </row>
    <row r="127" spans="1:10" ht="19.8" x14ac:dyDescent="0.4">
      <c r="A127" s="23">
        <f t="shared" si="1"/>
        <v>121</v>
      </c>
      <c r="B127" s="69" t="s">
        <v>1037</v>
      </c>
      <c r="C127" s="24" t="s">
        <v>854</v>
      </c>
      <c r="D127" s="24"/>
      <c r="E127" s="24"/>
      <c r="F127" s="25" t="s">
        <v>1444</v>
      </c>
      <c r="G127" s="25" t="s">
        <v>1580</v>
      </c>
    </row>
    <row r="128" spans="1:10" ht="19.8" x14ac:dyDescent="0.4">
      <c r="A128" s="23">
        <f t="shared" ref="A128:A136" si="2">+A127+1</f>
        <v>122</v>
      </c>
      <c r="B128" s="69" t="s">
        <v>1119</v>
      </c>
      <c r="C128" s="66" t="s">
        <v>854</v>
      </c>
      <c r="D128" s="24"/>
      <c r="E128" s="24"/>
      <c r="F128" s="25" t="s">
        <v>1445</v>
      </c>
      <c r="G128" s="25">
        <v>800</v>
      </c>
    </row>
    <row r="129" spans="1:7" ht="19.8" x14ac:dyDescent="0.4">
      <c r="A129" s="23">
        <f t="shared" si="2"/>
        <v>123</v>
      </c>
      <c r="B129" s="69" t="s">
        <v>1178</v>
      </c>
      <c r="C129" s="24" t="s">
        <v>854</v>
      </c>
      <c r="D129" s="24"/>
      <c r="E129" s="24"/>
      <c r="F129" s="25" t="s">
        <v>1446</v>
      </c>
      <c r="G129" s="25">
        <v>200</v>
      </c>
    </row>
    <row r="130" spans="1:7" ht="19.8" x14ac:dyDescent="0.4">
      <c r="A130" s="23">
        <f t="shared" si="2"/>
        <v>124</v>
      </c>
      <c r="B130" s="69" t="s">
        <v>1304</v>
      </c>
      <c r="C130" s="24" t="s">
        <v>839</v>
      </c>
      <c r="D130" s="24"/>
      <c r="E130" s="24"/>
      <c r="F130" s="25" t="s">
        <v>1447</v>
      </c>
      <c r="G130" s="25">
        <v>1750</v>
      </c>
    </row>
    <row r="131" spans="1:7" ht="19.8" x14ac:dyDescent="0.4">
      <c r="A131" s="23">
        <f t="shared" si="2"/>
        <v>125</v>
      </c>
      <c r="B131" s="69" t="s">
        <v>1380</v>
      </c>
      <c r="C131" s="24" t="s">
        <v>854</v>
      </c>
      <c r="D131" s="24"/>
      <c r="E131" s="24"/>
      <c r="F131" s="25" t="s">
        <v>1448</v>
      </c>
      <c r="G131" s="25">
        <v>500</v>
      </c>
    </row>
    <row r="132" spans="1:7" ht="19.8" x14ac:dyDescent="0.4">
      <c r="A132" s="23">
        <f t="shared" si="2"/>
        <v>126</v>
      </c>
      <c r="B132" s="69"/>
      <c r="C132" s="24"/>
      <c r="D132" s="24"/>
      <c r="E132" s="24"/>
    </row>
    <row r="133" spans="1:7" ht="19.8" x14ac:dyDescent="0.4">
      <c r="A133" s="23">
        <f t="shared" si="2"/>
        <v>127</v>
      </c>
      <c r="B133" s="69"/>
      <c r="C133" s="24"/>
      <c r="D133" s="24"/>
      <c r="E133" s="24"/>
      <c r="F133" s="25" t="s">
        <v>1449</v>
      </c>
      <c r="G133" s="25">
        <v>1300</v>
      </c>
    </row>
    <row r="134" spans="1:7" ht="19.8" x14ac:dyDescent="0.4">
      <c r="A134" s="23">
        <f t="shared" si="2"/>
        <v>128</v>
      </c>
      <c r="B134" s="69"/>
      <c r="C134" s="24"/>
      <c r="D134" s="24"/>
      <c r="E134" s="24"/>
      <c r="F134" s="201" t="s">
        <v>939</v>
      </c>
      <c r="G134" s="201" t="s">
        <v>1144</v>
      </c>
    </row>
    <row r="135" spans="1:7" ht="19.8" x14ac:dyDescent="0.4">
      <c r="A135" s="23">
        <f t="shared" si="2"/>
        <v>129</v>
      </c>
      <c r="B135" s="69"/>
      <c r="C135" s="24"/>
      <c r="D135" s="24"/>
      <c r="E135" s="24"/>
    </row>
    <row r="136" spans="1:7" ht="19.8" x14ac:dyDescent="0.4">
      <c r="A136" s="23">
        <f t="shared" si="2"/>
        <v>130</v>
      </c>
      <c r="B136" s="69"/>
      <c r="C136" s="24"/>
      <c r="D136" s="24"/>
      <c r="E136" s="24"/>
    </row>
    <row r="137" spans="1:7" ht="19.8" x14ac:dyDescent="0.4">
      <c r="A137" s="23">
        <f>+A136+1</f>
        <v>131</v>
      </c>
      <c r="B137" s="69"/>
      <c r="C137" s="24"/>
      <c r="D137" s="24"/>
      <c r="E137" s="24"/>
    </row>
    <row r="138" spans="1:7" x14ac:dyDescent="0.3">
      <c r="D138" s="9"/>
      <c r="E138" s="9"/>
    </row>
  </sheetData>
  <mergeCells count="5">
    <mergeCell ref="A2:A4"/>
    <mergeCell ref="D2:D4"/>
    <mergeCell ref="E2:E4"/>
    <mergeCell ref="C2:C4"/>
    <mergeCell ref="B2:B4"/>
  </mergeCells>
  <pageMargins left="0.7" right="0.7" top="0.75" bottom="0.75" header="0.3" footer="0.3"/>
  <pageSetup paperSize="9" scale="26" orientation="portrait" r:id="rId1"/>
  <colBreaks count="1" manualBreakCount="1">
    <brk id="4" max="13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L2836"/>
  <sheetViews>
    <sheetView view="pageBreakPreview" zoomScale="122" zoomScaleNormal="122" zoomScaleSheetLayoutView="122" workbookViewId="0">
      <pane ySplit="3" topLeftCell="A1034" activePane="bottomLeft" state="frozen"/>
      <selection pane="bottomLeft" activeCell="C1048" sqref="C1048"/>
    </sheetView>
  </sheetViews>
  <sheetFormatPr defaultRowHeight="14.4" x14ac:dyDescent="0.3"/>
  <cols>
    <col min="1" max="1" width="12" customWidth="1"/>
    <col min="2" max="2" width="17.5546875" customWidth="1"/>
    <col min="3" max="3" width="22.88671875" bestFit="1" customWidth="1"/>
    <col min="4" max="4" width="22.88671875" customWidth="1"/>
    <col min="5" max="5" width="17.5546875" customWidth="1"/>
    <col min="6" max="6" width="20.44140625" customWidth="1"/>
    <col min="7" max="7" width="22.88671875" hidden="1" customWidth="1"/>
    <col min="8" max="8" width="19.88671875" hidden="1" customWidth="1"/>
    <col min="9" max="9" width="21.88671875" style="9" customWidth="1"/>
    <col min="10" max="10" width="19.109375" style="9" customWidth="1"/>
    <col min="11" max="11" width="24.6640625" style="9" customWidth="1"/>
    <col min="12" max="12" width="19.44140625" customWidth="1"/>
    <col min="13" max="13" width="14.33203125" customWidth="1"/>
  </cols>
  <sheetData>
    <row r="1" spans="1:9" ht="52.2" customHeight="1" thickBot="1" x14ac:dyDescent="0.35">
      <c r="A1" s="28" t="s">
        <v>0</v>
      </c>
      <c r="B1" s="100" t="s">
        <v>52</v>
      </c>
      <c r="C1" s="100" t="s">
        <v>53</v>
      </c>
      <c r="D1" s="28" t="s">
        <v>0</v>
      </c>
      <c r="E1" s="101" t="s">
        <v>54</v>
      </c>
      <c r="F1" s="101" t="s">
        <v>55</v>
      </c>
    </row>
    <row r="2" spans="1:9" ht="21" x14ac:dyDescent="0.4">
      <c r="A2" s="104"/>
      <c r="B2" s="105"/>
      <c r="C2" s="107">
        <f>+E3-B3</f>
        <v>-958094946.57399964</v>
      </c>
      <c r="D2" s="197">
        <f>+C2/12150</f>
        <v>-78855.551158353876</v>
      </c>
      <c r="E2" s="105"/>
      <c r="F2" s="106"/>
      <c r="G2" s="99" t="s">
        <v>51</v>
      </c>
      <c r="H2" s="51">
        <f>+B3</f>
        <v>2905398055</v>
      </c>
      <c r="I2" s="9" t="s">
        <v>1701</v>
      </c>
    </row>
    <row r="3" spans="1:9" ht="21.6" thickBot="1" x14ac:dyDescent="0.45">
      <c r="A3" s="102"/>
      <c r="B3" s="103">
        <f>+SUM(B4:B9995)</f>
        <v>2905398055</v>
      </c>
      <c r="C3" s="103">
        <v>342442112</v>
      </c>
      <c r="D3" s="196"/>
      <c r="E3" s="103">
        <f>+SUM(E4:E9995)</f>
        <v>1947303108.4260004</v>
      </c>
      <c r="F3" s="103"/>
      <c r="G3" s="52" t="s">
        <v>57</v>
      </c>
      <c r="H3" s="62" t="e">
        <f>+#REF!-H2</f>
        <v>#REF!</v>
      </c>
    </row>
    <row r="4" spans="1:9" hidden="1" x14ac:dyDescent="0.3">
      <c r="A4" s="1">
        <v>46053</v>
      </c>
      <c r="B4" s="4">
        <v>342442112</v>
      </c>
      <c r="C4" s="75" t="s">
        <v>110</v>
      </c>
      <c r="D4" s="75"/>
      <c r="E4" s="4">
        <v>89000000</v>
      </c>
      <c r="F4" s="75" t="s">
        <v>126</v>
      </c>
    </row>
    <row r="5" spans="1:9" hidden="1" x14ac:dyDescent="0.3">
      <c r="A5" s="1"/>
      <c r="B5" s="4">
        <v>955000</v>
      </c>
      <c r="C5" s="75" t="s">
        <v>119</v>
      </c>
      <c r="D5" s="75"/>
      <c r="E5" s="4">
        <v>3000000</v>
      </c>
      <c r="F5" s="75" t="s">
        <v>127</v>
      </c>
    </row>
    <row r="6" spans="1:9" hidden="1" x14ac:dyDescent="0.3">
      <c r="A6" s="1"/>
      <c r="B6" s="4">
        <v>1270000</v>
      </c>
      <c r="C6" s="75" t="s">
        <v>120</v>
      </c>
      <c r="D6" s="75"/>
      <c r="E6" s="4">
        <v>2100000</v>
      </c>
      <c r="F6" s="75" t="s">
        <v>130</v>
      </c>
    </row>
    <row r="7" spans="1:9" hidden="1" x14ac:dyDescent="0.3">
      <c r="A7" s="1"/>
      <c r="B7" s="4">
        <f>1250*12150</f>
        <v>15187500</v>
      </c>
      <c r="C7" s="75" t="s">
        <v>128</v>
      </c>
      <c r="D7" s="75"/>
      <c r="E7" s="4">
        <v>38900000</v>
      </c>
      <c r="F7" s="75" t="s">
        <v>131</v>
      </c>
    </row>
    <row r="8" spans="1:9" hidden="1" x14ac:dyDescent="0.3">
      <c r="A8" s="1"/>
      <c r="B8" s="75">
        <f>1200*12150</f>
        <v>14580000</v>
      </c>
      <c r="C8" s="75" t="s">
        <v>129</v>
      </c>
      <c r="D8" s="75"/>
      <c r="E8" s="4">
        <v>1700000</v>
      </c>
      <c r="F8" s="75" t="s">
        <v>132</v>
      </c>
    </row>
    <row r="9" spans="1:9" hidden="1" x14ac:dyDescent="0.3">
      <c r="A9" s="1"/>
      <c r="B9" s="75">
        <v>200000</v>
      </c>
      <c r="C9" s="75" t="s">
        <v>133</v>
      </c>
      <c r="D9" s="75"/>
      <c r="E9" s="4">
        <v>1300000</v>
      </c>
      <c r="F9" s="75" t="s">
        <v>121</v>
      </c>
    </row>
    <row r="10" spans="1:9" hidden="1" x14ac:dyDescent="0.3">
      <c r="A10" s="1"/>
      <c r="B10" s="4">
        <v>200000</v>
      </c>
      <c r="C10" s="75" t="s">
        <v>134</v>
      </c>
      <c r="D10" s="75"/>
      <c r="E10" s="4">
        <v>6000000</v>
      </c>
      <c r="F10" s="75" t="s">
        <v>129</v>
      </c>
    </row>
    <row r="11" spans="1:9" hidden="1" x14ac:dyDescent="0.3">
      <c r="A11" s="1"/>
      <c r="B11" s="4">
        <v>200000</v>
      </c>
      <c r="C11" s="75" t="s">
        <v>136</v>
      </c>
      <c r="D11" s="75"/>
      <c r="E11" s="4">
        <v>1035360</v>
      </c>
      <c r="F11" s="75" t="s">
        <v>139</v>
      </c>
    </row>
    <row r="12" spans="1:9" hidden="1" x14ac:dyDescent="0.3">
      <c r="A12" s="1"/>
      <c r="B12" s="4">
        <v>2500000</v>
      </c>
      <c r="C12" s="75" t="s">
        <v>137</v>
      </c>
      <c r="D12" s="75"/>
      <c r="E12" s="4"/>
      <c r="F12" s="75"/>
    </row>
    <row r="13" spans="1:9" hidden="1" x14ac:dyDescent="0.3">
      <c r="A13" s="1"/>
      <c r="B13" s="4">
        <v>1000000</v>
      </c>
      <c r="C13" s="75" t="s">
        <v>138</v>
      </c>
      <c r="D13" s="75"/>
      <c r="E13" s="4"/>
      <c r="F13" s="75"/>
    </row>
    <row r="14" spans="1:9" hidden="1" x14ac:dyDescent="0.3">
      <c r="A14" s="1" t="s">
        <v>135</v>
      </c>
      <c r="B14" s="4">
        <v>12000000</v>
      </c>
      <c r="C14" s="75" t="s">
        <v>112</v>
      </c>
      <c r="D14" s="75"/>
      <c r="E14" s="4">
        <f>63570*50</f>
        <v>3178500</v>
      </c>
      <c r="F14" s="75" t="s">
        <v>145</v>
      </c>
    </row>
    <row r="15" spans="1:9" hidden="1" x14ac:dyDescent="0.3">
      <c r="A15" s="1"/>
      <c r="B15" s="4">
        <v>1400000</v>
      </c>
      <c r="C15" s="75" t="s">
        <v>113</v>
      </c>
      <c r="D15" s="75"/>
      <c r="E15" s="4">
        <v>900000</v>
      </c>
      <c r="F15" s="75" t="s">
        <v>146</v>
      </c>
    </row>
    <row r="16" spans="1:9" hidden="1" x14ac:dyDescent="0.3">
      <c r="A16" s="1"/>
      <c r="B16" s="4">
        <v>1205655</v>
      </c>
      <c r="C16" s="75" t="s">
        <v>150</v>
      </c>
      <c r="D16" s="75"/>
      <c r="E16" s="4">
        <v>800000</v>
      </c>
      <c r="F16" s="75" t="s">
        <v>130</v>
      </c>
    </row>
    <row r="17" spans="1:7" hidden="1" x14ac:dyDescent="0.3">
      <c r="A17" s="1" t="s">
        <v>153</v>
      </c>
      <c r="B17" s="4">
        <v>500000</v>
      </c>
      <c r="C17" s="75" t="s">
        <v>154</v>
      </c>
      <c r="D17" s="75"/>
      <c r="E17" s="4">
        <v>400000</v>
      </c>
      <c r="F17" s="75" t="s">
        <v>148</v>
      </c>
    </row>
    <row r="18" spans="1:7" hidden="1" x14ac:dyDescent="0.3">
      <c r="A18" s="1"/>
      <c r="B18" s="4">
        <v>900000</v>
      </c>
      <c r="C18" s="75" t="s">
        <v>114</v>
      </c>
      <c r="D18" s="75"/>
      <c r="E18" s="4">
        <f>5000*2900</f>
        <v>14500000</v>
      </c>
      <c r="F18" s="75" t="s">
        <v>160</v>
      </c>
    </row>
    <row r="19" spans="1:7" hidden="1" x14ac:dyDescent="0.3">
      <c r="A19" s="1"/>
      <c r="B19" s="4">
        <v>700000</v>
      </c>
      <c r="C19" s="75" t="s">
        <v>161</v>
      </c>
      <c r="D19" s="75"/>
      <c r="E19" s="4">
        <v>1400000</v>
      </c>
      <c r="F19" s="75" t="s">
        <v>162</v>
      </c>
    </row>
    <row r="20" spans="1:7" hidden="1" x14ac:dyDescent="0.3">
      <c r="A20" s="1"/>
      <c r="B20" s="4">
        <f>321604+88500</f>
        <v>410104</v>
      </c>
      <c r="C20" s="75" t="s">
        <v>167</v>
      </c>
      <c r="D20" s="75"/>
      <c r="E20" s="4">
        <v>800000</v>
      </c>
      <c r="F20" s="75" t="s">
        <v>163</v>
      </c>
    </row>
    <row r="21" spans="1:7" hidden="1" x14ac:dyDescent="0.3">
      <c r="A21" s="1"/>
      <c r="B21" s="4">
        <v>1000000</v>
      </c>
      <c r="C21" s="75" t="s">
        <v>168</v>
      </c>
      <c r="D21" s="75"/>
      <c r="E21" s="4">
        <v>900000</v>
      </c>
      <c r="F21" s="75" t="s">
        <v>164</v>
      </c>
    </row>
    <row r="22" spans="1:7" hidden="1" x14ac:dyDescent="0.3">
      <c r="A22" s="1"/>
      <c r="B22" s="4">
        <v>2400000</v>
      </c>
      <c r="C22" s="75" t="s">
        <v>169</v>
      </c>
      <c r="D22" s="75"/>
      <c r="E22" s="4">
        <f>5000*250</f>
        <v>1250000</v>
      </c>
      <c r="F22" s="75" t="s">
        <v>165</v>
      </c>
      <c r="G22" s="9"/>
    </row>
    <row r="23" spans="1:7" hidden="1" x14ac:dyDescent="0.3">
      <c r="A23" s="1"/>
      <c r="B23" s="4"/>
      <c r="C23" s="75"/>
      <c r="D23" s="75"/>
      <c r="E23" s="4">
        <f>8244*100</f>
        <v>824400</v>
      </c>
      <c r="F23" s="75" t="s">
        <v>166</v>
      </c>
    </row>
    <row r="24" spans="1:7" hidden="1" x14ac:dyDescent="0.3">
      <c r="A24" s="1" t="s">
        <v>170</v>
      </c>
      <c r="B24" s="4">
        <v>150000</v>
      </c>
      <c r="C24" s="75" t="s">
        <v>191</v>
      </c>
      <c r="D24" s="75"/>
      <c r="E24" s="4">
        <v>800000</v>
      </c>
      <c r="F24" s="75" t="s">
        <v>183</v>
      </c>
    </row>
    <row r="25" spans="1:7" hidden="1" x14ac:dyDescent="0.3">
      <c r="A25" s="1"/>
      <c r="B25" s="4">
        <v>800000</v>
      </c>
      <c r="C25" s="75" t="s">
        <v>192</v>
      </c>
      <c r="D25" s="75"/>
      <c r="E25" s="4">
        <v>1400000</v>
      </c>
      <c r="F25" s="75" t="s">
        <v>184</v>
      </c>
    </row>
    <row r="26" spans="1:7" hidden="1" x14ac:dyDescent="0.3">
      <c r="A26" s="1"/>
      <c r="B26" s="4">
        <v>200000</v>
      </c>
      <c r="C26" s="75" t="s">
        <v>193</v>
      </c>
      <c r="D26" s="75"/>
      <c r="E26" s="4">
        <v>3500000</v>
      </c>
      <c r="F26" s="75" t="s">
        <v>185</v>
      </c>
    </row>
    <row r="27" spans="1:7" hidden="1" x14ac:dyDescent="0.3">
      <c r="A27" s="1"/>
      <c r="B27" s="4">
        <v>750000</v>
      </c>
      <c r="C27" s="75" t="s">
        <v>194</v>
      </c>
      <c r="D27" s="75"/>
      <c r="E27" s="4">
        <v>400000</v>
      </c>
      <c r="F27" s="75" t="s">
        <v>186</v>
      </c>
    </row>
    <row r="28" spans="1:7" hidden="1" x14ac:dyDescent="0.3">
      <c r="A28" s="1"/>
      <c r="B28" s="4">
        <v>400000</v>
      </c>
      <c r="C28" s="75" t="s">
        <v>196</v>
      </c>
      <c r="D28" s="75"/>
      <c r="E28" s="4">
        <v>800000</v>
      </c>
      <c r="F28" s="75" t="s">
        <v>187</v>
      </c>
    </row>
    <row r="29" spans="1:7" hidden="1" x14ac:dyDescent="0.3">
      <c r="A29" s="1"/>
      <c r="B29" s="4">
        <v>190000</v>
      </c>
      <c r="C29" s="75" t="s">
        <v>197</v>
      </c>
      <c r="D29" s="75"/>
      <c r="E29" s="4">
        <v>620000</v>
      </c>
      <c r="F29" s="75" t="s">
        <v>188</v>
      </c>
    </row>
    <row r="30" spans="1:7" hidden="1" x14ac:dyDescent="0.3">
      <c r="A30" s="1"/>
      <c r="B30" s="4">
        <f>272671+224905</f>
        <v>497576</v>
      </c>
      <c r="C30" s="75" t="s">
        <v>198</v>
      </c>
      <c r="D30" s="76"/>
      <c r="E30" s="5">
        <v>1900000</v>
      </c>
      <c r="F30" s="76" t="s">
        <v>189</v>
      </c>
    </row>
    <row r="31" spans="1:7" hidden="1" x14ac:dyDescent="0.3">
      <c r="A31" s="1"/>
      <c r="B31" s="4"/>
      <c r="C31" s="75"/>
      <c r="D31" s="76"/>
      <c r="E31" s="5">
        <v>502111</v>
      </c>
      <c r="F31" s="76" t="s">
        <v>190</v>
      </c>
    </row>
    <row r="32" spans="1:7" hidden="1" x14ac:dyDescent="0.3">
      <c r="A32" s="1"/>
      <c r="B32" s="4"/>
      <c r="C32" s="75"/>
      <c r="D32" s="76"/>
      <c r="E32" s="5">
        <v>1880000</v>
      </c>
      <c r="F32" s="76" t="s">
        <v>195</v>
      </c>
    </row>
    <row r="33" spans="1:6" hidden="1" x14ac:dyDescent="0.3">
      <c r="A33" s="1" t="s">
        <v>199</v>
      </c>
      <c r="B33" s="4">
        <v>300000</v>
      </c>
      <c r="C33" s="75" t="s">
        <v>214</v>
      </c>
      <c r="D33" s="76"/>
      <c r="E33" s="5">
        <v>600000</v>
      </c>
      <c r="F33" s="76" t="s">
        <v>208</v>
      </c>
    </row>
    <row r="34" spans="1:6" hidden="1" x14ac:dyDescent="0.3">
      <c r="A34" s="1"/>
      <c r="B34" s="4">
        <v>100000</v>
      </c>
      <c r="C34" s="75" t="s">
        <v>215</v>
      </c>
      <c r="D34" s="76"/>
      <c r="E34" s="5">
        <v>900000</v>
      </c>
      <c r="F34" s="76" t="s">
        <v>209</v>
      </c>
    </row>
    <row r="35" spans="1:6" hidden="1" x14ac:dyDescent="0.3">
      <c r="A35" s="1"/>
      <c r="B35" s="4">
        <v>100000</v>
      </c>
      <c r="C35" s="75" t="s">
        <v>216</v>
      </c>
      <c r="D35" s="76"/>
      <c r="E35" s="5">
        <v>700000</v>
      </c>
      <c r="F35" s="76" t="s">
        <v>210</v>
      </c>
    </row>
    <row r="36" spans="1:6" hidden="1" x14ac:dyDescent="0.3">
      <c r="A36" s="1"/>
      <c r="B36" s="4">
        <f>1320*12250</f>
        <v>16170000</v>
      </c>
      <c r="C36" s="75" t="s">
        <v>217</v>
      </c>
      <c r="D36" s="76"/>
      <c r="E36" s="5">
        <v>600000</v>
      </c>
      <c r="F36" s="76" t="s">
        <v>211</v>
      </c>
    </row>
    <row r="37" spans="1:6" hidden="1" x14ac:dyDescent="0.3">
      <c r="A37" s="1"/>
      <c r="B37" s="4">
        <v>12200000</v>
      </c>
      <c r="C37" s="75" t="s">
        <v>218</v>
      </c>
      <c r="D37" s="76"/>
      <c r="E37" s="5">
        <v>2900000</v>
      </c>
      <c r="F37" s="76" t="s">
        <v>212</v>
      </c>
    </row>
    <row r="38" spans="1:6" hidden="1" x14ac:dyDescent="0.3">
      <c r="A38" s="1"/>
      <c r="B38" s="4"/>
      <c r="C38" s="75"/>
      <c r="D38" s="76"/>
      <c r="E38" s="5">
        <v>400000</v>
      </c>
      <c r="F38" s="76" t="s">
        <v>213</v>
      </c>
    </row>
    <row r="39" spans="1:6" hidden="1" x14ac:dyDescent="0.3">
      <c r="A39" s="1" t="s">
        <v>219</v>
      </c>
      <c r="B39" s="4">
        <f>7541*3000</f>
        <v>22623000</v>
      </c>
      <c r="C39" s="75" t="s">
        <v>233</v>
      </c>
      <c r="D39" s="76"/>
      <c r="E39" s="5">
        <f>+'тура ака'!Q28</f>
        <v>1147490</v>
      </c>
      <c r="F39" s="76" t="str">
        <f>+'тура ака'!E28</f>
        <v xml:space="preserve">996 ТУР МЯХКИ </v>
      </c>
    </row>
    <row r="40" spans="1:6" hidden="1" x14ac:dyDescent="0.3">
      <c r="A40" s="1"/>
      <c r="B40" s="4">
        <v>100000</v>
      </c>
      <c r="C40" s="75" t="s">
        <v>234</v>
      </c>
      <c r="D40" s="76"/>
      <c r="E40" s="5">
        <f>+'тура ака'!Q29</f>
        <v>661538</v>
      </c>
      <c r="F40" s="76" t="str">
        <f>+'тура ака'!E29</f>
        <v>384 бекобод</v>
      </c>
    </row>
    <row r="41" spans="1:6" hidden="1" x14ac:dyDescent="0.3">
      <c r="A41" s="1"/>
      <c r="B41" s="4">
        <v>400000</v>
      </c>
      <c r="C41" s="75" t="s">
        <v>235</v>
      </c>
      <c r="D41" s="76"/>
      <c r="E41" s="5">
        <f>+'тура ака'!Q30</f>
        <v>896340</v>
      </c>
      <c r="F41" s="76" t="str">
        <f>+'тура ака'!E30</f>
        <v>537 мяхки комил</v>
      </c>
    </row>
    <row r="42" spans="1:6" hidden="1" x14ac:dyDescent="0.3">
      <c r="A42" s="1"/>
      <c r="B42" s="4">
        <v>200000</v>
      </c>
      <c r="C42" s="75" t="s">
        <v>236</v>
      </c>
      <c r="D42" s="76"/>
      <c r="E42" s="5">
        <f>+'тура ака'!Q31</f>
        <v>1022580.0000000037</v>
      </c>
      <c r="F42" s="76" t="str">
        <f>+'тура ака'!E31</f>
        <v>377 мяхки рометан</v>
      </c>
    </row>
    <row r="43" spans="1:6" hidden="1" x14ac:dyDescent="0.3">
      <c r="A43" s="1"/>
      <c r="B43" s="4">
        <v>200000</v>
      </c>
      <c r="C43" s="75" t="s">
        <v>237</v>
      </c>
      <c r="D43" s="76"/>
      <c r="E43" s="5">
        <f>+'тура ака'!Q32</f>
        <v>2009150</v>
      </c>
      <c r="F43" s="76" t="str">
        <f>+'тура ака'!E32</f>
        <v>714 бекобод жамил</v>
      </c>
    </row>
    <row r="44" spans="1:6" hidden="1" x14ac:dyDescent="0.3">
      <c r="A44" s="1"/>
      <c r="B44" s="4">
        <v>200000</v>
      </c>
      <c r="C44" s="75" t="s">
        <v>238</v>
      </c>
      <c r="D44" s="76"/>
      <c r="E44" s="5">
        <v>1800000</v>
      </c>
      <c r="F44" s="76" t="s">
        <v>31</v>
      </c>
    </row>
    <row r="45" spans="1:6" hidden="1" x14ac:dyDescent="0.3">
      <c r="A45" s="1"/>
      <c r="B45" s="75">
        <f>228*2900</f>
        <v>661200</v>
      </c>
      <c r="C45" s="75" t="s">
        <v>239</v>
      </c>
      <c r="D45" s="76"/>
      <c r="E45" s="5">
        <f>5000*2900</f>
        <v>14500000</v>
      </c>
      <c r="F45" s="76" t="s">
        <v>241</v>
      </c>
    </row>
    <row r="46" spans="1:6" hidden="1" x14ac:dyDescent="0.3">
      <c r="A46" s="1"/>
      <c r="B46" s="4">
        <v>200000</v>
      </c>
      <c r="C46" s="75" t="s">
        <v>240</v>
      </c>
      <c r="D46" s="76"/>
      <c r="E46" s="5">
        <f>+'тура ака'!Q35</f>
        <v>850700</v>
      </c>
      <c r="F46" s="76" t="str">
        <f>+'тура ака'!E35</f>
        <v>999 бекобод жамил</v>
      </c>
    </row>
    <row r="47" spans="1:6" hidden="1" x14ac:dyDescent="0.3">
      <c r="A47" s="1"/>
      <c r="B47" s="4">
        <f>100*12200</f>
        <v>1220000</v>
      </c>
      <c r="C47" s="75" t="s">
        <v>243</v>
      </c>
      <c r="D47" s="76"/>
      <c r="E47" s="5">
        <f>+'тура ака'!Q36</f>
        <v>835080</v>
      </c>
      <c r="F47" s="76" t="str">
        <f>+'тура ака'!E36</f>
        <v>698 мяхк ислом</v>
      </c>
    </row>
    <row r="48" spans="1:6" hidden="1" x14ac:dyDescent="0.3">
      <c r="A48" s="1"/>
      <c r="B48" s="4">
        <v>777011</v>
      </c>
      <c r="C48" s="75" t="s">
        <v>269</v>
      </c>
      <c r="D48" s="76"/>
      <c r="E48" s="5">
        <v>1</v>
      </c>
      <c r="F48" s="76">
        <f>+'тура ака'!E37</f>
        <v>0</v>
      </c>
    </row>
    <row r="49" spans="1:6" hidden="1" x14ac:dyDescent="0.3">
      <c r="A49" s="1"/>
      <c r="B49" s="4">
        <v>1267000</v>
      </c>
      <c r="C49" s="75" t="s">
        <v>248</v>
      </c>
      <c r="D49" s="76"/>
      <c r="E49" s="5">
        <v>1</v>
      </c>
      <c r="F49" s="76">
        <f>+'тура ака'!E38</f>
        <v>0</v>
      </c>
    </row>
    <row r="50" spans="1:6" hidden="1" x14ac:dyDescent="0.3">
      <c r="A50" s="1"/>
      <c r="B50" s="4">
        <v>858000</v>
      </c>
      <c r="C50" s="75" t="s">
        <v>249</v>
      </c>
      <c r="D50" s="76"/>
      <c r="E50" s="5">
        <v>1600000</v>
      </c>
      <c r="F50" s="76" t="s">
        <v>130</v>
      </c>
    </row>
    <row r="51" spans="1:6" hidden="1" x14ac:dyDescent="0.3">
      <c r="A51" s="1" t="s">
        <v>254</v>
      </c>
      <c r="B51" s="4">
        <v>4000000</v>
      </c>
      <c r="C51" s="75" t="s">
        <v>260</v>
      </c>
      <c r="D51" s="76"/>
      <c r="E51" s="5">
        <f>+'тура ака'!Q40</f>
        <v>0</v>
      </c>
      <c r="F51" s="76">
        <f>+'тура ака'!E40</f>
        <v>0</v>
      </c>
    </row>
    <row r="52" spans="1:6" hidden="1" x14ac:dyDescent="0.3">
      <c r="A52" s="1"/>
      <c r="B52" s="4">
        <v>400000</v>
      </c>
      <c r="C52" s="75" t="s">
        <v>154</v>
      </c>
      <c r="D52" s="76"/>
      <c r="E52" s="5">
        <f>+'тура ака'!Q41</f>
        <v>0</v>
      </c>
      <c r="F52" s="76">
        <f>+'тура ака'!E41</f>
        <v>0</v>
      </c>
    </row>
    <row r="53" spans="1:6" hidden="1" x14ac:dyDescent="0.3">
      <c r="A53" s="1"/>
      <c r="B53" s="4">
        <v>300000</v>
      </c>
      <c r="C53" s="75" t="s">
        <v>261</v>
      </c>
      <c r="D53" s="76"/>
      <c r="E53" s="5">
        <f>+'тура ака'!Q42</f>
        <v>-1095250</v>
      </c>
      <c r="F53" s="76" t="str">
        <f>+'тура ака'!E42</f>
        <v>413 прес</v>
      </c>
    </row>
    <row r="54" spans="1:6" hidden="1" x14ac:dyDescent="0.3">
      <c r="A54" s="1"/>
      <c r="B54" s="4">
        <v>300000</v>
      </c>
      <c r="C54" s="75" t="s">
        <v>262</v>
      </c>
      <c r="D54" s="76" t="s">
        <v>259</v>
      </c>
      <c r="E54" s="5">
        <f>+'тура ака'!Q43</f>
        <v>2582120</v>
      </c>
      <c r="F54" s="76" t="str">
        <f>+'тура ака'!E43</f>
        <v>642 мяхк ром</v>
      </c>
    </row>
    <row r="55" spans="1:6" hidden="1" x14ac:dyDescent="0.3">
      <c r="A55" s="1"/>
      <c r="B55" s="4">
        <v>100000</v>
      </c>
      <c r="C55" s="75" t="s">
        <v>263</v>
      </c>
      <c r="D55" s="76"/>
      <c r="E55" s="5"/>
      <c r="F55" s="76">
        <f>+'тура ака'!E44</f>
        <v>0</v>
      </c>
    </row>
    <row r="56" spans="1:6" hidden="1" x14ac:dyDescent="0.3">
      <c r="A56" s="1"/>
      <c r="B56" s="4">
        <v>3660000</v>
      </c>
      <c r="C56" s="75" t="s">
        <v>218</v>
      </c>
      <c r="D56" s="76"/>
      <c r="E56" s="5">
        <f>+'тура ака'!Q45</f>
        <v>1139030</v>
      </c>
      <c r="F56" s="76" t="str">
        <f>+'тура ака'!E45</f>
        <v>264 мяхк шамс</v>
      </c>
    </row>
    <row r="57" spans="1:6" hidden="1" x14ac:dyDescent="0.3">
      <c r="A57" s="1"/>
      <c r="B57" s="4">
        <v>4200000</v>
      </c>
      <c r="C57" s="75" t="s">
        <v>264</v>
      </c>
      <c r="D57" s="76"/>
      <c r="E57" s="5">
        <f>+'тура ака'!Q46</f>
        <v>721540.00000000745</v>
      </c>
      <c r="F57" s="76" t="str">
        <f>+'тура ака'!E46</f>
        <v>057 пешку жамил</v>
      </c>
    </row>
    <row r="58" spans="1:6" hidden="1" x14ac:dyDescent="0.3">
      <c r="A58" s="1"/>
      <c r="B58" s="4">
        <v>1000000</v>
      </c>
      <c r="C58" s="75" t="s">
        <v>192</v>
      </c>
      <c r="D58" s="76"/>
      <c r="E58" s="5">
        <v>5500000</v>
      </c>
      <c r="F58" s="76" t="s">
        <v>129</v>
      </c>
    </row>
    <row r="59" spans="1:6" hidden="1" x14ac:dyDescent="0.3">
      <c r="A59" s="1"/>
      <c r="B59" s="4">
        <v>300000</v>
      </c>
      <c r="C59" s="75" t="s">
        <v>214</v>
      </c>
      <c r="D59" s="76" t="s">
        <v>270</v>
      </c>
      <c r="E59" s="5">
        <f>+'тура ака'!Q47</f>
        <v>1547240</v>
      </c>
      <c r="F59" s="76" t="str">
        <f>+'тура ака'!E47</f>
        <v>074 мяхки нов</v>
      </c>
    </row>
    <row r="60" spans="1:6" hidden="1" x14ac:dyDescent="0.3">
      <c r="A60" s="1"/>
      <c r="B60" s="4">
        <v>737651</v>
      </c>
      <c r="C60" s="75" t="s">
        <v>244</v>
      </c>
      <c r="D60" s="76"/>
      <c r="E60" s="5">
        <f>6000*250</f>
        <v>1500000</v>
      </c>
      <c r="F60" s="76" t="s">
        <v>272</v>
      </c>
    </row>
    <row r="61" spans="1:6" hidden="1" x14ac:dyDescent="0.3">
      <c r="A61" s="1" t="s">
        <v>270</v>
      </c>
      <c r="B61" s="4">
        <v>940000</v>
      </c>
      <c r="C61" s="75" t="s">
        <v>273</v>
      </c>
      <c r="D61" s="76"/>
      <c r="E61" s="5">
        <f>+'тура ака'!Q49</f>
        <v>913587.5</v>
      </c>
      <c r="F61" s="76" t="str">
        <f>+'тура ака'!E49</f>
        <v>445 чугун тур бекобод</v>
      </c>
    </row>
    <row r="62" spans="1:6" hidden="1" x14ac:dyDescent="0.3">
      <c r="A62" s="1"/>
      <c r="B62" s="4">
        <v>500000</v>
      </c>
      <c r="C62" s="75" t="s">
        <v>120</v>
      </c>
      <c r="D62" s="76"/>
      <c r="E62" s="5">
        <f>+'тура ака'!Q50</f>
        <v>937437.5</v>
      </c>
      <c r="F62" s="76" t="str">
        <f>+'тура ака'!E50</f>
        <v>188 чугун тур бекобод</v>
      </c>
    </row>
    <row r="63" spans="1:6" hidden="1" x14ac:dyDescent="0.3">
      <c r="A63" s="1"/>
      <c r="B63" s="4">
        <v>300000</v>
      </c>
      <c r="C63" s="75" t="s">
        <v>234</v>
      </c>
      <c r="D63" s="76"/>
      <c r="E63" s="5">
        <f>+'тура ака'!Q51</f>
        <v>1958300</v>
      </c>
      <c r="F63" s="76" t="str">
        <f>+'тура ака'!E51</f>
        <v>384 мяхк когон</v>
      </c>
    </row>
    <row r="64" spans="1:6" hidden="1" x14ac:dyDescent="0.3">
      <c r="A64" s="1"/>
      <c r="B64" s="4">
        <v>785000</v>
      </c>
      <c r="C64" s="75" t="s">
        <v>282</v>
      </c>
      <c r="D64" s="76"/>
      <c r="E64" s="5">
        <v>15000000</v>
      </c>
      <c r="F64" s="76" t="s">
        <v>281</v>
      </c>
    </row>
    <row r="65" spans="1:6" hidden="1" x14ac:dyDescent="0.3">
      <c r="A65" s="1"/>
      <c r="B65" s="4">
        <v>400000</v>
      </c>
      <c r="C65" s="75" t="s">
        <v>283</v>
      </c>
      <c r="D65" s="76"/>
      <c r="E65" s="5">
        <v>1800000</v>
      </c>
      <c r="F65" s="76" t="s">
        <v>130</v>
      </c>
    </row>
    <row r="66" spans="1:6" hidden="1" x14ac:dyDescent="0.3">
      <c r="A66" s="1"/>
      <c r="B66" s="4">
        <v>500000</v>
      </c>
      <c r="C66" s="75" t="s">
        <v>284</v>
      </c>
      <c r="D66" s="76"/>
      <c r="E66" s="5">
        <v>1000000</v>
      </c>
      <c r="F66" s="76" t="s">
        <v>285</v>
      </c>
    </row>
    <row r="67" spans="1:6" hidden="1" x14ac:dyDescent="0.3">
      <c r="A67" s="1"/>
      <c r="B67" s="4">
        <v>200000</v>
      </c>
      <c r="C67" s="75" t="s">
        <v>286</v>
      </c>
      <c r="D67" s="76" t="s">
        <v>288</v>
      </c>
      <c r="E67" s="5">
        <f>+'тура ака'!Q55</f>
        <v>750680.00000000373</v>
      </c>
      <c r="F67" s="76" t="str">
        <f>+'тура ака'!E55</f>
        <v>532 тур мяхки</v>
      </c>
    </row>
    <row r="68" spans="1:6" hidden="1" x14ac:dyDescent="0.3">
      <c r="A68" s="1"/>
      <c r="B68" s="4">
        <v>217360</v>
      </c>
      <c r="C68" s="75" t="s">
        <v>287</v>
      </c>
      <c r="D68" s="76"/>
      <c r="E68" s="5">
        <f>+'тура ака'!Q56</f>
        <v>2182230</v>
      </c>
      <c r="F68" s="76" t="str">
        <f>+'тура ака'!E56</f>
        <v>996 мяхк ой</v>
      </c>
    </row>
    <row r="69" spans="1:6" hidden="1" x14ac:dyDescent="0.3">
      <c r="A69" s="1" t="s">
        <v>288</v>
      </c>
      <c r="B69" s="4">
        <v>9300000</v>
      </c>
      <c r="C69" s="75" t="s">
        <v>292</v>
      </c>
      <c r="D69" s="76" t="s">
        <v>296</v>
      </c>
      <c r="E69" s="5">
        <f>+'тура ака'!Q57</f>
        <v>1886760</v>
      </c>
      <c r="F69" s="76" t="str">
        <f>+'тура ака'!E57</f>
        <v>187 КОГОН МЯХИ</v>
      </c>
    </row>
    <row r="70" spans="1:6" hidden="1" x14ac:dyDescent="0.3">
      <c r="A70" s="1"/>
      <c r="B70" s="4">
        <v>2450000</v>
      </c>
      <c r="C70" s="75" t="s">
        <v>293</v>
      </c>
      <c r="D70" s="76"/>
      <c r="E70" s="5">
        <f>+'тура ака'!Q58</f>
        <v>1359575</v>
      </c>
      <c r="F70" s="76" t="str">
        <f>+'тура ака'!E58</f>
        <v>184 ЧУГУН НИЗОМ</v>
      </c>
    </row>
    <row r="71" spans="1:6" hidden="1" x14ac:dyDescent="0.3">
      <c r="A71" s="1"/>
      <c r="B71" s="4">
        <v>200000</v>
      </c>
      <c r="C71" s="75" t="s">
        <v>294</v>
      </c>
      <c r="D71" s="76" t="s">
        <v>302</v>
      </c>
      <c r="E71" s="5">
        <f>+'тура ака'!Q59</f>
        <v>1719860</v>
      </c>
      <c r="F71" s="76" t="str">
        <f>+'тура ака'!E59</f>
        <v>229 мяхки фармон</v>
      </c>
    </row>
    <row r="72" spans="1:6" hidden="1" x14ac:dyDescent="0.3">
      <c r="A72" s="1"/>
      <c r="B72" s="4">
        <v>330000</v>
      </c>
      <c r="C72" s="75" t="s">
        <v>261</v>
      </c>
      <c r="D72" s="76"/>
      <c r="E72" s="5">
        <f>+'тура ака'!Q60</f>
        <v>900900</v>
      </c>
      <c r="F72" s="76" t="str">
        <f>+'тура ака'!E60</f>
        <v>368 мяхк бобир</v>
      </c>
    </row>
    <row r="73" spans="1:6" hidden="1" x14ac:dyDescent="0.3">
      <c r="A73" s="1" t="s">
        <v>296</v>
      </c>
      <c r="B73" s="4">
        <v>10000000</v>
      </c>
      <c r="C73" s="75" t="s">
        <v>299</v>
      </c>
      <c r="D73" s="76"/>
      <c r="E73" s="5">
        <f>+'тура ака'!Q61</f>
        <v>1212260</v>
      </c>
      <c r="F73" s="76" t="str">
        <f>+'тура ака'!E61</f>
        <v>886 мяхки жамил</v>
      </c>
    </row>
    <row r="74" spans="1:6" hidden="1" x14ac:dyDescent="0.3">
      <c r="A74" s="1"/>
      <c r="B74" s="4">
        <v>300000</v>
      </c>
      <c r="C74" s="75" t="s">
        <v>283</v>
      </c>
      <c r="D74" s="76"/>
      <c r="E74" s="5">
        <f>+'тура ака'!Q62</f>
        <v>2009000</v>
      </c>
      <c r="F74" s="76" t="str">
        <f>+'тура ака'!E62</f>
        <v>266 мяхки ислом</v>
      </c>
    </row>
    <row r="75" spans="1:6" hidden="1" x14ac:dyDescent="0.3">
      <c r="A75" s="1"/>
      <c r="B75" s="75">
        <v>100000</v>
      </c>
      <c r="C75" s="75" t="s">
        <v>301</v>
      </c>
      <c r="D75" s="76"/>
      <c r="E75" s="5">
        <f>+'тура ака'!Q63</f>
        <v>869710</v>
      </c>
      <c r="F75" s="76" t="str">
        <f>+'тура ака'!E63</f>
        <v>264 мяхк тур</v>
      </c>
    </row>
    <row r="76" spans="1:6" hidden="1" x14ac:dyDescent="0.3">
      <c r="A76" s="1" t="s">
        <v>302</v>
      </c>
      <c r="B76" s="4">
        <v>3450000</v>
      </c>
      <c r="C76" s="75" t="s">
        <v>313</v>
      </c>
      <c r="D76" s="76"/>
      <c r="E76" s="5">
        <v>1400000</v>
      </c>
      <c r="F76" s="76" t="s">
        <v>318</v>
      </c>
    </row>
    <row r="77" spans="1:6" hidden="1" x14ac:dyDescent="0.3">
      <c r="A77" s="1"/>
      <c r="B77" s="4">
        <v>4000000</v>
      </c>
      <c r="C77" s="75" t="s">
        <v>314</v>
      </c>
      <c r="D77" s="76"/>
      <c r="E77" s="5">
        <v>9225236</v>
      </c>
      <c r="F77" s="76" t="s">
        <v>319</v>
      </c>
    </row>
    <row r="78" spans="1:6" hidden="1" x14ac:dyDescent="0.3">
      <c r="A78" s="1"/>
      <c r="B78" s="4">
        <v>6700000</v>
      </c>
      <c r="C78" s="75" t="s">
        <v>316</v>
      </c>
      <c r="D78" s="76" t="s">
        <v>320</v>
      </c>
      <c r="E78" s="5">
        <f>+'тура ака'!Q66</f>
        <v>679840</v>
      </c>
      <c r="F78" s="76" t="str">
        <f>+'тура ака'!E66</f>
        <v>377 мяхки пешку</v>
      </c>
    </row>
    <row r="79" spans="1:6" hidden="1" x14ac:dyDescent="0.3">
      <c r="A79" s="1"/>
      <c r="B79" s="4">
        <v>600000</v>
      </c>
      <c r="C79" s="75" t="s">
        <v>317</v>
      </c>
      <c r="D79" s="76"/>
      <c r="E79" s="5">
        <f>+'тура ака'!Q67</f>
        <v>1832000</v>
      </c>
      <c r="F79" s="76" t="str">
        <f>+'тура ака'!E67</f>
        <v>215 мяхк нодир</v>
      </c>
    </row>
    <row r="80" spans="1:6" hidden="1" x14ac:dyDescent="0.3">
      <c r="A80" s="1" t="s">
        <v>320</v>
      </c>
      <c r="B80" s="4">
        <v>1500000</v>
      </c>
      <c r="C80" s="75" t="s">
        <v>192</v>
      </c>
      <c r="D80" s="76"/>
      <c r="E80" s="5">
        <f>+'тура ака'!Q68</f>
        <v>438610</v>
      </c>
      <c r="F80" s="76" t="str">
        <f>+'тура ака'!E68</f>
        <v>999 мяхки нодир нов</v>
      </c>
    </row>
    <row r="81" spans="1:6" hidden="1" x14ac:dyDescent="0.3">
      <c r="A81" s="1"/>
      <c r="B81" s="4">
        <v>800000</v>
      </c>
      <c r="C81" s="75" t="s">
        <v>238</v>
      </c>
      <c r="D81" s="76"/>
      <c r="E81" s="5">
        <f>+'тура ака'!Q69</f>
        <v>1414020</v>
      </c>
      <c r="F81" s="76" t="str">
        <f>+'тура ака'!E69</f>
        <v>413 турон</v>
      </c>
    </row>
    <row r="82" spans="1:6" hidden="1" x14ac:dyDescent="0.3">
      <c r="A82" s="1"/>
      <c r="B82" s="4">
        <v>200000</v>
      </c>
      <c r="C82" s="75" t="s">
        <v>191</v>
      </c>
      <c r="D82" s="76"/>
      <c r="E82" s="5">
        <f>+'тура ака'!Q70</f>
        <v>233176</v>
      </c>
      <c r="F82" s="76" t="str">
        <f>+'тура ака'!E70</f>
        <v xml:space="preserve">698 бекобод ислом </v>
      </c>
    </row>
    <row r="83" spans="1:6" hidden="1" x14ac:dyDescent="0.3">
      <c r="A83" s="1"/>
      <c r="B83" s="4">
        <v>100000</v>
      </c>
      <c r="C83" s="75" t="s">
        <v>193</v>
      </c>
      <c r="D83" s="76"/>
      <c r="E83" s="5">
        <f>+'тура ака'!Q71</f>
        <v>581380</v>
      </c>
      <c r="F83" s="76" t="str">
        <f>+'тура ака'!E71</f>
        <v>574 бекобод</v>
      </c>
    </row>
    <row r="84" spans="1:6" hidden="1" x14ac:dyDescent="0.3">
      <c r="A84" s="1"/>
      <c r="B84" s="4">
        <f>773800+880</f>
        <v>774680</v>
      </c>
      <c r="C84" s="75" t="s">
        <v>139</v>
      </c>
      <c r="D84" s="76"/>
      <c r="E84" s="5">
        <v>700000</v>
      </c>
      <c r="F84" s="76" t="s">
        <v>130</v>
      </c>
    </row>
    <row r="85" spans="1:6" hidden="1" x14ac:dyDescent="0.3">
      <c r="A85" s="1" t="s">
        <v>332</v>
      </c>
      <c r="B85" s="4">
        <v>1000000</v>
      </c>
      <c r="C85" s="75" t="s">
        <v>273</v>
      </c>
      <c r="D85" s="76" t="s">
        <v>332</v>
      </c>
      <c r="E85" s="5">
        <f>+'тура ака'!Q73</f>
        <v>887250</v>
      </c>
      <c r="F85" s="76" t="str">
        <f>+'тура ака'!E73</f>
        <v>562  нодир мяхки</v>
      </c>
    </row>
    <row r="86" spans="1:6" hidden="1" x14ac:dyDescent="0.3">
      <c r="A86" s="1"/>
      <c r="B86" s="4">
        <v>200000</v>
      </c>
      <c r="C86" s="75" t="s">
        <v>191</v>
      </c>
      <c r="D86" s="76"/>
      <c r="E86" s="5">
        <f>+'тура ака'!Q74</f>
        <v>2121834</v>
      </c>
      <c r="F86" s="76" t="str">
        <f>+'тура ака'!E74</f>
        <v>445 мошин</v>
      </c>
    </row>
    <row r="87" spans="1:6" hidden="1" x14ac:dyDescent="0.3">
      <c r="A87" s="1"/>
      <c r="B87" s="4">
        <v>200000</v>
      </c>
      <c r="C87" s="75" t="s">
        <v>192</v>
      </c>
      <c r="D87" s="76"/>
      <c r="E87" s="5">
        <f>+'тура ака'!Q75</f>
        <v>552872</v>
      </c>
      <c r="F87" s="76" t="str">
        <f>+'тура ака'!E75</f>
        <v>384 бекобод</v>
      </c>
    </row>
    <row r="88" spans="1:6" hidden="1" x14ac:dyDescent="0.3">
      <c r="A88" s="1" t="s">
        <v>339</v>
      </c>
      <c r="B88" s="4">
        <v>3660000</v>
      </c>
      <c r="C88" s="75" t="s">
        <v>346</v>
      </c>
      <c r="D88" s="76"/>
      <c r="E88" s="5">
        <f>+'тура ака'!Q76</f>
        <v>50153</v>
      </c>
      <c r="F88" s="76" t="str">
        <f>+'тура ака'!E76</f>
        <v>597 мяхки ром</v>
      </c>
    </row>
    <row r="89" spans="1:6" hidden="1" x14ac:dyDescent="0.3">
      <c r="A89" s="1"/>
      <c r="B89" s="4">
        <v>900000</v>
      </c>
      <c r="C89" s="75" t="s">
        <v>347</v>
      </c>
      <c r="D89" s="76"/>
      <c r="E89" s="5">
        <v>1200000</v>
      </c>
      <c r="F89" s="76" t="s">
        <v>131</v>
      </c>
    </row>
    <row r="90" spans="1:6" hidden="1" x14ac:dyDescent="0.3">
      <c r="A90" s="1"/>
      <c r="B90" s="4">
        <v>1100000</v>
      </c>
      <c r="C90" s="75" t="s">
        <v>154</v>
      </c>
      <c r="D90" s="76"/>
      <c r="E90" s="5">
        <v>3600000</v>
      </c>
      <c r="F90" s="76" t="s">
        <v>129</v>
      </c>
    </row>
    <row r="91" spans="1:6" hidden="1" x14ac:dyDescent="0.3">
      <c r="A91" s="1"/>
      <c r="B91" s="4">
        <v>250000</v>
      </c>
      <c r="C91" s="75" t="s">
        <v>348</v>
      </c>
      <c r="D91" s="76"/>
      <c r="E91" s="5">
        <f>+'тура ака'!Q79</f>
        <v>0</v>
      </c>
      <c r="F91" s="76">
        <f>+'тура ака'!E79</f>
        <v>0</v>
      </c>
    </row>
    <row r="92" spans="1:6" hidden="1" x14ac:dyDescent="0.3">
      <c r="A92" s="1"/>
      <c r="B92" s="75" t="s">
        <v>349</v>
      </c>
      <c r="C92" s="75"/>
      <c r="D92" s="76" t="s">
        <v>339</v>
      </c>
      <c r="E92" s="5">
        <f>+'тура ака'!Q80</f>
        <v>1040180</v>
      </c>
      <c r="F92" s="76" t="str">
        <f>+'тура ака'!E80</f>
        <v>642 мяхки тур</v>
      </c>
    </row>
    <row r="93" spans="1:6" hidden="1" x14ac:dyDescent="0.3">
      <c r="A93" s="1" t="s">
        <v>350</v>
      </c>
      <c r="B93" s="4">
        <v>400000</v>
      </c>
      <c r="C93" s="75" t="s">
        <v>361</v>
      </c>
      <c r="D93" s="76"/>
      <c r="E93" s="5">
        <f>+'тура ака'!Q81</f>
        <v>418780.00000000186</v>
      </c>
      <c r="F93" s="76" t="str">
        <f>+'тура ака'!E81</f>
        <v>267 мяхки ислом</v>
      </c>
    </row>
    <row r="94" spans="1:6" hidden="1" x14ac:dyDescent="0.3">
      <c r="A94" s="1"/>
      <c r="B94" s="4">
        <v>700000</v>
      </c>
      <c r="C94" s="75" t="s">
        <v>362</v>
      </c>
      <c r="D94" s="76"/>
      <c r="E94" s="5">
        <f>+'тура ака'!Q82</f>
        <v>676340</v>
      </c>
      <c r="F94" s="76" t="str">
        <f>+'тура ака'!E82</f>
        <v>872 мяяхк ислом</v>
      </c>
    </row>
    <row r="95" spans="1:6" hidden="1" x14ac:dyDescent="0.3">
      <c r="A95" s="1"/>
      <c r="B95" s="4">
        <v>1000000</v>
      </c>
      <c r="C95" s="75" t="s">
        <v>364</v>
      </c>
      <c r="D95" s="76" t="s">
        <v>350</v>
      </c>
      <c r="E95" s="5">
        <f>+'тура ака'!Q83</f>
        <v>715500</v>
      </c>
      <c r="F95" s="76" t="str">
        <f>+'тура ака'!E83</f>
        <v>704 ислом мяхк</v>
      </c>
    </row>
    <row r="96" spans="1:6" hidden="1" x14ac:dyDescent="0.3">
      <c r="A96" s="1"/>
      <c r="B96" s="4">
        <v>579314</v>
      </c>
      <c r="C96" s="75" t="s">
        <v>357</v>
      </c>
      <c r="D96" s="76"/>
      <c r="E96" s="5">
        <f>+'тура ака'!Q84</f>
        <v>932690</v>
      </c>
      <c r="F96" s="76" t="str">
        <f>+'тура ака'!E84</f>
        <v>187 мяхк турон</v>
      </c>
    </row>
    <row r="97" spans="1:6" hidden="1" x14ac:dyDescent="0.3">
      <c r="A97" s="1" t="s">
        <v>365</v>
      </c>
      <c r="B97" s="4">
        <v>12100000</v>
      </c>
      <c r="C97" s="75" t="s">
        <v>370</v>
      </c>
      <c r="D97" s="76"/>
      <c r="E97" s="5">
        <f>+'тура ака'!Q85</f>
        <v>1555655</v>
      </c>
      <c r="F97" s="76" t="str">
        <f>+'тура ака'!E85</f>
        <v>215 лист нодир</v>
      </c>
    </row>
    <row r="98" spans="1:6" hidden="1" x14ac:dyDescent="0.3">
      <c r="A98" s="1"/>
      <c r="B98" s="4">
        <v>73200000</v>
      </c>
      <c r="C98" s="75" t="s">
        <v>114</v>
      </c>
      <c r="D98" s="76"/>
      <c r="E98" s="5">
        <v>1000000</v>
      </c>
      <c r="F98" s="76" t="s">
        <v>360</v>
      </c>
    </row>
    <row r="99" spans="1:6" hidden="1" x14ac:dyDescent="0.3">
      <c r="A99" s="1"/>
      <c r="B99" s="75">
        <v>900000</v>
      </c>
      <c r="C99" s="75" t="s">
        <v>192</v>
      </c>
      <c r="D99" s="76"/>
      <c r="E99" s="5">
        <f>1915*3000</f>
        <v>5745000</v>
      </c>
      <c r="F99" s="76" t="s">
        <v>363</v>
      </c>
    </row>
    <row r="100" spans="1:6" hidden="1" x14ac:dyDescent="0.3">
      <c r="A100" s="1"/>
      <c r="B100" s="75">
        <v>200000</v>
      </c>
      <c r="C100" s="75" t="s">
        <v>294</v>
      </c>
      <c r="D100" s="76"/>
      <c r="E100" s="5">
        <v>800000</v>
      </c>
      <c r="F100" s="76" t="s">
        <v>358</v>
      </c>
    </row>
    <row r="101" spans="1:6" hidden="1" x14ac:dyDescent="0.3">
      <c r="A101" s="1"/>
      <c r="B101" s="4">
        <v>200000</v>
      </c>
      <c r="C101" s="75" t="s">
        <v>371</v>
      </c>
      <c r="D101" s="76" t="s">
        <v>365</v>
      </c>
      <c r="E101" s="5">
        <f>+'тура ака'!Q89</f>
        <v>487760</v>
      </c>
      <c r="F101" s="76" t="str">
        <f>+'тура ака'!E89</f>
        <v>180 мяхки ислом</v>
      </c>
    </row>
    <row r="102" spans="1:6" hidden="1" x14ac:dyDescent="0.3">
      <c r="A102" s="1"/>
      <c r="B102" s="4">
        <v>200000</v>
      </c>
      <c r="C102" s="75" t="s">
        <v>372</v>
      </c>
      <c r="D102" s="76"/>
      <c r="E102" s="5">
        <f>+'тура ака'!Q90</f>
        <v>905000</v>
      </c>
      <c r="F102" s="76" t="str">
        <f>+'тура ака'!E90</f>
        <v>377 мяхки зур</v>
      </c>
    </row>
    <row r="103" spans="1:6" hidden="1" x14ac:dyDescent="0.3">
      <c r="A103" s="1" t="s">
        <v>375</v>
      </c>
      <c r="B103" s="4">
        <v>200000</v>
      </c>
      <c r="C103" s="75" t="s">
        <v>192</v>
      </c>
      <c r="D103" s="76"/>
      <c r="E103" s="5">
        <f>+'тура ака'!Q91</f>
        <v>492050</v>
      </c>
      <c r="F103" s="76" t="str">
        <f>+'тура ака'!E91</f>
        <v>537 чугун жамил</v>
      </c>
    </row>
    <row r="104" spans="1:6" hidden="1" x14ac:dyDescent="0.3">
      <c r="A104" s="1"/>
      <c r="B104" s="4">
        <v>1200000</v>
      </c>
      <c r="C104" s="75" t="s">
        <v>379</v>
      </c>
      <c r="D104" s="76"/>
      <c r="E104" s="5">
        <f>+'тура ака'!Q92</f>
        <v>594250</v>
      </c>
      <c r="F104" s="76" t="str">
        <f>+'тура ака'!E92</f>
        <v>574 чугун жамил</v>
      </c>
    </row>
    <row r="105" spans="1:6" hidden="1" x14ac:dyDescent="0.3">
      <c r="A105" s="1"/>
      <c r="B105" s="4">
        <v>11000000</v>
      </c>
      <c r="C105" s="75" t="s">
        <v>380</v>
      </c>
      <c r="D105" s="76"/>
      <c r="E105" s="5">
        <v>1500000</v>
      </c>
      <c r="F105" s="76" t="s">
        <v>359</v>
      </c>
    </row>
    <row r="106" spans="1:6" hidden="1" x14ac:dyDescent="0.3">
      <c r="A106" s="1"/>
      <c r="B106" s="4">
        <v>5000000</v>
      </c>
      <c r="C106" s="75" t="s">
        <v>314</v>
      </c>
      <c r="D106" s="76"/>
      <c r="E106" s="5">
        <v>2000000</v>
      </c>
      <c r="F106" s="76" t="s">
        <v>373</v>
      </c>
    </row>
    <row r="107" spans="1:6" hidden="1" x14ac:dyDescent="0.3">
      <c r="A107" s="1"/>
      <c r="B107" s="4">
        <v>750000</v>
      </c>
      <c r="C107" s="75" t="s">
        <v>382</v>
      </c>
      <c r="D107" s="76"/>
      <c r="E107" s="5">
        <v>600000</v>
      </c>
      <c r="F107" s="76" t="s">
        <v>360</v>
      </c>
    </row>
    <row r="108" spans="1:6" hidden="1" x14ac:dyDescent="0.3">
      <c r="A108" s="1"/>
      <c r="B108" s="4">
        <v>442842</v>
      </c>
      <c r="C108" s="75" t="s">
        <v>384</v>
      </c>
      <c r="D108" s="76" t="s">
        <v>375</v>
      </c>
      <c r="E108" s="5">
        <f>+'тура ака'!Q96</f>
        <v>1032090</v>
      </c>
      <c r="F108" s="76" t="str">
        <f>+'тура ака'!E96</f>
        <v>413 мяхки т</v>
      </c>
    </row>
    <row r="109" spans="1:6" hidden="1" x14ac:dyDescent="0.3">
      <c r="A109" s="1"/>
      <c r="B109" s="4"/>
      <c r="C109" s="75"/>
      <c r="D109" s="76"/>
      <c r="E109" s="5">
        <f>+'тура ака'!Q97</f>
        <v>521160</v>
      </c>
      <c r="F109" s="76" t="str">
        <f>+'тура ака'!E97</f>
        <v xml:space="preserve">810  бекобод </v>
      </c>
    </row>
    <row r="110" spans="1:6" hidden="1" x14ac:dyDescent="0.3">
      <c r="A110" s="1"/>
      <c r="B110" s="4"/>
      <c r="C110" s="75"/>
      <c r="D110" s="76"/>
      <c r="E110" s="5"/>
      <c r="F110" s="76" t="s">
        <v>381</v>
      </c>
    </row>
    <row r="111" spans="1:6" hidden="1" x14ac:dyDescent="0.3">
      <c r="A111" s="1"/>
      <c r="B111" s="4"/>
      <c r="C111" s="75"/>
      <c r="D111" s="76"/>
      <c r="E111" s="5">
        <v>1000000</v>
      </c>
      <c r="F111" s="76" t="s">
        <v>130</v>
      </c>
    </row>
    <row r="112" spans="1:6" hidden="1" x14ac:dyDescent="0.3">
      <c r="A112" s="1" t="s">
        <v>385</v>
      </c>
      <c r="B112" s="4">
        <v>4000000</v>
      </c>
      <c r="C112" s="75" t="s">
        <v>392</v>
      </c>
      <c r="D112" s="76" t="s">
        <v>393</v>
      </c>
      <c r="E112" s="5">
        <f>+'тура ака'!Q100</f>
        <v>1752200</v>
      </c>
      <c r="F112" s="76" t="str">
        <f>+'тура ака'!E100</f>
        <v>445 МЯХКИ ПЕШКУ Ф</v>
      </c>
    </row>
    <row r="113" spans="1:6" hidden="1" x14ac:dyDescent="0.3">
      <c r="A113" s="1"/>
      <c r="B113" s="4">
        <v>310000</v>
      </c>
      <c r="C113" s="75" t="s">
        <v>394</v>
      </c>
      <c r="D113" s="76"/>
      <c r="E113" s="5">
        <f>+'тура ака'!Q101</f>
        <v>1298388</v>
      </c>
      <c r="F113" s="76" t="str">
        <f>+'тура ака'!E101</f>
        <v>384 БЕКОБОД НУР</v>
      </c>
    </row>
    <row r="114" spans="1:6" hidden="1" x14ac:dyDescent="0.3">
      <c r="A114" s="1"/>
      <c r="B114" s="4">
        <v>100000</v>
      </c>
      <c r="C114" s="75" t="s">
        <v>395</v>
      </c>
      <c r="D114" s="76"/>
      <c r="E114" s="5">
        <f>+'тура ака'!Q102</f>
        <v>921708.00000000373</v>
      </c>
      <c r="F114" s="76" t="str">
        <f>+'тура ака'!E102</f>
        <v xml:space="preserve">793 БЕКОБОД ШЕРАЛ  </v>
      </c>
    </row>
    <row r="115" spans="1:6" hidden="1" x14ac:dyDescent="0.3">
      <c r="A115" s="1"/>
      <c r="B115" s="4">
        <v>400000</v>
      </c>
      <c r="C115" s="75" t="s">
        <v>396</v>
      </c>
      <c r="D115" s="76"/>
      <c r="E115" s="5">
        <f>+'тура ака'!Q103</f>
        <v>567936</v>
      </c>
      <c r="F115" s="76" t="str">
        <f>+'тура ака'!E103</f>
        <v>725 БЕКОБОД ИСЛОМ</v>
      </c>
    </row>
    <row r="116" spans="1:6" hidden="1" x14ac:dyDescent="0.3">
      <c r="A116" s="1" t="s">
        <v>397</v>
      </c>
      <c r="B116" s="4">
        <v>7100000</v>
      </c>
      <c r="C116" s="75" t="s">
        <v>403</v>
      </c>
      <c r="D116" s="76" t="s">
        <v>397</v>
      </c>
      <c r="E116" s="5">
        <f>+'тура ака'!Q104</f>
        <v>856700</v>
      </c>
      <c r="F116" s="76" t="str">
        <f>+'тура ака'!E104</f>
        <v>532 мяхк т</v>
      </c>
    </row>
    <row r="117" spans="1:6" hidden="1" x14ac:dyDescent="0.3">
      <c r="A117" s="1"/>
      <c r="B117" s="4">
        <v>600000</v>
      </c>
      <c r="C117" s="75" t="s">
        <v>261</v>
      </c>
      <c r="D117" s="76"/>
      <c r="E117" s="5">
        <f>+'тура ака'!Q105</f>
        <v>1779850</v>
      </c>
      <c r="F117" s="76" t="str">
        <f>+'тура ака'!E105</f>
        <v>812 когон</v>
      </c>
    </row>
    <row r="118" spans="1:6" hidden="1" x14ac:dyDescent="0.3">
      <c r="A118" s="1"/>
      <c r="B118" s="4">
        <v>300000</v>
      </c>
      <c r="C118" s="75" t="s">
        <v>404</v>
      </c>
      <c r="D118" s="76"/>
      <c r="E118" s="5">
        <v>30000000</v>
      </c>
      <c r="F118" s="76" t="s">
        <v>402</v>
      </c>
    </row>
    <row r="119" spans="1:6" hidden="1" x14ac:dyDescent="0.3">
      <c r="A119" s="1"/>
      <c r="B119" s="4">
        <v>100000</v>
      </c>
      <c r="C119" s="75" t="s">
        <v>139</v>
      </c>
      <c r="D119" s="76"/>
      <c r="E119" s="5">
        <v>700000</v>
      </c>
      <c r="F119" s="76" t="s">
        <v>130</v>
      </c>
    </row>
    <row r="120" spans="1:6" hidden="1" x14ac:dyDescent="0.3">
      <c r="A120" s="1" t="s">
        <v>406</v>
      </c>
      <c r="B120" s="4">
        <v>400000</v>
      </c>
      <c r="C120" s="75" t="s">
        <v>409</v>
      </c>
      <c r="D120" s="76"/>
      <c r="E120" s="5">
        <v>4090618</v>
      </c>
      <c r="F120" s="76" t="s">
        <v>405</v>
      </c>
    </row>
    <row r="121" spans="1:6" hidden="1" x14ac:dyDescent="0.3">
      <c r="A121" s="1"/>
      <c r="B121" s="4">
        <v>500000</v>
      </c>
      <c r="C121" s="75" t="s">
        <v>192</v>
      </c>
      <c r="D121" s="76" t="s">
        <v>406</v>
      </c>
      <c r="E121" s="5">
        <f>+'тура ака'!Q109</f>
        <v>403720</v>
      </c>
      <c r="F121" s="76" t="str">
        <f>+'тура ака'!E109</f>
        <v>704 мяхки</v>
      </c>
    </row>
    <row r="122" spans="1:6" hidden="1" x14ac:dyDescent="0.3">
      <c r="A122" s="1"/>
      <c r="B122" s="4">
        <f>1500*12200</f>
        <v>18300000</v>
      </c>
      <c r="C122" s="75" t="s">
        <v>410</v>
      </c>
      <c r="D122" s="76"/>
      <c r="E122" s="5">
        <v>6100000</v>
      </c>
      <c r="F122" s="76" t="s">
        <v>408</v>
      </c>
    </row>
    <row r="123" spans="1:6" hidden="1" x14ac:dyDescent="0.3">
      <c r="A123" s="1" t="s">
        <v>411</v>
      </c>
      <c r="B123" s="4">
        <v>700000</v>
      </c>
      <c r="C123" s="75" t="s">
        <v>427</v>
      </c>
      <c r="D123" s="76" t="s">
        <v>424</v>
      </c>
      <c r="E123" s="5">
        <f>+'тура ака'!Q111</f>
        <v>2122892</v>
      </c>
      <c r="F123" s="76" t="str">
        <f>+'тура ака'!E111</f>
        <v xml:space="preserve"> 574 мяхк ойбек</v>
      </c>
    </row>
    <row r="124" spans="1:6" hidden="1" x14ac:dyDescent="0.3">
      <c r="A124" s="1"/>
      <c r="B124" s="4">
        <v>4880000</v>
      </c>
      <c r="C124" s="75" t="s">
        <v>428</v>
      </c>
      <c r="D124" s="76"/>
      <c r="E124" s="5">
        <f>+'тура ака'!Q112</f>
        <v>1525040</v>
      </c>
      <c r="F124" s="76" t="str">
        <f>+'тура ака'!E112</f>
        <v>844 мяхк мавлон</v>
      </c>
    </row>
    <row r="125" spans="1:6" hidden="1" x14ac:dyDescent="0.3">
      <c r="A125" s="1"/>
      <c r="B125" s="4">
        <v>1000000</v>
      </c>
      <c r="C125" s="75" t="s">
        <v>429</v>
      </c>
      <c r="D125" s="76"/>
      <c r="E125" s="5">
        <f>+'тура ака'!Q113</f>
        <v>716904</v>
      </c>
      <c r="F125" s="76" t="str">
        <f>+'тура ака'!E113</f>
        <v>537 бекобод шермат</v>
      </c>
    </row>
    <row r="126" spans="1:6" hidden="1" x14ac:dyDescent="0.3">
      <c r="A126" s="1"/>
      <c r="B126" s="4">
        <f>1895*2900</f>
        <v>5495500</v>
      </c>
      <c r="C126" s="75" t="s">
        <v>435</v>
      </c>
      <c r="D126" s="76"/>
      <c r="E126" s="5">
        <f>+'тура ака'!Q114</f>
        <v>1039000</v>
      </c>
      <c r="F126" s="76" t="str">
        <f>+'тура ака'!E114</f>
        <v>384 лист</v>
      </c>
    </row>
    <row r="127" spans="1:6" hidden="1" x14ac:dyDescent="0.3">
      <c r="A127" s="1"/>
      <c r="B127" s="4">
        <v>200000</v>
      </c>
      <c r="C127" s="75" t="s">
        <v>436</v>
      </c>
      <c r="D127" s="76"/>
      <c r="E127" s="5">
        <f>+'тура ака'!Q115</f>
        <v>532000</v>
      </c>
      <c r="F127" s="76" t="str">
        <f>+'тура ака'!E115</f>
        <v>570 мяхк суннат</v>
      </c>
    </row>
    <row r="128" spans="1:6" hidden="1" x14ac:dyDescent="0.3">
      <c r="A128" s="1"/>
      <c r="B128" s="4">
        <v>200000</v>
      </c>
      <c r="C128" s="75" t="s">
        <v>438</v>
      </c>
      <c r="D128" s="76"/>
      <c r="E128" s="5">
        <f>+'тура ака'!Q116</f>
        <v>722080</v>
      </c>
      <c r="F128" s="76" t="str">
        <f>+'тура ака'!E116</f>
        <v>371 мяхк ислом</v>
      </c>
    </row>
    <row r="129" spans="1:6" hidden="1" x14ac:dyDescent="0.3">
      <c r="A129" s="1" t="s">
        <v>430</v>
      </c>
      <c r="B129" s="4">
        <v>3000000</v>
      </c>
      <c r="C129" s="75" t="s">
        <v>443</v>
      </c>
      <c r="D129" s="76"/>
      <c r="E129" s="5">
        <f>+'тура ака'!Q117</f>
        <v>495640</v>
      </c>
      <c r="F129" s="76" t="str">
        <f>+'тура ака'!E117</f>
        <v>187 мяхки пешку бобр</v>
      </c>
    </row>
    <row r="130" spans="1:6" hidden="1" x14ac:dyDescent="0.3">
      <c r="A130" s="1"/>
      <c r="B130" s="4">
        <v>1600000</v>
      </c>
      <c r="C130" s="75" t="s">
        <v>347</v>
      </c>
      <c r="D130" s="76" t="s">
        <v>437</v>
      </c>
      <c r="E130" s="5">
        <v>2200000</v>
      </c>
      <c r="F130" s="76" t="s">
        <v>425</v>
      </c>
    </row>
    <row r="131" spans="1:6" hidden="1" x14ac:dyDescent="0.3">
      <c r="A131" s="1"/>
      <c r="B131" s="4">
        <v>150000</v>
      </c>
      <c r="C131" s="75" t="s">
        <v>446</v>
      </c>
      <c r="D131" s="76"/>
      <c r="E131" s="5">
        <v>300000</v>
      </c>
      <c r="F131" s="76" t="s">
        <v>431</v>
      </c>
    </row>
    <row r="132" spans="1:6" hidden="1" x14ac:dyDescent="0.3">
      <c r="A132" s="1"/>
      <c r="B132" s="4">
        <v>400000</v>
      </c>
      <c r="C132" s="75" t="s">
        <v>447</v>
      </c>
      <c r="D132" s="76"/>
      <c r="E132" s="5">
        <v>500000</v>
      </c>
      <c r="F132" s="76" t="s">
        <v>433</v>
      </c>
    </row>
    <row r="133" spans="1:6" hidden="1" x14ac:dyDescent="0.3">
      <c r="A133" s="1"/>
      <c r="B133" s="4">
        <v>1200000</v>
      </c>
      <c r="C133" s="75" t="s">
        <v>448</v>
      </c>
      <c r="D133" s="76"/>
      <c r="E133" s="5">
        <v>300000</v>
      </c>
      <c r="F133" s="76" t="s">
        <v>434</v>
      </c>
    </row>
    <row r="134" spans="1:6" hidden="1" x14ac:dyDescent="0.3">
      <c r="A134" s="1"/>
      <c r="B134" s="4">
        <v>2450000</v>
      </c>
      <c r="C134" s="75" t="s">
        <v>380</v>
      </c>
      <c r="D134" s="76" t="s">
        <v>430</v>
      </c>
      <c r="E134" s="5">
        <f>+'тура ака'!Q122</f>
        <v>763984</v>
      </c>
      <c r="F134" s="76" t="str">
        <f>+'тура ака'!E122</f>
        <v>725 ислом бекобод</v>
      </c>
    </row>
    <row r="135" spans="1:6" hidden="1" x14ac:dyDescent="0.3">
      <c r="A135" s="1"/>
      <c r="B135" s="4"/>
      <c r="C135" s="75"/>
      <c r="D135" s="76"/>
      <c r="E135" s="5">
        <f>+'тура ака'!Q123</f>
        <v>3184600</v>
      </c>
      <c r="F135" s="76" t="str">
        <f>+'тура ака'!E123</f>
        <v xml:space="preserve">   </v>
      </c>
    </row>
    <row r="136" spans="1:6" hidden="1" x14ac:dyDescent="0.3">
      <c r="A136" s="1"/>
      <c r="B136" s="4"/>
      <c r="C136" s="75"/>
      <c r="D136" s="76"/>
      <c r="E136" s="5">
        <f>+'тура ака'!Q124</f>
        <v>633160</v>
      </c>
      <c r="F136" s="76" t="str">
        <f>+'тура ака'!E124</f>
        <v>812 мяхки пешку</v>
      </c>
    </row>
    <row r="137" spans="1:6" hidden="1" x14ac:dyDescent="0.3">
      <c r="A137" s="1"/>
      <c r="B137" s="4"/>
      <c r="C137" s="75"/>
      <c r="D137" s="76"/>
      <c r="E137" s="5">
        <v>800000</v>
      </c>
      <c r="F137" s="76" t="s">
        <v>444</v>
      </c>
    </row>
    <row r="138" spans="1:6" hidden="1" x14ac:dyDescent="0.3">
      <c r="A138" s="1"/>
      <c r="B138" s="4"/>
      <c r="C138" s="75"/>
      <c r="D138" s="76"/>
      <c r="E138" s="5">
        <v>230000</v>
      </c>
      <c r="F138" s="76" t="s">
        <v>445</v>
      </c>
    </row>
    <row r="139" spans="1:6" hidden="1" x14ac:dyDescent="0.3">
      <c r="A139" s="1"/>
      <c r="B139" s="4"/>
      <c r="C139" s="75"/>
      <c r="D139" s="76"/>
      <c r="E139" s="5">
        <v>800000</v>
      </c>
      <c r="F139" s="76" t="s">
        <v>449</v>
      </c>
    </row>
    <row r="140" spans="1:6" hidden="1" x14ac:dyDescent="0.3">
      <c r="A140" s="1" t="s">
        <v>450</v>
      </c>
      <c r="B140" s="4">
        <v>200000</v>
      </c>
      <c r="C140" s="75" t="s">
        <v>456</v>
      </c>
      <c r="D140" s="76" t="s">
        <v>450</v>
      </c>
      <c r="E140" s="5">
        <f>+'тура ака'!Q128</f>
        <v>1039400</v>
      </c>
      <c r="F140" s="76" t="str">
        <f>+'тура ака'!E128</f>
        <v>810 мяхк т</v>
      </c>
    </row>
    <row r="141" spans="1:6" hidden="1" x14ac:dyDescent="0.3">
      <c r="A141" s="1"/>
      <c r="B141" s="4">
        <v>400000</v>
      </c>
      <c r="C141" s="75" t="s">
        <v>214</v>
      </c>
      <c r="D141" s="76"/>
      <c r="E141" s="5">
        <f>+'тура ака'!Q129</f>
        <v>991300</v>
      </c>
      <c r="F141" s="76" t="str">
        <f>+'тура ака'!E129</f>
        <v>266 бек бобир</v>
      </c>
    </row>
    <row r="142" spans="1:6" hidden="1" x14ac:dyDescent="0.3">
      <c r="A142" s="1"/>
      <c r="B142" s="4">
        <v>230000</v>
      </c>
      <c r="C142" s="75" t="s">
        <v>457</v>
      </c>
      <c r="D142" s="76"/>
      <c r="E142" s="5">
        <f>+'тура ака'!Q130</f>
        <v>1089320</v>
      </c>
      <c r="F142" s="76" t="str">
        <f>+'тура ака'!E130</f>
        <v>532 мяхки еко</v>
      </c>
    </row>
    <row r="143" spans="1:6" hidden="1" x14ac:dyDescent="0.3">
      <c r="A143" s="1" t="s">
        <v>458</v>
      </c>
      <c r="B143" s="4">
        <v>1100000</v>
      </c>
      <c r="C143" s="75" t="s">
        <v>461</v>
      </c>
      <c r="D143" s="76"/>
      <c r="E143" s="5">
        <f>+'тура ака'!Q131</f>
        <v>610730</v>
      </c>
      <c r="F143" s="76" t="str">
        <f>+'тура ака'!E131</f>
        <v>340 мяхк ислом</v>
      </c>
    </row>
    <row r="144" spans="1:6" hidden="1" x14ac:dyDescent="0.3">
      <c r="A144" s="1"/>
      <c r="B144" s="4">
        <v>500000</v>
      </c>
      <c r="C144" s="75" t="s">
        <v>261</v>
      </c>
      <c r="D144" s="76"/>
      <c r="E144" s="5">
        <f>+'тура ака'!Q132</f>
        <v>1176740</v>
      </c>
      <c r="F144" s="76" t="str">
        <f>+'тура ака'!E132</f>
        <v>384 БЕКОБОД НУР</v>
      </c>
    </row>
    <row r="145" spans="1:6" hidden="1" x14ac:dyDescent="0.3">
      <c r="A145" s="1"/>
      <c r="B145" s="4">
        <v>2500000</v>
      </c>
      <c r="C145" s="75" t="s">
        <v>464</v>
      </c>
      <c r="D145" s="76"/>
      <c r="E145" s="5"/>
      <c r="F145" s="76"/>
    </row>
    <row r="146" spans="1:6" hidden="1" x14ac:dyDescent="0.3">
      <c r="A146" s="1"/>
      <c r="B146" s="4">
        <v>178488</v>
      </c>
      <c r="C146" s="75" t="s">
        <v>465</v>
      </c>
      <c r="D146" s="76" t="s">
        <v>458</v>
      </c>
      <c r="E146" s="5">
        <f>+'тура ака'!Q134</f>
        <v>1331520</v>
      </c>
      <c r="F146" s="76" t="str">
        <f>+'тура ака'!E134</f>
        <v>4029500 бекоб пешку</v>
      </c>
    </row>
    <row r="147" spans="1:6" hidden="1" x14ac:dyDescent="0.3">
      <c r="A147" s="1" t="s">
        <v>466</v>
      </c>
      <c r="B147" s="4">
        <v>2200000</v>
      </c>
      <c r="C147" s="75" t="s">
        <v>412</v>
      </c>
      <c r="D147" s="76"/>
      <c r="E147" s="5">
        <f>1309*3000</f>
        <v>3927000</v>
      </c>
      <c r="F147" s="76" t="s">
        <v>462</v>
      </c>
    </row>
    <row r="148" spans="1:6" hidden="1" x14ac:dyDescent="0.3">
      <c r="A148" s="1"/>
      <c r="B148" s="4">
        <f>1250*12150</f>
        <v>15187500</v>
      </c>
      <c r="C148" s="75" t="s">
        <v>479</v>
      </c>
      <c r="D148" s="76"/>
      <c r="E148" s="5">
        <v>700000</v>
      </c>
      <c r="F148" s="76" t="s">
        <v>463</v>
      </c>
    </row>
    <row r="149" spans="1:6" hidden="1" x14ac:dyDescent="0.3">
      <c r="A149" s="1"/>
      <c r="B149" s="4">
        <v>1400000</v>
      </c>
      <c r="C149" s="75" t="s">
        <v>480</v>
      </c>
      <c r="D149" s="76"/>
      <c r="E149" s="5">
        <f>+'тура ака'!Q137</f>
        <v>0</v>
      </c>
      <c r="F149" s="76">
        <f>+'тура ака'!E137</f>
        <v>0</v>
      </c>
    </row>
    <row r="150" spans="1:6" hidden="1" x14ac:dyDescent="0.3">
      <c r="A150" s="1"/>
      <c r="B150" s="4">
        <v>500000</v>
      </c>
      <c r="C150" s="75" t="s">
        <v>394</v>
      </c>
      <c r="D150" s="76"/>
      <c r="E150" s="5">
        <f>+'тура ака'!Q138</f>
        <v>883670.00000000373</v>
      </c>
      <c r="F150" s="76" t="str">
        <f>+'тура ака'!E138</f>
        <v>395 бекобод ис</v>
      </c>
    </row>
    <row r="151" spans="1:6" hidden="1" x14ac:dyDescent="0.3">
      <c r="A151" s="1"/>
      <c r="B151" s="4">
        <v>700000</v>
      </c>
      <c r="C151" s="75" t="s">
        <v>404</v>
      </c>
      <c r="D151" s="76"/>
      <c r="E151" s="5">
        <f>+'тура ака'!Q139</f>
        <v>812600</v>
      </c>
      <c r="F151" s="76" t="str">
        <f>+'тура ака'!E139</f>
        <v>650 мягк жасур</v>
      </c>
    </row>
    <row r="152" spans="1:6" hidden="1" x14ac:dyDescent="0.3">
      <c r="A152" s="1"/>
      <c r="B152" s="4">
        <f>1400*12150</f>
        <v>17010000</v>
      </c>
      <c r="C152" s="75" t="s">
        <v>484</v>
      </c>
      <c r="D152" s="76"/>
      <c r="E152" s="5">
        <f>+'тура ака'!Q140</f>
        <v>950625</v>
      </c>
      <c r="F152" s="76" t="str">
        <f>+'тура ака'!E140</f>
        <v>411 мяхк Т</v>
      </c>
    </row>
    <row r="153" spans="1:6" hidden="1" x14ac:dyDescent="0.3">
      <c r="A153" s="1"/>
      <c r="B153" s="4"/>
      <c r="C153" s="75"/>
      <c r="D153" s="76"/>
      <c r="E153" s="5">
        <f>+'тура ака'!Q141</f>
        <v>863600</v>
      </c>
      <c r="F153" s="76" t="str">
        <f>+'тура ака'!E141</f>
        <v>725 мяхк ис</v>
      </c>
    </row>
    <row r="154" spans="1:6" hidden="1" x14ac:dyDescent="0.3">
      <c r="A154" s="1"/>
      <c r="B154" s="4"/>
      <c r="C154" s="75"/>
      <c r="D154" s="76" t="s">
        <v>466</v>
      </c>
      <c r="E154" s="5">
        <v>47108667</v>
      </c>
      <c r="F154" s="76" t="s">
        <v>26</v>
      </c>
    </row>
    <row r="155" spans="1:6" hidden="1" x14ac:dyDescent="0.3">
      <c r="A155" s="1"/>
      <c r="B155" s="4"/>
      <c r="C155" s="75"/>
      <c r="D155" s="76"/>
      <c r="E155" s="5">
        <f>350*12150</f>
        <v>4252500</v>
      </c>
      <c r="F155" s="76" t="s">
        <v>476</v>
      </c>
    </row>
    <row r="156" spans="1:6" hidden="1" x14ac:dyDescent="0.3">
      <c r="A156" s="1"/>
      <c r="B156" s="4"/>
      <c r="C156" s="75"/>
      <c r="D156" s="76"/>
      <c r="E156" s="4">
        <f>600*12150</f>
        <v>7290000</v>
      </c>
      <c r="F156" s="75" t="s">
        <v>478</v>
      </c>
    </row>
    <row r="157" spans="1:6" hidden="1" x14ac:dyDescent="0.3">
      <c r="A157" s="1"/>
      <c r="B157" s="4"/>
      <c r="C157" s="75"/>
      <c r="D157" s="76"/>
      <c r="E157" s="5">
        <v>900000</v>
      </c>
      <c r="F157" s="76" t="s">
        <v>130</v>
      </c>
    </row>
    <row r="158" spans="1:6" hidden="1" x14ac:dyDescent="0.3">
      <c r="A158" s="1" t="s">
        <v>470</v>
      </c>
      <c r="B158" s="4">
        <v>600000</v>
      </c>
      <c r="C158" s="75" t="s">
        <v>491</v>
      </c>
      <c r="D158" s="76" t="s">
        <v>490</v>
      </c>
      <c r="E158" s="5">
        <f>+'тура ака'!Q147</f>
        <v>621920</v>
      </c>
      <c r="F158" s="76" t="str">
        <f>+'тура ака'!E147</f>
        <v>570 хасан мяхки</v>
      </c>
    </row>
    <row r="159" spans="1:6" hidden="1" x14ac:dyDescent="0.3">
      <c r="A159" s="1"/>
      <c r="B159" s="4">
        <v>1100000</v>
      </c>
      <c r="C159" s="75" t="s">
        <v>111</v>
      </c>
      <c r="D159" s="76"/>
      <c r="E159" s="5">
        <f>+'тура ака'!Q148</f>
        <v>1037560</v>
      </c>
      <c r="F159" s="76" t="str">
        <f>+'тура ака'!E148</f>
        <v>812 мяхк т</v>
      </c>
    </row>
    <row r="160" spans="1:6" hidden="1" x14ac:dyDescent="0.3">
      <c r="A160" s="1"/>
      <c r="B160" s="4">
        <f>1200*12100</f>
        <v>14520000</v>
      </c>
      <c r="C160" s="75" t="s">
        <v>492</v>
      </c>
      <c r="D160" s="76"/>
      <c r="E160" s="5">
        <f>+'тура ака'!Q149</f>
        <v>994880</v>
      </c>
      <c r="F160" s="76" t="str">
        <f>+'тура ака'!E149</f>
        <v>547 бекобод</v>
      </c>
    </row>
    <row r="161" spans="1:6" hidden="1" x14ac:dyDescent="0.3">
      <c r="A161" s="1" t="s">
        <v>493</v>
      </c>
      <c r="B161" s="171">
        <v>5900000</v>
      </c>
      <c r="C161" s="75" t="s">
        <v>496</v>
      </c>
      <c r="D161" s="76"/>
      <c r="E161" s="5">
        <f>+'тура ака'!Q150</f>
        <v>0</v>
      </c>
      <c r="F161" s="76">
        <f>+'тура ака'!E150</f>
        <v>0</v>
      </c>
    </row>
    <row r="162" spans="1:6" hidden="1" x14ac:dyDescent="0.3">
      <c r="A162" s="1"/>
      <c r="B162" s="171">
        <v>4200000</v>
      </c>
      <c r="C162" s="75" t="s">
        <v>497</v>
      </c>
      <c r="D162" s="76"/>
      <c r="E162" s="5">
        <v>4776993</v>
      </c>
      <c r="F162" s="175" t="s">
        <v>319</v>
      </c>
    </row>
    <row r="163" spans="1:6" hidden="1" x14ac:dyDescent="0.3">
      <c r="A163" s="1"/>
      <c r="B163" s="4">
        <v>400000</v>
      </c>
      <c r="C163" s="75" t="s">
        <v>328</v>
      </c>
      <c r="D163" s="76"/>
      <c r="E163" s="5">
        <v>700000</v>
      </c>
      <c r="F163" s="76" t="s">
        <v>455</v>
      </c>
    </row>
    <row r="164" spans="1:6" hidden="1" x14ac:dyDescent="0.3">
      <c r="A164" s="1"/>
      <c r="B164" s="4">
        <v>200000</v>
      </c>
      <c r="C164" s="75" t="s">
        <v>139</v>
      </c>
      <c r="D164" s="76"/>
      <c r="E164" s="5">
        <v>7500000</v>
      </c>
      <c r="F164" s="76" t="s">
        <v>408</v>
      </c>
    </row>
    <row r="165" spans="1:6" hidden="1" x14ac:dyDescent="0.3">
      <c r="A165" s="1"/>
      <c r="B165" s="4">
        <f>370*12150</f>
        <v>4495500</v>
      </c>
      <c r="C165" s="75" t="s">
        <v>498</v>
      </c>
      <c r="D165" s="76" t="s">
        <v>493</v>
      </c>
      <c r="E165" s="5">
        <f>+'тура ака'!Q154</f>
        <v>1780900</v>
      </c>
      <c r="F165" s="76" t="str">
        <f>+'тура ака'!E154</f>
        <v>215 чугун истат</v>
      </c>
    </row>
    <row r="166" spans="1:6" hidden="1" x14ac:dyDescent="0.3">
      <c r="A166" s="1" t="s">
        <v>499</v>
      </c>
      <c r="B166" s="4">
        <v>10000000</v>
      </c>
      <c r="C166" s="75" t="s">
        <v>113</v>
      </c>
      <c r="D166" s="76"/>
      <c r="E166" s="5">
        <f>+'тура ака'!Q155</f>
        <v>582550</v>
      </c>
      <c r="F166" s="76" t="str">
        <f>+'тура ака'!E155</f>
        <v>384 мяхки стат</v>
      </c>
    </row>
    <row r="167" spans="1:6" hidden="1" x14ac:dyDescent="0.3">
      <c r="A167" s="1"/>
      <c r="B167" s="4">
        <v>800000</v>
      </c>
      <c r="C167" s="75" t="s">
        <v>192</v>
      </c>
      <c r="D167" s="76"/>
      <c r="E167" s="5">
        <f>2477*3000</f>
        <v>7431000</v>
      </c>
      <c r="F167" s="76" t="s">
        <v>233</v>
      </c>
    </row>
    <row r="168" spans="1:6" hidden="1" x14ac:dyDescent="0.3">
      <c r="A168" s="1"/>
      <c r="B168" s="4">
        <v>1000000</v>
      </c>
      <c r="C168" s="75" t="s">
        <v>347</v>
      </c>
      <c r="D168" s="76" t="s">
        <v>499</v>
      </c>
      <c r="E168" s="5">
        <f>+'тура ака'!Q157</f>
        <v>2640160</v>
      </c>
      <c r="F168" s="76" t="str">
        <f>+'тура ака'!E157</f>
        <v>445 мяхки</v>
      </c>
    </row>
    <row r="169" spans="1:6" hidden="1" x14ac:dyDescent="0.3">
      <c r="A169" s="1"/>
      <c r="B169" s="4"/>
      <c r="C169" s="75"/>
      <c r="D169" s="76"/>
      <c r="E169" s="174">
        <f>570*2900</f>
        <v>1653000</v>
      </c>
      <c r="F169" s="76" t="s">
        <v>503</v>
      </c>
    </row>
    <row r="170" spans="1:6" hidden="1" x14ac:dyDescent="0.3">
      <c r="A170" s="1"/>
      <c r="B170" s="4"/>
      <c r="C170" s="75"/>
      <c r="D170" s="76"/>
      <c r="E170" s="5">
        <f>+'тура ака'!Q159</f>
        <v>1365000</v>
      </c>
      <c r="F170" s="76" t="str">
        <f>+'тура ака'!E159</f>
        <v>917 чугун истат</v>
      </c>
    </row>
    <row r="171" spans="1:6" hidden="1" x14ac:dyDescent="0.3">
      <c r="A171" s="1"/>
      <c r="B171" s="4"/>
      <c r="C171" s="75"/>
      <c r="D171" s="76"/>
      <c r="E171" s="5">
        <f>+'тура ака'!Q160</f>
        <v>458319.99999999627</v>
      </c>
      <c r="F171" s="76" t="str">
        <f>+'тура ака'!E160</f>
        <v>537 мяхк истат</v>
      </c>
    </row>
    <row r="172" spans="1:6" hidden="1" x14ac:dyDescent="0.3">
      <c r="A172" s="1"/>
      <c r="B172" s="4"/>
      <c r="C172" s="75"/>
      <c r="D172" s="76"/>
      <c r="E172" s="5">
        <f>+'тура ака'!Q161</f>
        <v>0</v>
      </c>
      <c r="F172" s="76">
        <f>+'тура ака'!E161</f>
        <v>0</v>
      </c>
    </row>
    <row r="173" spans="1:6" hidden="1" x14ac:dyDescent="0.3">
      <c r="A173" s="1" t="s">
        <v>170</v>
      </c>
      <c r="B173" s="4">
        <f>349*2900</f>
        <v>1012100</v>
      </c>
      <c r="C173" s="75" t="s">
        <v>233</v>
      </c>
      <c r="D173" s="76" t="s">
        <v>170</v>
      </c>
      <c r="E173" s="5">
        <f>+'тура ака'!Q162</f>
        <v>3332000</v>
      </c>
      <c r="F173" s="76" t="str">
        <f>+'тура ака'!E162</f>
        <v>530 ттз турон</v>
      </c>
    </row>
    <row r="174" spans="1:6" hidden="1" x14ac:dyDescent="0.3">
      <c r="A174" s="1"/>
      <c r="B174" s="4">
        <v>400000</v>
      </c>
      <c r="C174" s="75" t="s">
        <v>214</v>
      </c>
      <c r="D174" s="76"/>
      <c r="E174" s="5">
        <f>+'тура ака'!Q163</f>
        <v>417520</v>
      </c>
      <c r="F174" s="76" t="str">
        <f>+'тура ака'!E163</f>
        <v>972 ттз исл</v>
      </c>
    </row>
    <row r="175" spans="1:6" hidden="1" x14ac:dyDescent="0.3">
      <c r="A175" s="1"/>
      <c r="B175" s="4">
        <v>465589</v>
      </c>
      <c r="C175" s="75" t="s">
        <v>512</v>
      </c>
      <c r="D175" s="76"/>
      <c r="E175" s="5">
        <f>+'тура ака'!Q164</f>
        <v>1382580</v>
      </c>
      <c r="F175" s="76" t="str">
        <f>+'тура ака'!E164</f>
        <v>187 ттз бобир</v>
      </c>
    </row>
    <row r="176" spans="1:6" hidden="1" x14ac:dyDescent="0.3">
      <c r="A176" s="1"/>
      <c r="B176" s="4">
        <v>600000</v>
      </c>
      <c r="C176" s="75"/>
      <c r="D176" s="76"/>
      <c r="E176" s="5">
        <v>500000</v>
      </c>
      <c r="F176" s="76" t="s">
        <v>130</v>
      </c>
    </row>
    <row r="177" spans="1:6" hidden="1" x14ac:dyDescent="0.3">
      <c r="A177" s="1" t="s">
        <v>522</v>
      </c>
      <c r="B177" s="4">
        <v>700000</v>
      </c>
      <c r="C177" s="75" t="s">
        <v>192</v>
      </c>
      <c r="D177" s="76" t="s">
        <v>522</v>
      </c>
      <c r="E177" s="5">
        <f>+'тура ака'!Q166</f>
        <v>62880</v>
      </c>
      <c r="F177" s="76" t="str">
        <f>+'тура ака'!E166</f>
        <v>975 мяхки хуршед</v>
      </c>
    </row>
    <row r="178" spans="1:6" hidden="1" x14ac:dyDescent="0.3">
      <c r="A178" s="1"/>
      <c r="B178" s="4">
        <v>3630000</v>
      </c>
      <c r="C178" s="75" t="s">
        <v>525</v>
      </c>
      <c r="D178" s="76"/>
      <c r="E178" s="5">
        <f>+'тура ака'!Q167</f>
        <v>1295040</v>
      </c>
      <c r="F178" s="76" t="str">
        <f>+'тура ака'!E167</f>
        <v>163 мчхки фармон</v>
      </c>
    </row>
    <row r="179" spans="1:6" hidden="1" x14ac:dyDescent="0.3">
      <c r="A179" s="1"/>
      <c r="B179" s="4">
        <v>5000000</v>
      </c>
      <c r="C179" s="75" t="s">
        <v>113</v>
      </c>
      <c r="D179" s="76"/>
      <c r="E179" s="5">
        <f>+'тура ака'!Q168</f>
        <v>1387610</v>
      </c>
      <c r="F179" s="76" t="str">
        <f>+'тура ака'!E168</f>
        <v>963 мяхк комил</v>
      </c>
    </row>
    <row r="180" spans="1:6" hidden="1" x14ac:dyDescent="0.3">
      <c r="A180" s="1"/>
      <c r="B180" s="4">
        <v>200000</v>
      </c>
      <c r="C180" s="75" t="s">
        <v>139</v>
      </c>
      <c r="D180" s="76"/>
      <c r="E180" s="5">
        <f>+'тура ака'!Q169</f>
        <v>409719.99999999627</v>
      </c>
      <c r="F180" s="76" t="str">
        <f>+'тура ака'!E169</f>
        <v>210 мяхк истат</v>
      </c>
    </row>
    <row r="181" spans="1:6" hidden="1" x14ac:dyDescent="0.3">
      <c r="A181" s="1"/>
      <c r="B181" s="4"/>
      <c r="C181" s="75"/>
      <c r="D181" s="76"/>
      <c r="E181" s="5"/>
      <c r="F181" s="76">
        <f>+'тура ака'!E170</f>
        <v>0</v>
      </c>
    </row>
    <row r="182" spans="1:6" hidden="1" x14ac:dyDescent="0.3">
      <c r="A182" s="1"/>
      <c r="B182" s="4"/>
      <c r="C182" s="75"/>
      <c r="D182" s="76"/>
      <c r="E182" s="174">
        <f>525*3200</f>
        <v>1680000</v>
      </c>
      <c r="F182" s="76" t="s">
        <v>526</v>
      </c>
    </row>
    <row r="183" spans="1:6" hidden="1" x14ac:dyDescent="0.3">
      <c r="A183" s="1"/>
      <c r="B183" s="4"/>
      <c r="C183" s="75"/>
      <c r="D183" s="76"/>
      <c r="E183" s="174">
        <f>67*2900</f>
        <v>194300</v>
      </c>
      <c r="F183" s="76" t="s">
        <v>527</v>
      </c>
    </row>
    <row r="184" spans="1:6" hidden="1" x14ac:dyDescent="0.3">
      <c r="A184" s="1" t="s">
        <v>535</v>
      </c>
      <c r="B184" s="4">
        <v>200000</v>
      </c>
      <c r="C184" s="75" t="s">
        <v>261</v>
      </c>
      <c r="D184" s="76" t="s">
        <v>535</v>
      </c>
      <c r="E184" s="5">
        <f>+'тура ака'!Q173</f>
        <v>941680</v>
      </c>
      <c r="F184" s="76" t="str">
        <f>+'тура ака'!E173</f>
        <v>532 мяхк нур</v>
      </c>
    </row>
    <row r="185" spans="1:6" hidden="1" x14ac:dyDescent="0.3">
      <c r="A185" s="1"/>
      <c r="B185" s="4">
        <v>200000</v>
      </c>
      <c r="C185" s="75" t="s">
        <v>111</v>
      </c>
      <c r="D185" s="76"/>
      <c r="E185" s="5">
        <f>+'тура ака'!Q174</f>
        <v>766180</v>
      </c>
      <c r="F185" s="76" t="str">
        <f>+'тура ака'!E174</f>
        <v>377 мяхк ойбек</v>
      </c>
    </row>
    <row r="186" spans="1:6" hidden="1" x14ac:dyDescent="0.3">
      <c r="A186" s="1"/>
      <c r="B186" s="4">
        <v>599190</v>
      </c>
      <c r="C186" s="75" t="s">
        <v>539</v>
      </c>
      <c r="D186" s="76"/>
      <c r="E186" s="5">
        <f>+'тура ака'!Q175</f>
        <v>498960</v>
      </c>
      <c r="F186" s="76" t="str">
        <f>+'тура ака'!E175</f>
        <v>537 мяхк нов</v>
      </c>
    </row>
    <row r="187" spans="1:6" hidden="1" x14ac:dyDescent="0.3">
      <c r="A187" s="1"/>
      <c r="B187" s="4"/>
      <c r="C187" s="75"/>
      <c r="D187" s="76"/>
      <c r="E187" s="5">
        <f>+'тура ака'!Q176</f>
        <v>474195</v>
      </c>
      <c r="F187" s="76" t="str">
        <f>+'тура ака'!E176</f>
        <v>642 жасур</v>
      </c>
    </row>
    <row r="188" spans="1:6" hidden="1" x14ac:dyDescent="0.3">
      <c r="A188" s="1"/>
      <c r="B188" s="4"/>
      <c r="C188" s="75"/>
      <c r="D188" s="76"/>
      <c r="E188" s="5">
        <f>+'тура ака'!Q177</f>
        <v>4607760</v>
      </c>
      <c r="F188" s="76" t="str">
        <f>+'тура ака'!E177</f>
        <v>413 мяхки т</v>
      </c>
    </row>
    <row r="189" spans="1:6" hidden="1" x14ac:dyDescent="0.3">
      <c r="A189" s="1"/>
      <c r="B189" s="4"/>
      <c r="C189" s="75"/>
      <c r="D189" s="76"/>
      <c r="E189" s="5">
        <v>300000</v>
      </c>
      <c r="F189" s="76" t="s">
        <v>537</v>
      </c>
    </row>
    <row r="190" spans="1:6" hidden="1" x14ac:dyDescent="0.3">
      <c r="A190" s="1"/>
      <c r="B190" s="4"/>
      <c r="C190" s="75"/>
      <c r="D190" s="76"/>
      <c r="E190" s="5">
        <f>3000*300</f>
        <v>900000</v>
      </c>
      <c r="F190" s="76" t="s">
        <v>538</v>
      </c>
    </row>
    <row r="191" spans="1:6" hidden="1" x14ac:dyDescent="0.3">
      <c r="A191" s="1"/>
      <c r="B191" s="4"/>
      <c r="C191" s="75"/>
      <c r="D191" s="76"/>
      <c r="E191" s="5">
        <v>900000</v>
      </c>
      <c r="F191" s="76" t="s">
        <v>130</v>
      </c>
    </row>
    <row r="192" spans="1:6" hidden="1" x14ac:dyDescent="0.3">
      <c r="A192" s="1" t="s">
        <v>529</v>
      </c>
      <c r="B192" s="4">
        <v>300000</v>
      </c>
      <c r="C192" s="75" t="s">
        <v>553</v>
      </c>
      <c r="D192" s="76" t="s">
        <v>529</v>
      </c>
      <c r="E192" s="5">
        <f>+'тура ака'!Q181</f>
        <v>1191350</v>
      </c>
      <c r="F192" s="76" t="str">
        <f>+'тура ака'!E181</f>
        <v>384 мяхк азик,</v>
      </c>
    </row>
    <row r="193" spans="1:6" hidden="1" x14ac:dyDescent="0.3">
      <c r="A193" s="1"/>
      <c r="B193" s="4">
        <v>300000</v>
      </c>
      <c r="C193" s="75" t="s">
        <v>192</v>
      </c>
      <c r="D193" s="76"/>
      <c r="E193" s="5">
        <f>+'тура ака'!Q182</f>
        <v>993360</v>
      </c>
      <c r="F193" s="76" t="str">
        <f>+'тура ака'!E182</f>
        <v>304 мяхк истат</v>
      </c>
    </row>
    <row r="194" spans="1:6" hidden="1" x14ac:dyDescent="0.3">
      <c r="A194" s="1"/>
      <c r="B194" s="4">
        <v>246565</v>
      </c>
      <c r="C194" s="75" t="s">
        <v>139</v>
      </c>
      <c r="D194" s="76"/>
      <c r="E194" s="5">
        <f>+'тура ака'!Q183</f>
        <v>672483</v>
      </c>
      <c r="F194" s="76" t="str">
        <f>+'тура ака'!E183</f>
        <v>725 бекобод исл</v>
      </c>
    </row>
    <row r="195" spans="1:6" hidden="1" x14ac:dyDescent="0.3">
      <c r="A195" s="1"/>
      <c r="B195" s="4">
        <v>3000000</v>
      </c>
      <c r="C195" s="75" t="s">
        <v>314</v>
      </c>
      <c r="D195" s="76"/>
      <c r="E195" s="5">
        <f>+'тура ака'!Q184</f>
        <v>376698.75</v>
      </c>
      <c r="F195" s="76" t="str">
        <f>+'тура ака'!E184</f>
        <v>037 релс</v>
      </c>
    </row>
    <row r="196" spans="1:6" hidden="1" x14ac:dyDescent="0.3">
      <c r="A196" s="1"/>
      <c r="B196" s="4"/>
      <c r="C196" s="75"/>
      <c r="D196" s="76"/>
      <c r="E196" s="5">
        <f>+'тура ака'!Q185</f>
        <v>252612.5</v>
      </c>
      <c r="F196" s="76" t="str">
        <f>+'тура ака'!E185</f>
        <v>421 релс</v>
      </c>
    </row>
    <row r="197" spans="1:6" hidden="1" x14ac:dyDescent="0.3">
      <c r="A197" s="1"/>
      <c r="B197" s="4"/>
      <c r="C197" s="75"/>
      <c r="D197" s="76"/>
      <c r="E197" s="5">
        <f>+'тура ака'!Q186</f>
        <v>350518.75</v>
      </c>
      <c r="F197" s="76" t="str">
        <f>+'тура ака'!E186</f>
        <v>142 релс</v>
      </c>
    </row>
    <row r="198" spans="1:6" hidden="1" x14ac:dyDescent="0.3">
      <c r="A198" s="1"/>
      <c r="B198" s="4"/>
      <c r="C198" s="75"/>
      <c r="D198" s="76"/>
      <c r="E198" s="174">
        <f>123*3000</f>
        <v>369000</v>
      </c>
      <c r="F198" s="76" t="s">
        <v>551</v>
      </c>
    </row>
    <row r="199" spans="1:6" hidden="1" x14ac:dyDescent="0.3">
      <c r="A199" s="1" t="s">
        <v>546</v>
      </c>
      <c r="B199" s="4">
        <v>2000000</v>
      </c>
      <c r="C199" s="75" t="s">
        <v>565</v>
      </c>
      <c r="D199" s="76" t="s">
        <v>546</v>
      </c>
      <c r="E199" s="5">
        <f>+'тура ака'!Q188</f>
        <v>729960</v>
      </c>
      <c r="F199" s="76" t="str">
        <f>+'тура ака'!E188</f>
        <v>156 мяхк нов</v>
      </c>
    </row>
    <row r="200" spans="1:6" hidden="1" x14ac:dyDescent="0.3">
      <c r="A200" s="1"/>
      <c r="B200" s="4">
        <v>1200000</v>
      </c>
      <c r="C200" s="75" t="s">
        <v>566</v>
      </c>
      <c r="D200" s="76"/>
      <c r="E200" s="5">
        <f>+'тура ака'!Q189</f>
        <v>1178500</v>
      </c>
      <c r="F200" s="76" t="str">
        <f>+'тура ака'!E189</f>
        <v>650 мяхк пешку 50 тн</v>
      </c>
    </row>
    <row r="201" spans="1:6" hidden="1" x14ac:dyDescent="0.3">
      <c r="A201" s="1"/>
      <c r="B201" s="4">
        <v>20000000</v>
      </c>
      <c r="C201" s="75" t="s">
        <v>113</v>
      </c>
      <c r="D201" s="76"/>
      <c r="E201" s="5">
        <f>+'тура ака'!Q190</f>
        <v>1130477.5</v>
      </c>
      <c r="F201" s="76" t="str">
        <f>+'тура ака'!E190</f>
        <v>975 бекобод</v>
      </c>
    </row>
    <row r="202" spans="1:6" hidden="1" x14ac:dyDescent="0.3">
      <c r="A202" s="1"/>
      <c r="B202" s="4">
        <v>200000</v>
      </c>
      <c r="C202" s="75" t="s">
        <v>567</v>
      </c>
      <c r="D202" s="76"/>
      <c r="E202" s="5">
        <f>+'тура ака'!Q191</f>
        <v>745060</v>
      </c>
      <c r="F202" s="76" t="str">
        <f>+'тура ака'!E191</f>
        <v>569 мяхк жасур</v>
      </c>
    </row>
    <row r="203" spans="1:6" hidden="1" x14ac:dyDescent="0.3">
      <c r="A203" s="1"/>
      <c r="B203" s="4">
        <v>300000</v>
      </c>
      <c r="C203" s="75" t="s">
        <v>568</v>
      </c>
      <c r="D203" s="76"/>
      <c r="E203" s="5">
        <f>+'тура ака'!Q192</f>
        <v>1109080</v>
      </c>
      <c r="F203" s="76" t="str">
        <f>+'тура ака'!E192</f>
        <v>869 мяхк истат</v>
      </c>
    </row>
    <row r="204" spans="1:6" hidden="1" x14ac:dyDescent="0.3">
      <c r="A204" s="1"/>
      <c r="B204" s="4">
        <v>1200000</v>
      </c>
      <c r="C204" s="75" t="s">
        <v>154</v>
      </c>
      <c r="D204" s="76"/>
      <c r="E204" s="5">
        <f>+'тура ака'!Q193</f>
        <v>1278080</v>
      </c>
      <c r="F204" s="76" t="str">
        <f>+'тура ака'!E193</f>
        <v>334 мяхк истат</v>
      </c>
    </row>
    <row r="205" spans="1:6" hidden="1" x14ac:dyDescent="0.3">
      <c r="A205" s="1"/>
      <c r="B205" s="4">
        <v>1826540</v>
      </c>
      <c r="C205" s="75" t="s">
        <v>572</v>
      </c>
      <c r="D205" s="76"/>
      <c r="E205" s="5">
        <f>+'тура ака'!Q194</f>
        <v>400759.99999999814</v>
      </c>
      <c r="F205" s="76" t="str">
        <f>+'тура ака'!E194</f>
        <v>777 олот</v>
      </c>
    </row>
    <row r="206" spans="1:6" hidden="1" x14ac:dyDescent="0.3">
      <c r="A206" s="1"/>
      <c r="B206" s="4">
        <v>160828</v>
      </c>
      <c r="C206" s="75" t="s">
        <v>575</v>
      </c>
      <c r="D206" s="76"/>
      <c r="E206" s="5">
        <f>+'тура ака'!Q195</f>
        <v>1962400</v>
      </c>
      <c r="F206" s="76" t="str">
        <f>+'тура ака'!E195</f>
        <v>576 мяхк тур</v>
      </c>
    </row>
    <row r="207" spans="1:6" hidden="1" x14ac:dyDescent="0.3">
      <c r="A207" s="1" t="s">
        <v>576</v>
      </c>
      <c r="B207" s="4">
        <v>1200000</v>
      </c>
      <c r="C207" s="75" t="s">
        <v>581</v>
      </c>
      <c r="D207" s="76"/>
      <c r="E207" s="5">
        <v>6000000</v>
      </c>
      <c r="F207" s="76" t="s">
        <v>408</v>
      </c>
    </row>
    <row r="208" spans="1:6" hidden="1" x14ac:dyDescent="0.3">
      <c r="A208" s="1"/>
      <c r="B208" s="4">
        <v>9720000</v>
      </c>
      <c r="C208" s="75" t="s">
        <v>233</v>
      </c>
      <c r="D208" s="76"/>
      <c r="E208" s="5">
        <f>+'тура ака'!Q197</f>
        <v>1018620</v>
      </c>
      <c r="F208" s="76" t="str">
        <f>+'тура ака'!E197</f>
        <v>384 мяхк фармон</v>
      </c>
    </row>
    <row r="209" spans="1:6" hidden="1" x14ac:dyDescent="0.3">
      <c r="A209" s="1"/>
      <c r="B209" s="4">
        <f>192*2900</f>
        <v>556800</v>
      </c>
      <c r="C209" s="75" t="s">
        <v>233</v>
      </c>
      <c r="D209" s="76"/>
      <c r="E209" s="5">
        <f>+'тура ака'!Q198</f>
        <v>0</v>
      </c>
      <c r="F209" s="76">
        <f>+'тура ака'!E198</f>
        <v>0</v>
      </c>
    </row>
    <row r="210" spans="1:6" hidden="1" x14ac:dyDescent="0.3">
      <c r="A210" s="1"/>
      <c r="B210" s="4">
        <f>500*12200</f>
        <v>6100000</v>
      </c>
      <c r="C210" s="75" t="s">
        <v>582</v>
      </c>
      <c r="D210" s="76" t="s">
        <v>576</v>
      </c>
      <c r="E210" s="5">
        <f>+'тура ака'!Q199</f>
        <v>-542624</v>
      </c>
      <c r="F210" s="76" t="str">
        <f>+'тура ака'!E199</f>
        <v>049 мяхк нов</v>
      </c>
    </row>
    <row r="211" spans="1:6" hidden="1" x14ac:dyDescent="0.3">
      <c r="A211" s="1"/>
      <c r="B211" s="4">
        <v>5800000</v>
      </c>
      <c r="C211" s="75" t="s">
        <v>590</v>
      </c>
      <c r="D211" s="76"/>
      <c r="E211" s="5">
        <f>+'тура ака'!Q200</f>
        <v>634950</v>
      </c>
      <c r="F211" s="76" t="str">
        <f>+'тура ака'!E200</f>
        <v>031 бекобод т</v>
      </c>
    </row>
    <row r="212" spans="1:6" hidden="1" x14ac:dyDescent="0.3">
      <c r="A212" s="1"/>
      <c r="B212" s="4">
        <v>300000</v>
      </c>
      <c r="C212" s="75" t="s">
        <v>593</v>
      </c>
      <c r="D212" s="76"/>
      <c r="E212" s="5">
        <f>+'тура ака'!Q201</f>
        <v>1096840</v>
      </c>
      <c r="F212" s="76" t="str">
        <f>+'тура ака'!E201</f>
        <v>318 ширин карши</v>
      </c>
    </row>
    <row r="213" spans="1:6" hidden="1" x14ac:dyDescent="0.3">
      <c r="A213" s="1"/>
      <c r="B213" s="4">
        <v>500000</v>
      </c>
      <c r="C213" s="75" t="s">
        <v>371</v>
      </c>
      <c r="D213" s="76"/>
      <c r="E213" s="5">
        <f>238*2900</f>
        <v>690200</v>
      </c>
      <c r="F213" s="76" t="s">
        <v>583</v>
      </c>
    </row>
    <row r="214" spans="1:6" hidden="1" x14ac:dyDescent="0.3">
      <c r="A214" s="1"/>
      <c r="B214" s="4">
        <v>800000</v>
      </c>
      <c r="C214" s="75" t="s">
        <v>192</v>
      </c>
      <c r="D214" s="76"/>
      <c r="E214" s="5">
        <f>+'тура ака'!Q203</f>
        <v>821399.99999999255</v>
      </c>
      <c r="F214" s="76" t="str">
        <f>+'тура ака'!E203</f>
        <v>270 шивилер</v>
      </c>
    </row>
    <row r="215" spans="1:6" hidden="1" x14ac:dyDescent="0.3">
      <c r="A215" s="1"/>
      <c r="B215" s="4">
        <v>400000</v>
      </c>
      <c r="C215" s="75" t="s">
        <v>595</v>
      </c>
      <c r="D215" s="76"/>
      <c r="E215" s="5">
        <f>+'тура ака'!Q204</f>
        <v>561710</v>
      </c>
      <c r="F215" s="76" t="str">
        <f>+'тура ака'!E204</f>
        <v>803 бекобод</v>
      </c>
    </row>
    <row r="216" spans="1:6" hidden="1" x14ac:dyDescent="0.3">
      <c r="A216" s="1"/>
      <c r="B216" s="4">
        <v>158490</v>
      </c>
      <c r="C216" s="75" t="s">
        <v>599</v>
      </c>
      <c r="D216" s="76"/>
      <c r="E216" s="5">
        <f>+'тура ака'!Q205</f>
        <v>718790</v>
      </c>
      <c r="F216" s="76" t="str">
        <f>+'тура ака'!E205</f>
        <v>267 мяхк турон</v>
      </c>
    </row>
    <row r="217" spans="1:6" hidden="1" x14ac:dyDescent="0.3">
      <c r="A217" s="1"/>
      <c r="B217" s="4">
        <v>400000</v>
      </c>
      <c r="C217" s="75" t="s">
        <v>600</v>
      </c>
      <c r="D217" s="76"/>
      <c r="E217" s="5">
        <f>+'тура ака'!Q206</f>
        <v>790800</v>
      </c>
      <c r="F217" s="76" t="str">
        <f>+'тура ака'!E206</f>
        <v>270 шивилер</v>
      </c>
    </row>
    <row r="218" spans="1:6" hidden="1" x14ac:dyDescent="0.3">
      <c r="A218" s="1"/>
      <c r="B218" s="4"/>
      <c r="C218" s="75"/>
      <c r="D218" s="76"/>
      <c r="E218" s="5">
        <v>2300000</v>
      </c>
      <c r="F218" s="76" t="s">
        <v>589</v>
      </c>
    </row>
    <row r="219" spans="1:6" hidden="1" x14ac:dyDescent="0.3">
      <c r="A219" s="1"/>
      <c r="B219" s="4"/>
      <c r="C219" s="75"/>
      <c r="D219" s="76"/>
      <c r="E219" s="5">
        <v>900000</v>
      </c>
      <c r="F219" s="76" t="s">
        <v>594</v>
      </c>
    </row>
    <row r="220" spans="1:6" hidden="1" x14ac:dyDescent="0.3">
      <c r="A220" s="1"/>
      <c r="B220" s="4"/>
      <c r="C220" s="75"/>
      <c r="D220" s="76"/>
      <c r="E220" s="5">
        <v>800000</v>
      </c>
      <c r="F220" s="76" t="s">
        <v>596</v>
      </c>
    </row>
    <row r="221" spans="1:6" hidden="1" x14ac:dyDescent="0.3">
      <c r="A221" s="1"/>
      <c r="B221" s="4"/>
      <c r="C221" s="75"/>
      <c r="D221" s="76"/>
      <c r="E221" s="5">
        <v>1300000</v>
      </c>
      <c r="F221" s="76" t="s">
        <v>597</v>
      </c>
    </row>
    <row r="222" spans="1:6" hidden="1" x14ac:dyDescent="0.3">
      <c r="A222" s="1"/>
      <c r="B222" s="4"/>
      <c r="C222" s="75"/>
      <c r="D222" s="76"/>
      <c r="E222" s="5">
        <f>+'тура ака'!Q211</f>
        <v>0</v>
      </c>
      <c r="F222" s="76">
        <f>+'тура ака'!E211</f>
        <v>0</v>
      </c>
    </row>
    <row r="223" spans="1:6" hidden="1" x14ac:dyDescent="0.3">
      <c r="A223" s="1" t="s">
        <v>601</v>
      </c>
      <c r="B223" s="4">
        <v>400000</v>
      </c>
      <c r="C223" s="75" t="s">
        <v>612</v>
      </c>
      <c r="D223" s="76" t="s">
        <v>601</v>
      </c>
      <c r="E223" s="5">
        <f>+'тура ака'!Q212</f>
        <v>601472</v>
      </c>
      <c r="F223" s="76" t="str">
        <f>+'тура ака'!E212</f>
        <v>384  бекобод нурмат</v>
      </c>
    </row>
    <row r="224" spans="1:6" hidden="1" x14ac:dyDescent="0.3">
      <c r="A224" s="1"/>
      <c r="B224" s="4">
        <v>200000</v>
      </c>
      <c r="C224" s="75" t="s">
        <v>613</v>
      </c>
      <c r="D224" s="76"/>
      <c r="E224" s="5">
        <f>+'тура ака'!Q213</f>
        <v>1898944</v>
      </c>
      <c r="F224" s="76" t="str">
        <f>+'тура ака'!E213</f>
        <v>377 мяхк ойбек</v>
      </c>
    </row>
    <row r="225" spans="1:6" hidden="1" x14ac:dyDescent="0.3">
      <c r="A225" s="1"/>
      <c r="B225" s="4">
        <v>421350</v>
      </c>
      <c r="C225" s="75" t="s">
        <v>614</v>
      </c>
      <c r="D225" s="76"/>
      <c r="E225" s="5">
        <f>+'тура ака'!Q214</f>
        <v>1677512.5</v>
      </c>
      <c r="F225" s="76" t="str">
        <f>+'тура ака'!E214</f>
        <v>445 бекобод низ</v>
      </c>
    </row>
    <row r="226" spans="1:6" hidden="1" x14ac:dyDescent="0.3">
      <c r="A226" s="1"/>
      <c r="B226" s="4"/>
      <c r="C226" s="75"/>
      <c r="D226" s="76"/>
      <c r="E226" s="5">
        <f>+'тура ака'!Q215</f>
        <v>728687.5</v>
      </c>
      <c r="F226" s="76" t="str">
        <f>+'тура ака'!E215</f>
        <v>413 бекобод прес</v>
      </c>
    </row>
    <row r="227" spans="1:6" hidden="1" x14ac:dyDescent="0.3">
      <c r="A227" s="1"/>
      <c r="B227" s="4"/>
      <c r="C227" s="75"/>
      <c r="D227" s="76"/>
      <c r="E227" s="5">
        <f>+'тура ака'!Q216</f>
        <v>1678400</v>
      </c>
      <c r="F227" s="76" t="str">
        <f>+'тура ака'!E216</f>
        <v>878 карши</v>
      </c>
    </row>
    <row r="228" spans="1:6" hidden="1" x14ac:dyDescent="0.3">
      <c r="A228" s="1"/>
      <c r="B228" s="4"/>
      <c r="C228" s="75"/>
      <c r="D228" s="76"/>
      <c r="E228" s="5">
        <f>+'тура ака'!Q217</f>
        <v>1225820</v>
      </c>
      <c r="F228" s="76" t="str">
        <f>+'тура ака'!E217</f>
        <v>725 мяхк ис</v>
      </c>
    </row>
    <row r="229" spans="1:6" hidden="1" x14ac:dyDescent="0.3">
      <c r="A229" s="1" t="s">
        <v>615</v>
      </c>
      <c r="B229" s="4">
        <v>1600000</v>
      </c>
      <c r="C229" s="75" t="s">
        <v>621</v>
      </c>
      <c r="D229" s="76" t="s">
        <v>615</v>
      </c>
      <c r="E229" s="5">
        <f>+'тура ака'!Q218</f>
        <v>1566210</v>
      </c>
      <c r="F229" s="76" t="str">
        <f>+'тура ака'!E218</f>
        <v>812 мяхк т</v>
      </c>
    </row>
    <row r="230" spans="1:6" hidden="1" x14ac:dyDescent="0.3">
      <c r="A230" s="1"/>
      <c r="B230" s="4">
        <v>700000</v>
      </c>
      <c r="C230" s="75" t="s">
        <v>626</v>
      </c>
      <c r="D230" s="76"/>
      <c r="E230" s="5">
        <f>+'тура ака'!Q219</f>
        <v>772220</v>
      </c>
      <c r="F230" s="76" t="str">
        <f>+'тура ака'!E219</f>
        <v>975 бекобод т</v>
      </c>
    </row>
    <row r="231" spans="1:6" hidden="1" x14ac:dyDescent="0.3">
      <c r="A231" s="1"/>
      <c r="B231" s="4">
        <v>900000</v>
      </c>
      <c r="C231" s="75" t="s">
        <v>261</v>
      </c>
      <c r="D231" s="76"/>
      <c r="E231" s="5">
        <f>+'тура ака'!Q220</f>
        <v>694800</v>
      </c>
      <c r="F231" s="76" t="str">
        <f>+'тура ака'!E220</f>
        <v>270 мошин бахти</v>
      </c>
    </row>
    <row r="232" spans="1:6" hidden="1" x14ac:dyDescent="0.3">
      <c r="A232" s="1"/>
      <c r="B232" s="4">
        <v>1200000</v>
      </c>
      <c r="C232" s="75" t="s">
        <v>627</v>
      </c>
      <c r="D232" s="76"/>
      <c r="E232" s="5">
        <v>700000</v>
      </c>
      <c r="F232" s="76" t="s">
        <v>623</v>
      </c>
    </row>
    <row r="233" spans="1:6" hidden="1" x14ac:dyDescent="0.3">
      <c r="A233" s="1"/>
      <c r="B233" s="4">
        <v>200000</v>
      </c>
      <c r="C233" s="75" t="s">
        <v>139</v>
      </c>
      <c r="D233" s="76"/>
      <c r="E233" s="5">
        <v>1200000</v>
      </c>
      <c r="F233" s="76" t="s">
        <v>624</v>
      </c>
    </row>
    <row r="234" spans="1:6" hidden="1" x14ac:dyDescent="0.3">
      <c r="A234" s="1"/>
      <c r="B234" s="4">
        <v>197931</v>
      </c>
      <c r="C234" s="75" t="s">
        <v>628</v>
      </c>
      <c r="D234" s="76"/>
      <c r="E234" s="5">
        <f>266*3000</f>
        <v>798000</v>
      </c>
      <c r="F234" s="175" t="s">
        <v>625</v>
      </c>
    </row>
    <row r="235" spans="1:6" hidden="1" x14ac:dyDescent="0.3">
      <c r="A235" s="1" t="s">
        <v>629</v>
      </c>
      <c r="B235" s="4">
        <v>15000000</v>
      </c>
      <c r="C235" s="75" t="s">
        <v>113</v>
      </c>
      <c r="D235" s="76" t="s">
        <v>629</v>
      </c>
      <c r="E235" s="5">
        <f>+'тура ака'!Q224</f>
        <v>467040</v>
      </c>
      <c r="F235" s="76" t="str">
        <f>+'тура ака'!E224</f>
        <v>266 бекобод ислом</v>
      </c>
    </row>
    <row r="236" spans="1:6" hidden="1" x14ac:dyDescent="0.3">
      <c r="A236" s="1"/>
      <c r="B236" s="4">
        <v>300000</v>
      </c>
      <c r="C236" s="75" t="s">
        <v>197</v>
      </c>
      <c r="D236" s="76"/>
      <c r="E236" s="5">
        <f>+'тура ака'!Q225</f>
        <v>1976220</v>
      </c>
      <c r="F236" s="76" t="str">
        <f>+'тура ака'!E225</f>
        <v>532 мяхк асли</v>
      </c>
    </row>
    <row r="237" spans="1:6" hidden="1" x14ac:dyDescent="0.3">
      <c r="A237" s="1"/>
      <c r="B237" s="171">
        <v>6000000</v>
      </c>
      <c r="C237" s="75" t="s">
        <v>630</v>
      </c>
      <c r="D237" s="76"/>
      <c r="E237" s="5">
        <f>+'тура ака'!Q226</f>
        <v>1398600</v>
      </c>
      <c r="F237" s="76" t="str">
        <f>+'тура ака'!E226</f>
        <v>793 мяхк бозорбой</v>
      </c>
    </row>
    <row r="238" spans="1:6" hidden="1" x14ac:dyDescent="0.3">
      <c r="A238" s="1"/>
      <c r="B238" s="4">
        <v>500000</v>
      </c>
      <c r="C238" s="75" t="s">
        <v>600</v>
      </c>
      <c r="D238" s="76"/>
      <c r="E238" s="5">
        <f>+'тура ака'!Q227</f>
        <v>1625860</v>
      </c>
      <c r="F238" s="76" t="str">
        <f>+'тура ака'!E227</f>
        <v>574 бекобод ой т</v>
      </c>
    </row>
    <row r="239" spans="1:6" hidden="1" x14ac:dyDescent="0.3">
      <c r="A239" s="1"/>
      <c r="B239" s="4">
        <v>496710</v>
      </c>
      <c r="C239" s="75" t="s">
        <v>600</v>
      </c>
      <c r="D239" s="76"/>
      <c r="E239" s="5">
        <f>+'тура ака'!Q228</f>
        <v>927196</v>
      </c>
      <c r="F239" s="76" t="str">
        <f>+'тура ака'!E228</f>
        <v>427 бекобод воб</v>
      </c>
    </row>
    <row r="240" spans="1:6" hidden="1" x14ac:dyDescent="0.3">
      <c r="A240" s="1"/>
      <c r="B240" s="4"/>
      <c r="C240" s="75"/>
      <c r="D240" s="76"/>
      <c r="E240" s="5">
        <v>1000000</v>
      </c>
      <c r="F240" s="76" t="s">
        <v>637</v>
      </c>
    </row>
    <row r="241" spans="1:6" hidden="1" x14ac:dyDescent="0.3">
      <c r="A241" s="1" t="s">
        <v>639</v>
      </c>
      <c r="B241" s="4">
        <v>500000</v>
      </c>
      <c r="C241" s="75" t="s">
        <v>261</v>
      </c>
      <c r="D241" s="76" t="s">
        <v>639</v>
      </c>
      <c r="E241" s="5">
        <f>+'тура ака'!Q230</f>
        <v>-314260</v>
      </c>
      <c r="F241" s="76" t="str">
        <f>+'тура ака'!E230</f>
        <v>593 бекобод фарход</v>
      </c>
    </row>
    <row r="242" spans="1:6" hidden="1" x14ac:dyDescent="0.3">
      <c r="A242" s="1"/>
      <c r="B242" s="4">
        <v>300000</v>
      </c>
      <c r="C242" s="75" t="s">
        <v>512</v>
      </c>
      <c r="D242" s="76"/>
      <c r="E242" s="5">
        <f>+'тура ака'!Q231</f>
        <v>3313100</v>
      </c>
      <c r="F242" s="76" t="str">
        <f>+'тура ака'!E231</f>
        <v>495 низом мияхк</v>
      </c>
    </row>
    <row r="243" spans="1:6" hidden="1" x14ac:dyDescent="0.3">
      <c r="A243" s="1"/>
      <c r="B243" s="181" t="s">
        <v>154</v>
      </c>
      <c r="C243" s="181" t="s">
        <v>650</v>
      </c>
      <c r="D243" s="76"/>
      <c r="E243" s="5">
        <f>+'тура ака'!Q232</f>
        <v>1378130</v>
      </c>
      <c r="F243" s="76" t="str">
        <f>+'тура ака'!E232</f>
        <v>803 мяхк т</v>
      </c>
    </row>
    <row r="244" spans="1:6" hidden="1" x14ac:dyDescent="0.3">
      <c r="A244" s="1"/>
      <c r="B244" s="4">
        <v>1800000</v>
      </c>
      <c r="C244" s="75" t="s">
        <v>539</v>
      </c>
      <c r="D244" s="76"/>
      <c r="E244" s="5">
        <f>+'тура ака'!Q233</f>
        <v>1603770</v>
      </c>
      <c r="F244" s="76" t="str">
        <f>+'тура ака'!E233</f>
        <v>163 мяхк т</v>
      </c>
    </row>
    <row r="245" spans="1:6" hidden="1" x14ac:dyDescent="0.3">
      <c r="A245" s="1"/>
      <c r="B245" s="4">
        <v>300000</v>
      </c>
      <c r="C245" s="75" t="s">
        <v>192</v>
      </c>
      <c r="D245" s="76"/>
      <c r="E245" s="5">
        <f>+'тура ака'!Q234</f>
        <v>1456000</v>
      </c>
      <c r="F245" s="76" t="str">
        <f>+'тура ака'!E234</f>
        <v>642 мяхк</v>
      </c>
    </row>
    <row r="246" spans="1:6" hidden="1" x14ac:dyDescent="0.3">
      <c r="A246" s="1"/>
      <c r="B246" s="4">
        <v>10275</v>
      </c>
      <c r="C246" s="75" t="s">
        <v>600</v>
      </c>
      <c r="D246" s="76"/>
      <c r="E246" s="5">
        <v>2710000</v>
      </c>
      <c r="F246" s="175" t="s">
        <v>649</v>
      </c>
    </row>
    <row r="247" spans="1:6" hidden="1" x14ac:dyDescent="0.3">
      <c r="A247" s="1"/>
      <c r="B247" s="4"/>
      <c r="C247" s="75"/>
      <c r="D247" s="76"/>
      <c r="E247" s="5">
        <v>6000000</v>
      </c>
      <c r="F247" s="76" t="s">
        <v>408</v>
      </c>
    </row>
    <row r="248" spans="1:6" hidden="1" x14ac:dyDescent="0.3">
      <c r="A248" s="1" t="s">
        <v>651</v>
      </c>
      <c r="B248" s="4">
        <v>17200000</v>
      </c>
      <c r="C248" s="75" t="s">
        <v>655</v>
      </c>
      <c r="D248" s="76" t="s">
        <v>651</v>
      </c>
      <c r="E248" s="5">
        <f>+'тура ака'!Q237</f>
        <v>1140620</v>
      </c>
      <c r="F248" s="76" t="str">
        <f>+'тура ака'!E237</f>
        <v>537 достон пешк мяхки</v>
      </c>
    </row>
    <row r="249" spans="1:6" hidden="1" x14ac:dyDescent="0.3">
      <c r="A249" s="1"/>
      <c r="B249" s="4">
        <v>600000</v>
      </c>
      <c r="C249" s="75" t="s">
        <v>658</v>
      </c>
      <c r="D249" s="76"/>
      <c r="E249" s="5">
        <f>+'тура ака'!Q238</f>
        <v>916120</v>
      </c>
      <c r="F249" s="76" t="str">
        <f>+'тура ака'!E238</f>
        <v>925  карши мяхк</v>
      </c>
    </row>
    <row r="250" spans="1:6" hidden="1" x14ac:dyDescent="0.3">
      <c r="A250" s="1"/>
      <c r="B250" s="4">
        <v>200000</v>
      </c>
      <c r="C250" s="75" t="s">
        <v>659</v>
      </c>
      <c r="D250" s="76"/>
      <c r="E250" s="5">
        <f>+'тура ака'!Q239</f>
        <v>372000</v>
      </c>
      <c r="F250" s="76" t="str">
        <f>+'тура ака'!E239</f>
        <v>570 мяхк т</v>
      </c>
    </row>
    <row r="251" spans="1:6" hidden="1" x14ac:dyDescent="0.3">
      <c r="A251" s="1"/>
      <c r="B251" s="4"/>
      <c r="C251" s="75"/>
      <c r="D251" s="76"/>
      <c r="E251" s="5">
        <f>+'тура ака'!Q240</f>
        <v>936390</v>
      </c>
      <c r="F251" s="76" t="str">
        <f>+'тура ака'!E240</f>
        <v>428 бахти</v>
      </c>
    </row>
    <row r="252" spans="1:6" hidden="1" x14ac:dyDescent="0.3">
      <c r="A252" s="1"/>
      <c r="B252" s="4"/>
      <c r="C252" s="75"/>
      <c r="D252" s="76"/>
      <c r="E252" s="5">
        <v>2200000</v>
      </c>
      <c r="F252" s="76" t="s">
        <v>589</v>
      </c>
    </row>
    <row r="253" spans="1:6" hidden="1" x14ac:dyDescent="0.3">
      <c r="A253" s="1" t="s">
        <v>660</v>
      </c>
      <c r="B253" s="4">
        <v>600000</v>
      </c>
      <c r="C253" s="75" t="s">
        <v>192</v>
      </c>
      <c r="D253" s="76" t="s">
        <v>660</v>
      </c>
      <c r="E253" s="5">
        <f>+'тура ака'!Q242</f>
        <v>504995</v>
      </c>
      <c r="F253" s="76" t="str">
        <f>+'тура ака'!E242</f>
        <v>707 бахти</v>
      </c>
    </row>
    <row r="254" spans="1:6" hidden="1" x14ac:dyDescent="0.3">
      <c r="A254" s="1"/>
      <c r="B254" s="4">
        <v>7400000</v>
      </c>
      <c r="C254" s="75" t="s">
        <v>539</v>
      </c>
      <c r="D254" s="76"/>
      <c r="E254" s="5">
        <v>39711</v>
      </c>
      <c r="F254" s="76" t="s">
        <v>666</v>
      </c>
    </row>
    <row r="255" spans="1:6" hidden="1" x14ac:dyDescent="0.3">
      <c r="A255" s="1"/>
      <c r="B255" s="4">
        <v>200000</v>
      </c>
      <c r="C255" s="75" t="s">
        <v>457</v>
      </c>
      <c r="D255" s="76"/>
      <c r="E255" s="5">
        <f>900*2900</f>
        <v>2610000</v>
      </c>
      <c r="F255" s="76" t="s">
        <v>673</v>
      </c>
    </row>
    <row r="256" spans="1:6" hidden="1" x14ac:dyDescent="0.3">
      <c r="A256" s="1"/>
      <c r="B256" s="4">
        <v>600000</v>
      </c>
      <c r="C256" s="75" t="s">
        <v>658</v>
      </c>
      <c r="D256" s="76"/>
      <c r="E256" s="5">
        <v>300000</v>
      </c>
      <c r="F256" s="76" t="s">
        <v>130</v>
      </c>
    </row>
    <row r="257" spans="1:6" hidden="1" x14ac:dyDescent="0.3">
      <c r="A257" s="1"/>
      <c r="B257" s="4"/>
      <c r="C257" s="75"/>
      <c r="D257" s="76"/>
      <c r="E257" s="174">
        <v>4700000</v>
      </c>
      <c r="F257" s="175" t="s">
        <v>319</v>
      </c>
    </row>
    <row r="258" spans="1:6" hidden="1" x14ac:dyDescent="0.3">
      <c r="A258" s="1" t="s">
        <v>674</v>
      </c>
      <c r="B258" s="4">
        <v>600000</v>
      </c>
      <c r="C258" s="75" t="s">
        <v>154</v>
      </c>
      <c r="D258" s="76"/>
      <c r="E258" s="5">
        <f>+'тура ака'!Q247</f>
        <v>0</v>
      </c>
      <c r="F258" s="76">
        <f>+'тура ака'!E247</f>
        <v>0</v>
      </c>
    </row>
    <row r="259" spans="1:6" hidden="1" x14ac:dyDescent="0.3">
      <c r="A259" s="1"/>
      <c r="B259" s="4">
        <f>900*12150</f>
        <v>10935000</v>
      </c>
      <c r="C259" s="75" t="s">
        <v>675</v>
      </c>
      <c r="D259" s="76" t="s">
        <v>674</v>
      </c>
      <c r="E259" s="5">
        <f>+'тура ака'!Q248</f>
        <v>2105057</v>
      </c>
      <c r="F259" s="76" t="str">
        <f>+'тура ака'!E248</f>
        <v>384 Мавлон еко</v>
      </c>
    </row>
    <row r="260" spans="1:6" hidden="1" x14ac:dyDescent="0.3">
      <c r="A260" s="1"/>
      <c r="B260" s="171">
        <f>3700*12150</f>
        <v>44955000</v>
      </c>
      <c r="C260" s="181" t="s">
        <v>346</v>
      </c>
      <c r="D260" s="76"/>
      <c r="E260" s="5">
        <f>+'тура ака'!Q249</f>
        <v>2251880</v>
      </c>
      <c r="F260" s="76" t="str">
        <f>+'тура ака'!E249</f>
        <v>812 бекобод т</v>
      </c>
    </row>
    <row r="261" spans="1:6" hidden="1" x14ac:dyDescent="0.3">
      <c r="A261" s="1"/>
      <c r="B261" s="4">
        <v>830000</v>
      </c>
      <c r="C261" s="75" t="s">
        <v>294</v>
      </c>
      <c r="D261" s="76"/>
      <c r="E261" s="5">
        <f>+'тура ака'!Q250</f>
        <v>808785</v>
      </c>
      <c r="F261" s="76" t="str">
        <f>+'тура ака'!E250</f>
        <v>011 пешку мяхк</v>
      </c>
    </row>
    <row r="262" spans="1:6" hidden="1" x14ac:dyDescent="0.3">
      <c r="A262" s="1"/>
      <c r="B262" s="4">
        <v>250000</v>
      </c>
      <c r="C262" s="75" t="s">
        <v>371</v>
      </c>
      <c r="D262" s="76"/>
      <c r="E262" s="5">
        <f>+'тура ака'!Q251</f>
        <v>1046180.0000000037</v>
      </c>
      <c r="F262" s="76" t="str">
        <f>+'тура ака'!E251</f>
        <v>878 карши мяхк</v>
      </c>
    </row>
    <row r="263" spans="1:6" hidden="1" x14ac:dyDescent="0.3">
      <c r="A263" s="1"/>
      <c r="B263" s="4">
        <v>150000</v>
      </c>
      <c r="C263" s="75" t="s">
        <v>683</v>
      </c>
      <c r="D263" s="76"/>
      <c r="E263" s="5">
        <f>+'тура ака'!Q252</f>
        <v>1786880</v>
      </c>
      <c r="F263" s="76" t="str">
        <f>+'тура ака'!E252</f>
        <v>377 мяхк ойбек</v>
      </c>
    </row>
    <row r="264" spans="1:6" hidden="1" x14ac:dyDescent="0.3">
      <c r="A264" s="1"/>
      <c r="B264" s="4">
        <v>200000</v>
      </c>
      <c r="C264" s="75" t="s">
        <v>139</v>
      </c>
      <c r="D264" s="76"/>
      <c r="E264" s="5">
        <f>+'тура ака'!Q253</f>
        <v>923220</v>
      </c>
      <c r="F264" s="76" t="str">
        <f>+'тура ака'!E253</f>
        <v>974 мяхки сити</v>
      </c>
    </row>
    <row r="265" spans="1:6" hidden="1" x14ac:dyDescent="0.3">
      <c r="A265" s="1"/>
      <c r="B265" s="4"/>
      <c r="C265" s="75"/>
      <c r="D265" s="76"/>
      <c r="E265" s="5">
        <v>600000</v>
      </c>
      <c r="F265" s="76" t="s">
        <v>684</v>
      </c>
    </row>
    <row r="266" spans="1:6" hidden="1" x14ac:dyDescent="0.3">
      <c r="A266" s="1" t="s">
        <v>682</v>
      </c>
      <c r="B266" s="4">
        <v>6000000</v>
      </c>
      <c r="C266" s="181" t="s">
        <v>688</v>
      </c>
      <c r="D266" s="76" t="s">
        <v>682</v>
      </c>
      <c r="E266" s="5">
        <f>+'тура ака'!Q255</f>
        <v>634760</v>
      </c>
      <c r="F266" s="76" t="str">
        <f>+'тура ака'!E255</f>
        <v>413 мяхки, т</v>
      </c>
    </row>
    <row r="267" spans="1:6" hidden="1" x14ac:dyDescent="0.3">
      <c r="A267" s="1"/>
      <c r="B267" s="4">
        <v>250000</v>
      </c>
      <c r="C267" s="75" t="s">
        <v>261</v>
      </c>
      <c r="D267" s="76"/>
      <c r="E267" s="5">
        <f>+'тура ака'!Q256</f>
        <v>-114359</v>
      </c>
      <c r="F267" s="76" t="str">
        <f>+'тура ака'!E256</f>
        <v>163 мяхк  бобир</v>
      </c>
    </row>
    <row r="268" spans="1:6" hidden="1" x14ac:dyDescent="0.3">
      <c r="A268" s="1"/>
      <c r="B268" s="4">
        <v>1600000</v>
      </c>
      <c r="C268" s="75" t="s">
        <v>689</v>
      </c>
      <c r="D268" s="76"/>
      <c r="E268" s="5">
        <v>0</v>
      </c>
      <c r="F268" s="175" t="s">
        <v>692</v>
      </c>
    </row>
    <row r="269" spans="1:6" hidden="1" x14ac:dyDescent="0.3">
      <c r="A269" s="1"/>
      <c r="B269" s="4">
        <v>3000000</v>
      </c>
      <c r="C269" s="75" t="s">
        <v>691</v>
      </c>
      <c r="D269" s="76"/>
      <c r="E269" s="5">
        <v>0</v>
      </c>
      <c r="F269" s="175" t="s">
        <v>693</v>
      </c>
    </row>
    <row r="270" spans="1:6" hidden="1" x14ac:dyDescent="0.3">
      <c r="A270" s="1"/>
      <c r="B270" s="182">
        <v>2000000</v>
      </c>
      <c r="C270" s="183" t="s">
        <v>537</v>
      </c>
      <c r="D270" s="76"/>
      <c r="E270" s="5">
        <v>500000</v>
      </c>
      <c r="F270" s="76" t="s">
        <v>272</v>
      </c>
    </row>
    <row r="271" spans="1:6" hidden="1" x14ac:dyDescent="0.3">
      <c r="A271" s="1"/>
      <c r="B271" s="4"/>
      <c r="C271" s="75"/>
      <c r="D271" s="76"/>
      <c r="E271" s="5">
        <v>1000000</v>
      </c>
      <c r="F271" s="76" t="s">
        <v>694</v>
      </c>
    </row>
    <row r="272" spans="1:6" hidden="1" x14ac:dyDescent="0.3">
      <c r="A272" s="1" t="s">
        <v>697</v>
      </c>
      <c r="B272" s="4">
        <v>400000</v>
      </c>
      <c r="C272" s="75" t="s">
        <v>704</v>
      </c>
      <c r="D272" s="76" t="s">
        <v>697</v>
      </c>
      <c r="E272" s="5">
        <f>+'тура ака'!Q261</f>
        <v>997400</v>
      </c>
      <c r="F272" s="76" t="str">
        <f>+'тура ака'!E261</f>
        <v>530 МЯХКИ Т</v>
      </c>
    </row>
    <row r="273" spans="1:6" hidden="1" x14ac:dyDescent="0.3">
      <c r="A273" s="1"/>
      <c r="B273" s="75">
        <f>3200*12200</f>
        <v>39040000</v>
      </c>
      <c r="C273" s="75" t="s">
        <v>705</v>
      </c>
      <c r="D273" s="76"/>
      <c r="E273" s="5">
        <f>+'тура ака'!Q262</f>
        <v>783169.99999999627</v>
      </c>
      <c r="F273" s="76" t="str">
        <f>+'тура ака'!E262</f>
        <v>377 МЯХК СИТИ</v>
      </c>
    </row>
    <row r="274" spans="1:6" hidden="1" x14ac:dyDescent="0.3">
      <c r="A274" s="1"/>
      <c r="B274" s="4">
        <v>12200000</v>
      </c>
      <c r="C274" s="75" t="s">
        <v>706</v>
      </c>
      <c r="D274" s="76"/>
      <c r="E274" s="5">
        <f>+'тура ака'!Q263</f>
        <v>240696</v>
      </c>
      <c r="F274" s="76" t="str">
        <f>+'тура ака'!E263</f>
        <v>495 МЯХКИ АЗИК</v>
      </c>
    </row>
    <row r="275" spans="1:6" hidden="1" x14ac:dyDescent="0.3">
      <c r="A275" s="1"/>
      <c r="B275" s="4">
        <v>400000</v>
      </c>
      <c r="C275" s="75" t="s">
        <v>708</v>
      </c>
      <c r="D275" s="76"/>
      <c r="E275" s="5">
        <f>+'тура ака'!Q264</f>
        <v>389840</v>
      </c>
      <c r="F275" s="76" t="str">
        <f>+'тура ака'!E264</f>
        <v>267 мяхк турон</v>
      </c>
    </row>
    <row r="276" spans="1:6" hidden="1" x14ac:dyDescent="0.3">
      <c r="A276" s="1"/>
      <c r="B276" s="4">
        <v>1000000</v>
      </c>
      <c r="C276" s="75" t="s">
        <v>707</v>
      </c>
      <c r="D276" s="76"/>
      <c r="E276" s="5"/>
      <c r="F276" s="76"/>
    </row>
    <row r="277" spans="1:6" hidden="1" x14ac:dyDescent="0.3">
      <c r="A277" s="1"/>
      <c r="B277" s="4">
        <v>400000</v>
      </c>
      <c r="C277" s="75" t="s">
        <v>283</v>
      </c>
      <c r="D277" s="76" t="s">
        <v>710</v>
      </c>
      <c r="E277" s="5">
        <f>+'тура ака'!Q266</f>
        <v>885160</v>
      </c>
      <c r="F277" s="76" t="str">
        <f>+'тура ака'!E266</f>
        <v>532 мяхк т</v>
      </c>
    </row>
    <row r="278" spans="1:6" hidden="1" x14ac:dyDescent="0.3">
      <c r="A278" s="1"/>
      <c r="B278" s="4">
        <v>200000</v>
      </c>
      <c r="C278" s="75" t="s">
        <v>613</v>
      </c>
      <c r="D278" s="76"/>
      <c r="E278" s="5">
        <v>6000000</v>
      </c>
      <c r="F278" s="76" t="s">
        <v>408</v>
      </c>
    </row>
    <row r="279" spans="1:6" hidden="1" x14ac:dyDescent="0.3">
      <c r="A279" s="1" t="s">
        <v>710</v>
      </c>
      <c r="B279" s="4">
        <v>280830</v>
      </c>
      <c r="C279" s="75" t="s">
        <v>711</v>
      </c>
      <c r="D279" s="76" t="s">
        <v>712</v>
      </c>
      <c r="E279" s="5">
        <f>+'тура ака'!Q268</f>
        <v>894465.5</v>
      </c>
      <c r="F279" s="76" t="str">
        <f>+'тура ака'!E268</f>
        <v>537 мяхк фармн</v>
      </c>
    </row>
    <row r="280" spans="1:6" hidden="1" x14ac:dyDescent="0.3">
      <c r="A280" s="1"/>
      <c r="B280" s="4">
        <v>141000</v>
      </c>
      <c r="C280" s="75" t="s">
        <v>600</v>
      </c>
      <c r="D280" s="76"/>
      <c r="E280" s="5">
        <f>+'тура ака'!Q269</f>
        <v>1120000</v>
      </c>
      <c r="F280" s="76" t="str">
        <f>+'тура ака'!E269</f>
        <v>91,419,24,25 мяхки</v>
      </c>
    </row>
    <row r="281" spans="1:6" hidden="1" x14ac:dyDescent="0.3">
      <c r="A281" s="1" t="s">
        <v>712</v>
      </c>
      <c r="B281" s="4">
        <v>1120000</v>
      </c>
      <c r="C281" s="75" t="s">
        <v>720</v>
      </c>
      <c r="D281" s="76"/>
      <c r="E281" s="5">
        <f>+'тура ака'!Q270</f>
        <v>1187560</v>
      </c>
      <c r="F281" s="76" t="str">
        <f>+'тура ака'!E270</f>
        <v>011 бекобод достон</v>
      </c>
    </row>
    <row r="282" spans="1:6" hidden="1" x14ac:dyDescent="0.3">
      <c r="A282" s="1"/>
      <c r="B282" s="4">
        <v>164982</v>
      </c>
      <c r="C282" s="75" t="s">
        <v>111</v>
      </c>
      <c r="D282" s="76"/>
      <c r="E282" s="5">
        <v>383202</v>
      </c>
      <c r="F282" s="76" t="s">
        <v>139</v>
      </c>
    </row>
    <row r="283" spans="1:6" hidden="1" x14ac:dyDescent="0.3">
      <c r="A283" s="1" t="s">
        <v>718</v>
      </c>
      <c r="B283" s="4">
        <v>600000</v>
      </c>
      <c r="C283" s="75" t="s">
        <v>192</v>
      </c>
      <c r="D283" s="76" t="s">
        <v>718</v>
      </c>
      <c r="E283" s="5">
        <v>1800000</v>
      </c>
      <c r="F283" s="76" t="s">
        <v>130</v>
      </c>
    </row>
    <row r="284" spans="1:6" hidden="1" x14ac:dyDescent="0.3">
      <c r="A284" s="1"/>
      <c r="B284" s="4">
        <v>300000</v>
      </c>
      <c r="C284" s="75" t="s">
        <v>214</v>
      </c>
      <c r="D284" s="76"/>
      <c r="E284" s="5">
        <v>1000000</v>
      </c>
      <c r="F284" s="76" t="s">
        <v>722</v>
      </c>
    </row>
    <row r="285" spans="1:6" hidden="1" x14ac:dyDescent="0.3">
      <c r="A285" s="1"/>
      <c r="B285" s="4">
        <v>295815</v>
      </c>
      <c r="C285" s="75" t="s">
        <v>600</v>
      </c>
      <c r="D285" s="76"/>
      <c r="E285" s="5">
        <v>150000</v>
      </c>
      <c r="F285" s="175" t="s">
        <v>723</v>
      </c>
    </row>
    <row r="286" spans="1:6" hidden="1" x14ac:dyDescent="0.3">
      <c r="A286" s="1" t="s">
        <v>724</v>
      </c>
      <c r="B286" s="4">
        <v>12200000</v>
      </c>
      <c r="C286" s="75" t="s">
        <v>725</v>
      </c>
      <c r="D286" s="76" t="s">
        <v>724</v>
      </c>
      <c r="E286" s="5">
        <f>+'тура ака'!Q275</f>
        <v>1684310</v>
      </c>
      <c r="F286" s="76" t="str">
        <f>+'тура ака'!E275</f>
        <v>843 учкудук</v>
      </c>
    </row>
    <row r="287" spans="1:6" hidden="1" x14ac:dyDescent="0.3">
      <c r="A287" s="1"/>
      <c r="B287" s="4">
        <v>6100000</v>
      </c>
      <c r="C287" s="75" t="s">
        <v>236</v>
      </c>
      <c r="D287" s="76"/>
      <c r="E287" s="5">
        <f>+'тура ака'!Q276</f>
        <v>1535920.0000000037</v>
      </c>
      <c r="F287" s="76" t="str">
        <f>+'тура ака'!E276</f>
        <v>377 мяхк</v>
      </c>
    </row>
    <row r="288" spans="1:6" hidden="1" x14ac:dyDescent="0.3">
      <c r="A288" s="1"/>
      <c r="B288" s="4"/>
      <c r="C288" s="75"/>
      <c r="D288" s="76"/>
      <c r="E288" s="5">
        <f>+'тура ака'!Q277</f>
        <v>1155025</v>
      </c>
      <c r="F288" s="76" t="str">
        <f>+'тура ака'!E277</f>
        <v>227 бахти</v>
      </c>
    </row>
    <row r="289" spans="1:6" hidden="1" x14ac:dyDescent="0.3">
      <c r="A289" s="1" t="s">
        <v>733</v>
      </c>
      <c r="B289" s="4">
        <v>500000</v>
      </c>
      <c r="C289" s="75" t="s">
        <v>455</v>
      </c>
      <c r="D289" s="76"/>
      <c r="E289" s="5">
        <f>+'тура ака'!Q278</f>
        <v>992300</v>
      </c>
      <c r="F289" s="76" t="str">
        <f>+'тура ака'!E278</f>
        <v>413 бекобод т</v>
      </c>
    </row>
    <row r="290" spans="1:6" hidden="1" x14ac:dyDescent="0.3">
      <c r="A290" s="1"/>
      <c r="B290" s="4">
        <v>249060</v>
      </c>
      <c r="C290" s="75" t="s">
        <v>192</v>
      </c>
      <c r="D290" s="76"/>
      <c r="E290" s="5">
        <v>500000</v>
      </c>
      <c r="F290" s="76" t="s">
        <v>640</v>
      </c>
    </row>
    <row r="291" spans="1:6" hidden="1" x14ac:dyDescent="0.3">
      <c r="A291" s="1"/>
      <c r="B291" s="4">
        <v>300000</v>
      </c>
      <c r="C291" s="75" t="s">
        <v>581</v>
      </c>
      <c r="D291" s="76"/>
      <c r="E291" s="5">
        <f>1044*2900</f>
        <v>3027600</v>
      </c>
      <c r="F291" s="175" t="s">
        <v>730</v>
      </c>
    </row>
    <row r="292" spans="1:6" hidden="1" x14ac:dyDescent="0.3">
      <c r="A292" s="1"/>
      <c r="B292" s="4">
        <v>300000</v>
      </c>
      <c r="C292" s="75" t="s">
        <v>738</v>
      </c>
      <c r="D292" s="76"/>
      <c r="E292" s="5"/>
      <c r="F292" s="175" t="s">
        <v>731</v>
      </c>
    </row>
    <row r="293" spans="1:6" hidden="1" x14ac:dyDescent="0.3">
      <c r="A293" s="1"/>
      <c r="B293" s="4"/>
      <c r="C293" s="75"/>
      <c r="D293" s="76"/>
      <c r="E293" s="5">
        <v>1500000</v>
      </c>
      <c r="F293" s="76" t="s">
        <v>732</v>
      </c>
    </row>
    <row r="294" spans="1:6" hidden="1" x14ac:dyDescent="0.3">
      <c r="A294" s="1" t="s">
        <v>739</v>
      </c>
      <c r="B294" s="4">
        <v>1220000</v>
      </c>
      <c r="C294" s="75" t="s">
        <v>742</v>
      </c>
      <c r="D294" s="76"/>
      <c r="E294" s="5">
        <v>424720</v>
      </c>
      <c r="F294" s="175" t="s">
        <v>319</v>
      </c>
    </row>
    <row r="295" spans="1:6" hidden="1" x14ac:dyDescent="0.3">
      <c r="A295" s="1"/>
      <c r="B295" s="4">
        <v>400000</v>
      </c>
      <c r="C295" s="75" t="s">
        <v>192</v>
      </c>
      <c r="D295" s="76" t="s">
        <v>733</v>
      </c>
      <c r="E295" s="76" t="s">
        <v>109</v>
      </c>
      <c r="F295" s="76" t="str">
        <f>+'тура ака'!E284</f>
        <v>384 бекобод нурмат</v>
      </c>
    </row>
    <row r="296" spans="1:6" hidden="1" x14ac:dyDescent="0.3">
      <c r="A296" s="1"/>
      <c r="B296" s="4">
        <v>600000</v>
      </c>
      <c r="C296" s="75" t="s">
        <v>154</v>
      </c>
      <c r="D296" s="76"/>
      <c r="E296" s="5">
        <f>+'тура ака'!Q285</f>
        <v>967175</v>
      </c>
      <c r="F296" s="76" t="str">
        <f>+'тура ака'!E285</f>
        <v>532 бекобод пешку</v>
      </c>
    </row>
    <row r="297" spans="1:6" hidden="1" x14ac:dyDescent="0.3">
      <c r="A297" s="1"/>
      <c r="B297" s="4">
        <v>100000</v>
      </c>
      <c r="C297" s="75" t="s">
        <v>512</v>
      </c>
      <c r="D297" s="76"/>
      <c r="E297" s="5">
        <f>+'тура ака'!Q286</f>
        <v>637325</v>
      </c>
      <c r="F297" s="76" t="str">
        <f>+'тура ака'!E286</f>
        <v>642 бахти</v>
      </c>
    </row>
    <row r="298" spans="1:6" hidden="1" x14ac:dyDescent="0.3">
      <c r="A298" s="1"/>
      <c r="B298" s="4">
        <v>477000</v>
      </c>
      <c r="C298" s="75" t="s">
        <v>581</v>
      </c>
      <c r="D298" s="76" t="s">
        <v>739</v>
      </c>
      <c r="E298" s="5">
        <f>+'тура ака'!Q287</f>
        <v>624240</v>
      </c>
      <c r="F298" s="76" t="str">
        <f>+'тура ака'!E287</f>
        <v>537 мяхк миржалол</v>
      </c>
    </row>
    <row r="299" spans="1:6" hidden="1" x14ac:dyDescent="0.3">
      <c r="A299" s="1"/>
      <c r="B299" s="4">
        <v>200000</v>
      </c>
      <c r="C299" s="75" t="s">
        <v>193</v>
      </c>
      <c r="D299" s="76"/>
      <c r="E299" s="5">
        <v>600000</v>
      </c>
      <c r="F299" s="76" t="s">
        <v>131</v>
      </c>
    </row>
    <row r="300" spans="1:6" hidden="1" x14ac:dyDescent="0.3">
      <c r="A300" s="1" t="s">
        <v>743</v>
      </c>
      <c r="B300" s="4">
        <v>600000</v>
      </c>
      <c r="C300" s="75" t="s">
        <v>746</v>
      </c>
      <c r="D300" s="76" t="s">
        <v>743</v>
      </c>
      <c r="E300" s="5">
        <f>+'тура ака'!Q289</f>
        <v>0</v>
      </c>
      <c r="F300" s="76" t="str">
        <f>+'тура ака'!E289</f>
        <v>810 БЕКОБОД Т</v>
      </c>
    </row>
    <row r="301" spans="1:6" hidden="1" x14ac:dyDescent="0.3">
      <c r="A301" s="1"/>
      <c r="B301" s="171">
        <f>325*12200</f>
        <v>3965000</v>
      </c>
      <c r="C301" s="181" t="s">
        <v>747</v>
      </c>
      <c r="D301" s="76" t="s">
        <v>749</v>
      </c>
      <c r="E301" s="5">
        <v>500000</v>
      </c>
      <c r="F301" s="76" t="s">
        <v>750</v>
      </c>
    </row>
    <row r="302" spans="1:6" hidden="1" x14ac:dyDescent="0.3">
      <c r="A302" s="1"/>
      <c r="B302" s="4">
        <v>3200000</v>
      </c>
      <c r="C302" s="75" t="s">
        <v>754</v>
      </c>
      <c r="D302" s="76"/>
      <c r="E302" s="5">
        <f>+'тура ака'!Q291</f>
        <v>751760</v>
      </c>
      <c r="F302" s="76" t="str">
        <f>+'тура ака'!E291</f>
        <v>264 МЯХК БОБИР</v>
      </c>
    </row>
    <row r="303" spans="1:6" hidden="1" x14ac:dyDescent="0.3">
      <c r="A303" s="1"/>
      <c r="B303" s="4">
        <v>800000</v>
      </c>
      <c r="C303" s="75" t="s">
        <v>755</v>
      </c>
      <c r="D303" s="76"/>
      <c r="E303" s="5">
        <f>+'тура ака'!Q292</f>
        <v>2184000</v>
      </c>
      <c r="F303" s="76" t="str">
        <f>+'тура ака'!E292</f>
        <v>803 МЯХК О</v>
      </c>
    </row>
    <row r="304" spans="1:6" hidden="1" x14ac:dyDescent="0.3">
      <c r="A304" s="1"/>
      <c r="B304" s="4">
        <v>3080000</v>
      </c>
      <c r="C304" s="75" t="s">
        <v>763</v>
      </c>
      <c r="D304" s="76"/>
      <c r="E304" s="5">
        <f>+'тура ака'!Q293</f>
        <v>882480</v>
      </c>
      <c r="F304" s="76" t="str">
        <f>+'тура ака'!E293</f>
        <v>725 бекобод исл</v>
      </c>
    </row>
    <row r="305" spans="1:6" hidden="1" x14ac:dyDescent="0.3">
      <c r="A305" s="1"/>
      <c r="B305" s="4">
        <v>6100000</v>
      </c>
      <c r="C305" s="75" t="s">
        <v>113</v>
      </c>
      <c r="D305" s="76"/>
      <c r="E305" s="5">
        <f>+'тура ака'!Q294</f>
        <v>0</v>
      </c>
      <c r="F305" s="76">
        <f>+'тура ака'!E294</f>
        <v>0</v>
      </c>
    </row>
    <row r="306" spans="1:6" hidden="1" x14ac:dyDescent="0.3">
      <c r="A306" s="1"/>
      <c r="B306" s="4">
        <v>6000000</v>
      </c>
      <c r="C306" s="75" t="s">
        <v>113</v>
      </c>
      <c r="D306" s="76" t="s">
        <v>756</v>
      </c>
      <c r="E306" s="5">
        <f>+'тура ака'!Q295</f>
        <v>1501140</v>
      </c>
      <c r="F306" s="76" t="str">
        <f>+'тура ака'!E295</f>
        <v>537 бекобод</v>
      </c>
    </row>
    <row r="307" spans="1:6" hidden="1" x14ac:dyDescent="0.3">
      <c r="A307" s="1"/>
      <c r="B307" s="4">
        <v>6100000</v>
      </c>
      <c r="C307" s="75" t="s">
        <v>766</v>
      </c>
      <c r="D307" s="76"/>
      <c r="E307" s="5">
        <f>895*3000</f>
        <v>2685000</v>
      </c>
      <c r="F307" s="175" t="s">
        <v>761</v>
      </c>
    </row>
    <row r="308" spans="1:6" hidden="1" x14ac:dyDescent="0.3">
      <c r="A308" s="1"/>
      <c r="B308" s="4">
        <v>400000</v>
      </c>
      <c r="C308" s="75" t="s">
        <v>768</v>
      </c>
      <c r="D308" s="76"/>
      <c r="E308" s="5">
        <v>1000000</v>
      </c>
      <c r="F308" s="76" t="s">
        <v>765</v>
      </c>
    </row>
    <row r="309" spans="1:6" hidden="1" x14ac:dyDescent="0.3">
      <c r="A309" s="1"/>
      <c r="B309" s="4">
        <v>11300000</v>
      </c>
      <c r="C309" s="75" t="s">
        <v>111</v>
      </c>
      <c r="D309" s="76"/>
      <c r="E309" s="5">
        <v>7300000</v>
      </c>
      <c r="F309" s="76" t="s">
        <v>767</v>
      </c>
    </row>
    <row r="310" spans="1:6" hidden="1" x14ac:dyDescent="0.3">
      <c r="A310" s="1"/>
      <c r="B310" s="4">
        <v>300000</v>
      </c>
      <c r="C310" s="75" t="s">
        <v>769</v>
      </c>
      <c r="D310" s="76"/>
      <c r="E310" s="5">
        <v>939950</v>
      </c>
      <c r="F310" s="76" t="s">
        <v>732</v>
      </c>
    </row>
    <row r="311" spans="1:6" hidden="1" x14ac:dyDescent="0.3">
      <c r="A311" s="1"/>
      <c r="B311" s="4">
        <v>200000</v>
      </c>
      <c r="C311" s="75" t="s">
        <v>512</v>
      </c>
      <c r="D311" s="76" t="s">
        <v>764</v>
      </c>
      <c r="E311" s="5">
        <v>1500000</v>
      </c>
      <c r="F311" s="76" t="s">
        <v>773</v>
      </c>
    </row>
    <row r="312" spans="1:6" hidden="1" x14ac:dyDescent="0.3">
      <c r="A312" s="1"/>
      <c r="B312" s="4">
        <v>1500000</v>
      </c>
      <c r="C312" s="75" t="s">
        <v>770</v>
      </c>
      <c r="D312" s="76"/>
      <c r="E312" s="5">
        <v>1500000</v>
      </c>
      <c r="F312" s="76" t="s">
        <v>775</v>
      </c>
    </row>
    <row r="313" spans="1:6" hidden="1" x14ac:dyDescent="0.3">
      <c r="A313" s="1"/>
      <c r="B313" s="4">
        <v>3580000</v>
      </c>
      <c r="C313" s="75" t="s">
        <v>771</v>
      </c>
      <c r="D313" s="76"/>
      <c r="E313" s="5">
        <v>4000000</v>
      </c>
      <c r="F313" s="76" t="s">
        <v>778</v>
      </c>
    </row>
    <row r="314" spans="1:6" hidden="1" x14ac:dyDescent="0.3">
      <c r="A314" s="1"/>
      <c r="B314" s="4">
        <v>400000</v>
      </c>
      <c r="C314" s="75" t="s">
        <v>238</v>
      </c>
      <c r="D314" s="76"/>
      <c r="E314" s="5">
        <v>2610000</v>
      </c>
      <c r="F314" s="76" t="s">
        <v>780</v>
      </c>
    </row>
    <row r="315" spans="1:6" hidden="1" x14ac:dyDescent="0.3">
      <c r="A315" s="1"/>
      <c r="B315" s="4">
        <v>160000</v>
      </c>
      <c r="C315" s="75" t="s">
        <v>772</v>
      </c>
      <c r="D315" s="76"/>
      <c r="E315" s="5">
        <v>6100000</v>
      </c>
      <c r="F315" s="76" t="s">
        <v>781</v>
      </c>
    </row>
    <row r="316" spans="1:6" hidden="1" x14ac:dyDescent="0.3">
      <c r="A316" s="1"/>
      <c r="B316" s="4">
        <v>700000</v>
      </c>
      <c r="C316" s="75" t="s">
        <v>774</v>
      </c>
      <c r="D316" s="76"/>
      <c r="E316" s="5">
        <v>35000000</v>
      </c>
      <c r="F316" s="76" t="s">
        <v>784</v>
      </c>
    </row>
    <row r="317" spans="1:6" hidden="1" x14ac:dyDescent="0.3">
      <c r="A317" s="1"/>
      <c r="B317" s="4">
        <v>12200000</v>
      </c>
      <c r="C317" s="75" t="s">
        <v>785</v>
      </c>
      <c r="D317" s="76"/>
      <c r="E317" s="5">
        <v>861700</v>
      </c>
      <c r="F317" s="76" t="s">
        <v>319</v>
      </c>
    </row>
    <row r="318" spans="1:6" hidden="1" x14ac:dyDescent="0.3">
      <c r="A318" s="1"/>
      <c r="B318" s="4">
        <v>12200000</v>
      </c>
      <c r="C318" s="75" t="s">
        <v>786</v>
      </c>
      <c r="D318" s="76"/>
      <c r="E318" s="5">
        <f>+'тура ака'!Q307</f>
        <v>0</v>
      </c>
      <c r="F318" s="76">
        <f>+'тура ака'!E307</f>
        <v>0</v>
      </c>
    </row>
    <row r="319" spans="1:6" hidden="1" x14ac:dyDescent="0.3">
      <c r="A319" s="1"/>
      <c r="B319" s="4"/>
      <c r="C319" s="75"/>
      <c r="D319" s="76"/>
      <c r="E319" s="5">
        <f>+'тура ака'!Q308</f>
        <v>0</v>
      </c>
      <c r="F319" s="76">
        <f>+'тура ака'!E308</f>
        <v>0</v>
      </c>
    </row>
    <row r="320" spans="1:6" hidden="1" x14ac:dyDescent="0.3">
      <c r="A320" s="1" t="s">
        <v>789</v>
      </c>
      <c r="B320" s="4">
        <v>500000</v>
      </c>
      <c r="C320" s="75" t="s">
        <v>600</v>
      </c>
      <c r="D320" s="76" t="s">
        <v>789</v>
      </c>
      <c r="E320" s="5">
        <f>+'тура ака'!Q309</f>
        <v>0</v>
      </c>
      <c r="F320" s="76">
        <f>+'тура ака'!E309</f>
        <v>0</v>
      </c>
    </row>
    <row r="321" spans="1:6" hidden="1" x14ac:dyDescent="0.3">
      <c r="A321" s="1"/>
      <c r="B321" s="4">
        <v>300000</v>
      </c>
      <c r="C321" s="75" t="s">
        <v>794</v>
      </c>
      <c r="D321" s="76"/>
      <c r="E321" s="5">
        <f>+'тура ака'!Q310</f>
        <v>0</v>
      </c>
      <c r="F321" s="76">
        <f>+'тура ака'!E310</f>
        <v>0</v>
      </c>
    </row>
    <row r="322" spans="1:6" hidden="1" x14ac:dyDescent="0.3">
      <c r="A322" s="1"/>
      <c r="B322" s="4">
        <v>1000000</v>
      </c>
      <c r="C322" s="75" t="s">
        <v>795</v>
      </c>
      <c r="D322" s="76"/>
      <c r="E322" s="5">
        <f>+'тура ака'!Q311</f>
        <v>0</v>
      </c>
      <c r="F322" s="76">
        <f>+'тура ака'!E311</f>
        <v>0</v>
      </c>
    </row>
    <row r="323" spans="1:6" hidden="1" x14ac:dyDescent="0.3">
      <c r="A323" s="1"/>
      <c r="B323" s="4">
        <v>703512</v>
      </c>
      <c r="C323" s="75" t="s">
        <v>796</v>
      </c>
      <c r="D323" s="76"/>
      <c r="E323" s="5">
        <f>+'тура ака'!Q312</f>
        <v>0</v>
      </c>
      <c r="F323" s="76">
        <f>+'тура ака'!E312</f>
        <v>0</v>
      </c>
    </row>
    <row r="324" spans="1:6" hidden="1" x14ac:dyDescent="0.3">
      <c r="A324" s="1"/>
      <c r="B324" s="4"/>
      <c r="C324" s="75"/>
      <c r="D324" s="76"/>
      <c r="E324" s="5">
        <f>+'тура ака'!Q313</f>
        <v>436200</v>
      </c>
      <c r="F324" s="76" t="str">
        <f>+'тура ака'!E313</f>
        <v>770 мяхк бахти</v>
      </c>
    </row>
    <row r="325" spans="1:6" hidden="1" x14ac:dyDescent="0.3">
      <c r="A325" s="1" t="s">
        <v>798</v>
      </c>
      <c r="B325" s="4">
        <v>900000</v>
      </c>
      <c r="C325" s="75" t="s">
        <v>192</v>
      </c>
      <c r="D325" s="76"/>
      <c r="E325" s="5">
        <f>+'тура ака'!Q314</f>
        <v>510982</v>
      </c>
      <c r="F325" s="76" t="str">
        <f>+'тура ака'!E314</f>
        <v>642 бекобод</v>
      </c>
    </row>
    <row r="326" spans="1:6" hidden="1" x14ac:dyDescent="0.3">
      <c r="A326" s="1"/>
      <c r="B326" s="4">
        <v>300000</v>
      </c>
      <c r="C326" s="75" t="s">
        <v>801</v>
      </c>
      <c r="D326" s="76" t="s">
        <v>798</v>
      </c>
      <c r="E326" s="5">
        <f>+'тура ака'!Q315</f>
        <v>0</v>
      </c>
      <c r="F326" s="76" t="str">
        <f>+'тура ака'!E315</f>
        <v xml:space="preserve"> 377 артел</v>
      </c>
    </row>
    <row r="327" spans="1:6" hidden="1" x14ac:dyDescent="0.3">
      <c r="A327" s="1"/>
      <c r="B327" s="4">
        <v>85210</v>
      </c>
      <c r="C327" s="75"/>
      <c r="D327" s="76"/>
      <c r="E327" s="5">
        <f>1338*250</f>
        <v>334500</v>
      </c>
      <c r="F327" s="76" t="s">
        <v>800</v>
      </c>
    </row>
    <row r="328" spans="1:6" hidden="1" x14ac:dyDescent="0.3">
      <c r="A328" s="1" t="s">
        <v>802</v>
      </c>
      <c r="B328" s="4">
        <v>250000</v>
      </c>
      <c r="C328" s="75" t="s">
        <v>805</v>
      </c>
      <c r="D328" s="76"/>
      <c r="E328" s="5">
        <v>500000</v>
      </c>
      <c r="F328" s="76" t="s">
        <v>130</v>
      </c>
    </row>
    <row r="329" spans="1:6" hidden="1" x14ac:dyDescent="0.3">
      <c r="A329" s="1"/>
      <c r="B329" s="4">
        <v>400000</v>
      </c>
      <c r="C329" s="75" t="s">
        <v>193</v>
      </c>
      <c r="D329" s="76"/>
      <c r="E329" s="5">
        <f>+'тура ака'!Q318</f>
        <v>847320</v>
      </c>
      <c r="F329" s="76" t="str">
        <f>+'тура ака'!E318</f>
        <v xml:space="preserve">751 карши </v>
      </c>
    </row>
    <row r="330" spans="1:6" hidden="1" x14ac:dyDescent="0.3">
      <c r="A330" s="1"/>
      <c r="B330" s="4">
        <v>400000</v>
      </c>
      <c r="C330" s="75" t="s">
        <v>261</v>
      </c>
      <c r="D330" s="76"/>
      <c r="E330" s="5">
        <v>400000</v>
      </c>
      <c r="F330" s="76" t="s">
        <v>807</v>
      </c>
    </row>
    <row r="331" spans="1:6" hidden="1" x14ac:dyDescent="0.3">
      <c r="A331" s="1"/>
      <c r="B331" s="4">
        <v>200000</v>
      </c>
      <c r="C331" s="75" t="s">
        <v>806</v>
      </c>
      <c r="D331" s="76"/>
      <c r="E331" s="5">
        <v>58951</v>
      </c>
      <c r="F331" s="76" t="s">
        <v>139</v>
      </c>
    </row>
    <row r="332" spans="1:6" hidden="1" x14ac:dyDescent="0.3">
      <c r="A332" s="1" t="s">
        <v>808</v>
      </c>
      <c r="B332" s="4">
        <v>800000</v>
      </c>
      <c r="C332" s="75" t="s">
        <v>812</v>
      </c>
      <c r="D332" s="76"/>
      <c r="E332" s="5">
        <f>+'тура ака'!Q321</f>
        <v>466592</v>
      </c>
      <c r="F332" s="76" t="str">
        <f>+'тура ака'!E321</f>
        <v>377 бекобод достон</v>
      </c>
    </row>
    <row r="333" spans="1:6" hidden="1" x14ac:dyDescent="0.3">
      <c r="A333" s="1"/>
      <c r="B333" s="4">
        <v>600000</v>
      </c>
      <c r="C333" s="75" t="s">
        <v>581</v>
      </c>
      <c r="D333" s="76"/>
      <c r="E333" s="5">
        <f>+'тура ака'!Q322</f>
        <v>553240</v>
      </c>
      <c r="F333" s="76" t="str">
        <f>+'тура ака'!E322</f>
        <v>537 бекобод т</v>
      </c>
    </row>
    <row r="334" spans="1:6" hidden="1" x14ac:dyDescent="0.3">
      <c r="A334" s="1"/>
      <c r="B334" s="4">
        <f>3715*12150</f>
        <v>45137250</v>
      </c>
      <c r="C334" s="75" t="s">
        <v>814</v>
      </c>
      <c r="D334" s="76"/>
      <c r="E334" s="174">
        <v>40</v>
      </c>
      <c r="F334" s="175" t="s">
        <v>433</v>
      </c>
    </row>
    <row r="335" spans="1:6" hidden="1" x14ac:dyDescent="0.3">
      <c r="A335" s="1"/>
      <c r="B335" s="4">
        <v>300000</v>
      </c>
      <c r="C335" s="75" t="s">
        <v>815</v>
      </c>
      <c r="D335" s="76" t="s">
        <v>816</v>
      </c>
      <c r="E335" s="5">
        <f>+'тура ака'!Q324</f>
        <v>403424</v>
      </c>
      <c r="F335" s="76" t="str">
        <f>+'тура ака'!E324</f>
        <v>725 бек ислом</v>
      </c>
    </row>
    <row r="336" spans="1:6" hidden="1" x14ac:dyDescent="0.3">
      <c r="A336" s="1"/>
      <c r="B336" s="4">
        <v>300000</v>
      </c>
      <c r="C336" s="75" t="s">
        <v>261</v>
      </c>
      <c r="D336" s="76"/>
      <c r="E336" s="5">
        <f>+'тура ака'!Q325</f>
        <v>493872</v>
      </c>
      <c r="F336" s="76" t="str">
        <f>+'тура ака'!E325</f>
        <v>413 бекобод т</v>
      </c>
    </row>
    <row r="337" spans="1:6" hidden="1" x14ac:dyDescent="0.3">
      <c r="A337" s="1"/>
      <c r="B337" s="4">
        <v>10000000</v>
      </c>
      <c r="C337" s="75" t="s">
        <v>314</v>
      </c>
      <c r="D337" s="76"/>
      <c r="E337" s="5">
        <f>+'тура ака'!Q326</f>
        <v>631740</v>
      </c>
      <c r="F337" s="76" t="str">
        <f>+'тура ака'!E326</f>
        <v>574 бекобод</v>
      </c>
    </row>
    <row r="338" spans="1:6" hidden="1" x14ac:dyDescent="0.3">
      <c r="A338" s="1"/>
      <c r="B338" s="4">
        <v>307090</v>
      </c>
      <c r="C338" s="75" t="s">
        <v>600</v>
      </c>
      <c r="D338" s="76"/>
      <c r="E338" s="5">
        <v>8070281</v>
      </c>
      <c r="F338" s="76" t="s">
        <v>818</v>
      </c>
    </row>
    <row r="339" spans="1:6" hidden="1" x14ac:dyDescent="0.3">
      <c r="A339" s="1" t="s">
        <v>816</v>
      </c>
      <c r="B339" s="4">
        <v>2200000</v>
      </c>
      <c r="C339" s="75" t="s">
        <v>111</v>
      </c>
      <c r="D339" s="76" t="s">
        <v>819</v>
      </c>
      <c r="E339" s="5">
        <f>+'тура ака'!Q328</f>
        <v>2320840</v>
      </c>
      <c r="F339" s="76" t="str">
        <f>+'тура ака'!E328</f>
        <v>550 БЕКОБОД КОЛЯ</v>
      </c>
    </row>
    <row r="340" spans="1:6" hidden="1" x14ac:dyDescent="0.3">
      <c r="A340" s="1" t="s">
        <v>819</v>
      </c>
      <c r="B340" s="4">
        <v>200000</v>
      </c>
      <c r="C340" s="75" t="s">
        <v>826</v>
      </c>
      <c r="D340" s="76"/>
      <c r="E340" s="5">
        <f>+'тура ака'!Q329</f>
        <v>841740</v>
      </c>
      <c r="F340" s="76" t="str">
        <f>+'тура ака'!E329</f>
        <v>388  БЕК ЖАМИЛ</v>
      </c>
    </row>
    <row r="341" spans="1:6" hidden="1" x14ac:dyDescent="0.3">
      <c r="A341" s="1"/>
      <c r="B341" s="4">
        <v>400000</v>
      </c>
      <c r="C341" s="75" t="s">
        <v>283</v>
      </c>
      <c r="D341" s="76"/>
      <c r="E341" s="5">
        <f>+'тура ака'!Q330</f>
        <v>1066830</v>
      </c>
      <c r="F341" s="76" t="str">
        <f>+'тура ака'!E330</f>
        <v>384 БЕКОБОД</v>
      </c>
    </row>
    <row r="342" spans="1:6" hidden="1" x14ac:dyDescent="0.3">
      <c r="A342" s="1"/>
      <c r="B342" s="4">
        <v>1300000</v>
      </c>
      <c r="C342" s="75" t="s">
        <v>827</v>
      </c>
      <c r="D342" s="76"/>
      <c r="E342" s="5">
        <v>900000</v>
      </c>
      <c r="F342" s="76" t="s">
        <v>825</v>
      </c>
    </row>
    <row r="343" spans="1:6" hidden="1" x14ac:dyDescent="0.3">
      <c r="A343" s="1"/>
      <c r="B343" s="4"/>
      <c r="C343" s="75"/>
      <c r="D343" s="76"/>
      <c r="E343" s="5">
        <v>276327</v>
      </c>
      <c r="F343" s="175" t="s">
        <v>319</v>
      </c>
    </row>
    <row r="344" spans="1:6" hidden="1" x14ac:dyDescent="0.3">
      <c r="A344" s="1" t="s">
        <v>828</v>
      </c>
      <c r="B344" s="4">
        <f>1700*12200</f>
        <v>20740000</v>
      </c>
      <c r="C344" s="75" t="s">
        <v>766</v>
      </c>
      <c r="D344" s="76" t="s">
        <v>828</v>
      </c>
      <c r="E344" s="5">
        <f>+'тура ака'!Q333</f>
        <v>832450</v>
      </c>
      <c r="F344" s="76" t="str">
        <f>+'тура ака'!E333</f>
        <v>377 бек т</v>
      </c>
    </row>
    <row r="345" spans="1:6" hidden="1" x14ac:dyDescent="0.3">
      <c r="A345" s="1" t="s">
        <v>834</v>
      </c>
      <c r="B345" s="4">
        <v>2440000</v>
      </c>
      <c r="C345" s="75" t="s">
        <v>839</v>
      </c>
      <c r="D345" s="76"/>
      <c r="E345" s="5">
        <f>+'тура ака'!Q334</f>
        <v>10</v>
      </c>
      <c r="F345" s="76" t="str">
        <f>+'тура ака'!E334</f>
        <v>188 релс</v>
      </c>
    </row>
    <row r="346" spans="1:6" hidden="1" x14ac:dyDescent="0.3">
      <c r="A346" s="1"/>
      <c r="B346" s="4">
        <v>300000</v>
      </c>
      <c r="C346" s="75" t="s">
        <v>192</v>
      </c>
      <c r="D346" s="76"/>
      <c r="E346" s="174">
        <f>1400*2900</f>
        <v>4060000</v>
      </c>
      <c r="F346" s="175" t="s">
        <v>730</v>
      </c>
    </row>
    <row r="347" spans="1:6" hidden="1" x14ac:dyDescent="0.3">
      <c r="A347" s="1"/>
      <c r="B347" s="4">
        <v>300000</v>
      </c>
      <c r="C347" s="75" t="s">
        <v>193</v>
      </c>
      <c r="D347" s="76"/>
      <c r="E347" s="5">
        <v>1000000</v>
      </c>
      <c r="F347" s="76" t="s">
        <v>130</v>
      </c>
    </row>
    <row r="348" spans="1:6" hidden="1" x14ac:dyDescent="0.3">
      <c r="A348" s="76" t="s">
        <v>840</v>
      </c>
      <c r="B348" s="4">
        <v>2400000</v>
      </c>
      <c r="C348" s="75" t="s">
        <v>845</v>
      </c>
      <c r="D348" s="76"/>
      <c r="E348" s="5">
        <v>700000</v>
      </c>
      <c r="F348" s="76" t="s">
        <v>433</v>
      </c>
    </row>
    <row r="349" spans="1:6" hidden="1" x14ac:dyDescent="0.3">
      <c r="A349" s="1"/>
      <c r="B349" s="4">
        <v>1000000</v>
      </c>
      <c r="C349" s="75" t="s">
        <v>688</v>
      </c>
      <c r="D349" s="76" t="s">
        <v>834</v>
      </c>
      <c r="E349" s="5">
        <f>+'тура ака'!Q338</f>
        <v>1641890</v>
      </c>
      <c r="F349" s="76" t="str">
        <f>+'тура ака'!E338</f>
        <v>620 бекобод</v>
      </c>
    </row>
    <row r="350" spans="1:6" hidden="1" x14ac:dyDescent="0.3">
      <c r="A350" s="1"/>
      <c r="B350" s="4">
        <v>300000</v>
      </c>
      <c r="C350" s="75" t="s">
        <v>846</v>
      </c>
      <c r="D350" s="76"/>
      <c r="E350" s="5">
        <f>+'тура ака'!Q339</f>
        <v>200</v>
      </c>
      <c r="F350" s="76" t="str">
        <f>+'тура ака'!E339</f>
        <v>562 гулистон</v>
      </c>
    </row>
    <row r="351" spans="1:6" hidden="1" x14ac:dyDescent="0.3">
      <c r="A351" s="1"/>
      <c r="B351" s="4"/>
      <c r="C351" s="75"/>
      <c r="D351" s="76"/>
      <c r="E351" s="5">
        <f>+'тура ака'!Q340</f>
        <v>140</v>
      </c>
      <c r="F351" s="76" t="str">
        <f>+'тура ака'!E340</f>
        <v>919 гулистон релс</v>
      </c>
    </row>
    <row r="352" spans="1:6" hidden="1" x14ac:dyDescent="0.3">
      <c r="A352" s="1"/>
      <c r="B352" s="4"/>
      <c r="C352" s="75"/>
      <c r="D352" s="76"/>
      <c r="E352" s="5">
        <f>+'тура ака'!Q341</f>
        <v>561180</v>
      </c>
      <c r="F352" s="76" t="str">
        <f>+'тура ака'!E341</f>
        <v>574 бекобод</v>
      </c>
    </row>
    <row r="353" spans="1:6" hidden="1" x14ac:dyDescent="0.3">
      <c r="A353" s="1"/>
      <c r="B353" s="4"/>
      <c r="C353" s="75"/>
      <c r="D353" s="76"/>
      <c r="E353" s="5">
        <v>3000000</v>
      </c>
      <c r="F353" s="76" t="s">
        <v>589</v>
      </c>
    </row>
    <row r="354" spans="1:6" hidden="1" x14ac:dyDescent="0.3">
      <c r="A354" s="1"/>
      <c r="B354" s="4"/>
      <c r="C354" s="75"/>
      <c r="D354" s="76"/>
      <c r="E354" s="5">
        <v>400000</v>
      </c>
      <c r="F354" s="76" t="s">
        <v>131</v>
      </c>
    </row>
    <row r="355" spans="1:6" hidden="1" x14ac:dyDescent="0.3">
      <c r="A355" s="1" t="s">
        <v>847</v>
      </c>
      <c r="B355" s="4">
        <v>300000</v>
      </c>
      <c r="C355" s="75" t="s">
        <v>192</v>
      </c>
      <c r="D355" s="76" t="s">
        <v>840</v>
      </c>
      <c r="E355" s="5">
        <f>+'тура ака'!Q344</f>
        <v>652700</v>
      </c>
      <c r="F355" s="76" t="str">
        <f>+'тура ака'!E344</f>
        <v>388 ром бекобод</v>
      </c>
    </row>
    <row r="356" spans="1:6" hidden="1" x14ac:dyDescent="0.3">
      <c r="A356" s="1"/>
      <c r="B356" s="4">
        <v>200000</v>
      </c>
      <c r="C356" s="75" t="s">
        <v>193</v>
      </c>
      <c r="D356" s="76"/>
      <c r="E356" s="5">
        <f>+'тура ака'!Q345</f>
        <v>615160</v>
      </c>
      <c r="F356" s="76" t="str">
        <f>+'тура ака'!E345</f>
        <v>725 ислом бекобод</v>
      </c>
    </row>
    <row r="357" spans="1:6" hidden="1" x14ac:dyDescent="0.3">
      <c r="A357" s="1"/>
      <c r="B357" s="171">
        <f>895*2900</f>
        <v>2595500</v>
      </c>
      <c r="C357" s="181" t="s">
        <v>852</v>
      </c>
      <c r="D357" s="76"/>
      <c r="E357" s="5">
        <f>+'тура ака'!Q346</f>
        <v>796219.99999999627</v>
      </c>
      <c r="F357" s="76" t="str">
        <f>+'тура ака'!E346</f>
        <v>384 бекобод мавлон</v>
      </c>
    </row>
    <row r="358" spans="1:6" hidden="1" x14ac:dyDescent="0.3">
      <c r="A358" s="1"/>
      <c r="B358" s="4">
        <v>2440000</v>
      </c>
      <c r="C358" s="75" t="s">
        <v>113</v>
      </c>
      <c r="D358" s="76" t="s">
        <v>847</v>
      </c>
      <c r="E358" s="5">
        <f>+'тура ака'!Q347</f>
        <v>839090</v>
      </c>
      <c r="F358" s="76" t="str">
        <f>+'тура ака'!E347</f>
        <v>413 бекобод т</v>
      </c>
    </row>
    <row r="359" spans="1:6" hidden="1" x14ac:dyDescent="0.3">
      <c r="A359" s="1"/>
      <c r="B359" s="4">
        <v>679639</v>
      </c>
      <c r="C359" s="75" t="s">
        <v>600</v>
      </c>
      <c r="D359" s="76"/>
      <c r="E359" s="5">
        <f>+'тура ака'!Q348</f>
        <v>584710</v>
      </c>
      <c r="F359" s="76" t="str">
        <f>+'тура ака'!E348</f>
        <v>574 ширин бахти</v>
      </c>
    </row>
    <row r="360" spans="1:6" hidden="1" x14ac:dyDescent="0.3">
      <c r="A360" s="1" t="s">
        <v>855</v>
      </c>
      <c r="B360" s="4">
        <v>8000000</v>
      </c>
      <c r="C360" s="75"/>
      <c r="D360" s="76"/>
      <c r="E360" s="5">
        <f>+'тура ака'!Q349</f>
        <v>171357</v>
      </c>
      <c r="F360" s="76" t="str">
        <f>+'тура ака'!E349</f>
        <v>574 ширин бахти</v>
      </c>
    </row>
    <row r="361" spans="1:6" hidden="1" x14ac:dyDescent="0.3">
      <c r="A361" s="1"/>
      <c r="B361" s="4">
        <v>3500000</v>
      </c>
      <c r="C361" s="75" t="s">
        <v>859</v>
      </c>
      <c r="D361" s="175" t="s">
        <v>847</v>
      </c>
      <c r="E361" s="5"/>
      <c r="F361" s="76" t="s">
        <v>851</v>
      </c>
    </row>
    <row r="362" spans="1:6" hidden="1" x14ac:dyDescent="0.3">
      <c r="A362" s="1"/>
      <c r="B362" s="4">
        <v>363542</v>
      </c>
      <c r="C362" s="75" t="s">
        <v>600</v>
      </c>
      <c r="D362" s="76"/>
      <c r="E362" s="5"/>
      <c r="F362" s="76" t="s">
        <v>233</v>
      </c>
    </row>
    <row r="363" spans="1:6" hidden="1" x14ac:dyDescent="0.3">
      <c r="A363" s="1" t="s">
        <v>860</v>
      </c>
      <c r="B363" s="4">
        <v>600000</v>
      </c>
      <c r="C363" s="75" t="s">
        <v>862</v>
      </c>
      <c r="D363" s="76" t="s">
        <v>855</v>
      </c>
      <c r="E363" s="5">
        <f>+'тура ака'!Q352</f>
        <v>569680</v>
      </c>
      <c r="F363" s="76" t="str">
        <f>+'тура ака'!E352</f>
        <v>521 бекобод т</v>
      </c>
    </row>
    <row r="364" spans="1:6" hidden="1" x14ac:dyDescent="0.3">
      <c r="A364" s="1"/>
      <c r="B364" s="4">
        <v>512800</v>
      </c>
      <c r="C364" s="75" t="s">
        <v>600</v>
      </c>
      <c r="D364" s="76"/>
      <c r="E364" s="5">
        <v>200000</v>
      </c>
      <c r="F364" s="76" t="s">
        <v>131</v>
      </c>
    </row>
    <row r="365" spans="1:6" hidden="1" x14ac:dyDescent="0.3">
      <c r="A365" s="1" t="s">
        <v>863</v>
      </c>
      <c r="B365" s="4">
        <v>1500000</v>
      </c>
      <c r="C365" s="75" t="s">
        <v>864</v>
      </c>
      <c r="D365" s="76"/>
      <c r="E365" s="5">
        <v>590000</v>
      </c>
      <c r="F365" s="76" t="s">
        <v>856</v>
      </c>
    </row>
    <row r="366" spans="1:6" hidden="1" x14ac:dyDescent="0.3">
      <c r="A366" s="1"/>
      <c r="B366" s="4">
        <v>8000000</v>
      </c>
      <c r="C366" s="75" t="s">
        <v>867</v>
      </c>
      <c r="D366" s="76"/>
      <c r="E366" s="5">
        <v>900000</v>
      </c>
      <c r="F366" s="76" t="s">
        <v>130</v>
      </c>
    </row>
    <row r="367" spans="1:6" hidden="1" x14ac:dyDescent="0.3">
      <c r="A367" s="1"/>
      <c r="B367" s="4">
        <v>6200000</v>
      </c>
      <c r="C367" s="75" t="s">
        <v>868</v>
      </c>
      <c r="D367" s="76" t="s">
        <v>860</v>
      </c>
      <c r="E367" s="5">
        <f>+'тура ака'!Q356</f>
        <v>1116550</v>
      </c>
      <c r="F367" s="76" t="str">
        <f>+'тура ака'!E356</f>
        <v>388 бекобод воб</v>
      </c>
    </row>
    <row r="368" spans="1:6" hidden="1" x14ac:dyDescent="0.3">
      <c r="A368" s="1"/>
      <c r="B368" s="4">
        <v>200000</v>
      </c>
      <c r="C368" s="75" t="s">
        <v>869</v>
      </c>
      <c r="D368" s="76" t="s">
        <v>863</v>
      </c>
      <c r="E368" s="5">
        <v>900000</v>
      </c>
      <c r="F368" s="76" t="s">
        <v>640</v>
      </c>
    </row>
    <row r="369" spans="1:6" hidden="1" x14ac:dyDescent="0.3">
      <c r="A369" s="1"/>
      <c r="B369" s="4">
        <v>200000</v>
      </c>
      <c r="C369" s="75" t="s">
        <v>870</v>
      </c>
      <c r="D369" s="76"/>
      <c r="E369" s="5">
        <v>6000000</v>
      </c>
      <c r="F369" s="76" t="s">
        <v>408</v>
      </c>
    </row>
    <row r="370" spans="1:6" hidden="1" x14ac:dyDescent="0.3">
      <c r="A370" s="1"/>
      <c r="B370" s="4">
        <v>1600000</v>
      </c>
      <c r="C370" s="75" t="s">
        <v>871</v>
      </c>
      <c r="D370" s="76"/>
      <c r="E370" s="5">
        <v>1200000</v>
      </c>
      <c r="F370" s="76" t="s">
        <v>866</v>
      </c>
    </row>
    <row r="371" spans="1:6" hidden="1" x14ac:dyDescent="0.3">
      <c r="A371" s="1"/>
      <c r="B371" s="4">
        <v>5677415</v>
      </c>
      <c r="C371" s="75"/>
      <c r="D371" s="76"/>
      <c r="E371" s="5">
        <v>700000</v>
      </c>
      <c r="F371" s="76" t="s">
        <v>130</v>
      </c>
    </row>
    <row r="372" spans="1:6" hidden="1" x14ac:dyDescent="0.3">
      <c r="A372" s="1" t="s">
        <v>872</v>
      </c>
      <c r="B372" s="4">
        <v>600000</v>
      </c>
      <c r="C372" s="75" t="s">
        <v>192</v>
      </c>
      <c r="D372" s="76" t="s">
        <v>872</v>
      </c>
      <c r="E372" s="5">
        <f>+'тура ака'!Q361</f>
        <v>520200</v>
      </c>
      <c r="F372" s="76" t="str">
        <f>+'тура ака'!E361</f>
        <v>725 бекобод олот</v>
      </c>
    </row>
    <row r="373" spans="1:6" hidden="1" x14ac:dyDescent="0.3">
      <c r="A373" s="1" t="s">
        <v>878</v>
      </c>
      <c r="B373" s="4">
        <v>300000</v>
      </c>
      <c r="C373" s="75" t="s">
        <v>192</v>
      </c>
      <c r="D373" s="76"/>
      <c r="E373" s="5">
        <f>+'тура ака'!Q362</f>
        <v>427000</v>
      </c>
      <c r="F373" s="76" t="str">
        <f>+'тура ака'!E362</f>
        <v>562 бекобод т</v>
      </c>
    </row>
    <row r="374" spans="1:6" hidden="1" x14ac:dyDescent="0.3">
      <c r="A374" s="1"/>
      <c r="B374" s="4">
        <v>1300000</v>
      </c>
      <c r="C374" s="75" t="s">
        <v>880</v>
      </c>
      <c r="D374" s="76"/>
      <c r="E374" s="5">
        <f>+'тура ака'!Q363</f>
        <v>651952</v>
      </c>
      <c r="F374" s="76" t="str">
        <f>+'тура ака'!E363</f>
        <v>495 бекобод низом ак</v>
      </c>
    </row>
    <row r="375" spans="1:6" hidden="1" x14ac:dyDescent="0.3">
      <c r="A375" s="1"/>
      <c r="B375" s="4">
        <v>6800000</v>
      </c>
      <c r="C375" s="75" t="s">
        <v>380</v>
      </c>
      <c r="D375" s="76"/>
      <c r="E375" s="5">
        <f>+'тура ака'!Q364</f>
        <v>399450</v>
      </c>
      <c r="F375" s="76" t="str">
        <f>+'тура ака'!E364</f>
        <v>384 бекобод воб</v>
      </c>
    </row>
    <row r="376" spans="1:6" hidden="1" x14ac:dyDescent="0.3">
      <c r="A376" s="1" t="s">
        <v>882</v>
      </c>
      <c r="B376" s="4">
        <v>300000</v>
      </c>
      <c r="C376" s="75" t="s">
        <v>192</v>
      </c>
      <c r="D376" s="76"/>
      <c r="E376" s="5">
        <v>61820</v>
      </c>
      <c r="F376" s="76" t="s">
        <v>877</v>
      </c>
    </row>
    <row r="377" spans="1:6" hidden="1" x14ac:dyDescent="0.3">
      <c r="A377" s="1"/>
      <c r="B377" s="4"/>
      <c r="C377" s="75"/>
      <c r="D377" s="76" t="s">
        <v>878</v>
      </c>
      <c r="E377" s="5">
        <v>1100000</v>
      </c>
      <c r="F377" s="76" t="s">
        <v>131</v>
      </c>
    </row>
    <row r="378" spans="1:6" hidden="1" x14ac:dyDescent="0.3">
      <c r="A378" s="1" t="s">
        <v>888</v>
      </c>
      <c r="B378" s="4">
        <v>4400000</v>
      </c>
      <c r="C378" s="75" t="s">
        <v>114</v>
      </c>
      <c r="D378" s="76" t="s">
        <v>882</v>
      </c>
      <c r="E378" s="5">
        <f>+'тура ака'!Q367</f>
        <v>1942360</v>
      </c>
      <c r="F378" s="76" t="str">
        <f>+'тура ака'!E367</f>
        <v>377 мяхк т</v>
      </c>
    </row>
    <row r="379" spans="1:6" hidden="1" x14ac:dyDescent="0.3">
      <c r="A379" s="1"/>
      <c r="B379" s="4">
        <v>200000</v>
      </c>
      <c r="C379" s="75" t="s">
        <v>193</v>
      </c>
      <c r="D379" s="76"/>
      <c r="E379" s="5">
        <f>+'тура ака'!Q368</f>
        <v>268080</v>
      </c>
      <c r="F379" s="76" t="str">
        <f>+'тура ака'!E368</f>
        <v>388 шерка мяхк</v>
      </c>
    </row>
    <row r="380" spans="1:6" hidden="1" x14ac:dyDescent="0.3">
      <c r="A380" s="1"/>
      <c r="B380" s="4">
        <v>161533</v>
      </c>
      <c r="C380" s="75" t="s">
        <v>111</v>
      </c>
      <c r="D380" s="76"/>
      <c r="E380" s="5">
        <v>1500000</v>
      </c>
      <c r="F380" s="76" t="s">
        <v>881</v>
      </c>
    </row>
    <row r="381" spans="1:6" hidden="1" x14ac:dyDescent="0.3">
      <c r="A381" s="1"/>
      <c r="B381" s="4">
        <v>400000</v>
      </c>
      <c r="C381" s="75" t="s">
        <v>154</v>
      </c>
      <c r="D381" s="76"/>
      <c r="E381" s="5">
        <v>300000</v>
      </c>
      <c r="F381" s="76" t="s">
        <v>130</v>
      </c>
    </row>
    <row r="382" spans="1:6" hidden="1" x14ac:dyDescent="0.3">
      <c r="A382" s="1"/>
      <c r="B382" s="4">
        <v>100000</v>
      </c>
      <c r="C382" s="75" t="s">
        <v>893</v>
      </c>
      <c r="D382" s="76"/>
      <c r="E382" s="5">
        <v>300000</v>
      </c>
      <c r="F382" s="76" t="s">
        <v>887</v>
      </c>
    </row>
    <row r="383" spans="1:6" hidden="1" x14ac:dyDescent="0.3">
      <c r="A383" s="1" t="s">
        <v>894</v>
      </c>
      <c r="B383" s="4">
        <v>24300000</v>
      </c>
      <c r="C383" s="75" t="s">
        <v>896</v>
      </c>
      <c r="D383" s="76" t="s">
        <v>888</v>
      </c>
      <c r="E383" s="5">
        <f>+'тура ака'!Q372</f>
        <v>1772980</v>
      </c>
      <c r="F383" s="76" t="str">
        <f>+'тура ака'!E372</f>
        <v>530 мяхки</v>
      </c>
    </row>
    <row r="384" spans="1:6" hidden="1" x14ac:dyDescent="0.3">
      <c r="A384" s="1"/>
      <c r="B384" s="4">
        <v>2420000</v>
      </c>
      <c r="C384" s="75" t="s">
        <v>113</v>
      </c>
      <c r="D384" s="76"/>
      <c r="E384" s="174">
        <f>500*12170</f>
        <v>6085000</v>
      </c>
      <c r="F384" s="175" t="s">
        <v>892</v>
      </c>
    </row>
    <row r="385" spans="1:6" hidden="1" x14ac:dyDescent="0.3">
      <c r="A385" s="1"/>
      <c r="B385" s="4">
        <v>1000000</v>
      </c>
      <c r="C385" s="75" t="s">
        <v>897</v>
      </c>
      <c r="D385" s="76"/>
      <c r="E385" s="174">
        <v>1701867</v>
      </c>
      <c r="F385" s="175" t="s">
        <v>319</v>
      </c>
    </row>
    <row r="386" spans="1:6" hidden="1" x14ac:dyDescent="0.3">
      <c r="A386" s="1"/>
      <c r="B386" s="4">
        <v>300000</v>
      </c>
      <c r="C386" s="75" t="s">
        <v>581</v>
      </c>
      <c r="D386" s="76" t="s">
        <v>894</v>
      </c>
      <c r="E386" s="5">
        <f>+'тура ака'!Q375</f>
        <v>1018030</v>
      </c>
      <c r="F386" s="76" t="str">
        <f>+'тура ака'!E375</f>
        <v>413 бек т</v>
      </c>
    </row>
    <row r="387" spans="1:6" hidden="1" x14ac:dyDescent="0.3">
      <c r="A387" s="1" t="s">
        <v>898</v>
      </c>
      <c r="B387" s="4">
        <v>2200000</v>
      </c>
      <c r="C387" s="75" t="s">
        <v>796</v>
      </c>
      <c r="D387" s="76"/>
      <c r="E387" s="5">
        <v>1200000</v>
      </c>
      <c r="F387" s="76" t="s">
        <v>130</v>
      </c>
    </row>
    <row r="388" spans="1:6" hidden="1" x14ac:dyDescent="0.3">
      <c r="A388" s="1"/>
      <c r="B388" s="4">
        <v>700000</v>
      </c>
      <c r="C388" s="75" t="s">
        <v>900</v>
      </c>
      <c r="D388" s="76" t="s">
        <v>898</v>
      </c>
      <c r="E388" s="5">
        <f>+'тура ака'!Q377</f>
        <v>2220400</v>
      </c>
      <c r="F388" s="76" t="str">
        <f>+'тура ака'!E377</f>
        <v>384 мяхки</v>
      </c>
    </row>
    <row r="389" spans="1:6" hidden="1" x14ac:dyDescent="0.3">
      <c r="A389" s="1"/>
      <c r="B389" s="4">
        <f>1336*12150</f>
        <v>16232400</v>
      </c>
      <c r="C389" s="75" t="s">
        <v>902</v>
      </c>
      <c r="D389" s="76"/>
      <c r="E389" s="5">
        <v>9400000</v>
      </c>
      <c r="F389" s="76" t="s">
        <v>408</v>
      </c>
    </row>
    <row r="390" spans="1:6" hidden="1" x14ac:dyDescent="0.3">
      <c r="A390" s="1"/>
      <c r="B390" s="4">
        <v>600000</v>
      </c>
      <c r="C390" s="75" t="s">
        <v>192</v>
      </c>
      <c r="D390" s="76" t="s">
        <v>905</v>
      </c>
      <c r="E390" s="5">
        <f>+'тура ака'!Q379</f>
        <v>2104000</v>
      </c>
      <c r="F390" s="76" t="str">
        <f>+'тура ака'!E379</f>
        <v>495 мяхки</v>
      </c>
    </row>
    <row r="391" spans="1:6" hidden="1" x14ac:dyDescent="0.3">
      <c r="A391" s="1"/>
      <c r="B391" s="4">
        <v>1220000</v>
      </c>
      <c r="C391" s="75" t="s">
        <v>903</v>
      </c>
      <c r="D391" s="76">
        <v>21</v>
      </c>
      <c r="E391" s="5">
        <f>+'тура ака'!Q380</f>
        <v>534330</v>
      </c>
      <c r="F391" s="76" t="str">
        <f>+'тура ака'!E380</f>
        <v>725 бекобод олот</v>
      </c>
    </row>
    <row r="392" spans="1:6" hidden="1" x14ac:dyDescent="0.3">
      <c r="A392" s="1"/>
      <c r="B392" s="4">
        <v>1800000</v>
      </c>
      <c r="C392" s="181" t="s">
        <v>553</v>
      </c>
      <c r="D392" s="76"/>
      <c r="E392" s="5">
        <v>600000</v>
      </c>
      <c r="F392" s="76" t="s">
        <v>130</v>
      </c>
    </row>
    <row r="393" spans="1:6" hidden="1" x14ac:dyDescent="0.3">
      <c r="A393" s="1" t="s">
        <v>905</v>
      </c>
      <c r="B393" s="4">
        <v>2800000</v>
      </c>
      <c r="C393" s="75" t="s">
        <v>909</v>
      </c>
      <c r="D393" s="76"/>
      <c r="E393" s="5">
        <v>1600000</v>
      </c>
      <c r="F393" s="76" t="s">
        <v>130</v>
      </c>
    </row>
    <row r="394" spans="1:6" hidden="1" x14ac:dyDescent="0.3">
      <c r="A394" s="1"/>
      <c r="B394" s="4">
        <v>200000</v>
      </c>
      <c r="C394" s="75" t="s">
        <v>192</v>
      </c>
      <c r="D394" s="76" t="s">
        <v>911</v>
      </c>
      <c r="E394" s="5">
        <v>900000</v>
      </c>
      <c r="F394" s="76" t="s">
        <v>433</v>
      </c>
    </row>
    <row r="395" spans="1:6" hidden="1" x14ac:dyDescent="0.3">
      <c r="A395" s="1"/>
      <c r="B395" s="4">
        <v>9220000</v>
      </c>
      <c r="C395" s="181" t="s">
        <v>910</v>
      </c>
      <c r="D395" s="76"/>
      <c r="E395" s="5">
        <v>0</v>
      </c>
      <c r="F395" s="76" t="s">
        <v>917</v>
      </c>
    </row>
    <row r="396" spans="1:6" hidden="1" x14ac:dyDescent="0.3">
      <c r="A396" s="1"/>
      <c r="B396" s="4">
        <v>300000</v>
      </c>
      <c r="C396" s="75" t="s">
        <v>284</v>
      </c>
      <c r="D396" s="76"/>
      <c r="E396" s="5">
        <v>1000000</v>
      </c>
      <c r="F396" s="76" t="s">
        <v>433</v>
      </c>
    </row>
    <row r="397" spans="1:6" hidden="1" x14ac:dyDescent="0.3">
      <c r="A397" s="1" t="s">
        <v>911</v>
      </c>
      <c r="B397" s="4">
        <f>1319*3000</f>
        <v>3957000</v>
      </c>
      <c r="C397" s="181" t="s">
        <v>912</v>
      </c>
      <c r="D397" s="76" t="s">
        <v>919</v>
      </c>
      <c r="E397" s="5">
        <f>+'тура ака'!Q386</f>
        <v>1195650</v>
      </c>
      <c r="F397" s="76" t="str">
        <f>+'тура ака'!E386</f>
        <v>547 мяхки сити</v>
      </c>
    </row>
    <row r="398" spans="1:6" hidden="1" x14ac:dyDescent="0.3">
      <c r="A398" s="1"/>
      <c r="B398" s="4">
        <v>200000</v>
      </c>
      <c r="C398" s="75" t="s">
        <v>918</v>
      </c>
      <c r="D398" s="76"/>
      <c r="E398" s="5">
        <f>+'тура ака'!Q387</f>
        <v>1860240</v>
      </c>
      <c r="F398" s="76" t="str">
        <f>+'тура ака'!E387</f>
        <v>264 мяхки т</v>
      </c>
    </row>
    <row r="399" spans="1:6" hidden="1" x14ac:dyDescent="0.3">
      <c r="A399" s="1"/>
      <c r="B399" s="4">
        <v>1000000</v>
      </c>
      <c r="C399" s="75" t="s">
        <v>688</v>
      </c>
      <c r="D399" s="76"/>
      <c r="E399" s="5">
        <v>700000</v>
      </c>
      <c r="F399" s="76" t="s">
        <v>433</v>
      </c>
    </row>
    <row r="400" spans="1:6" hidden="1" x14ac:dyDescent="0.3">
      <c r="A400" s="1" t="s">
        <v>919</v>
      </c>
      <c r="B400" s="4">
        <v>12850000</v>
      </c>
      <c r="C400" s="75" t="s">
        <v>924</v>
      </c>
      <c r="D400" s="76"/>
      <c r="E400" s="5">
        <v>700000</v>
      </c>
      <c r="F400" s="76" t="s">
        <v>923</v>
      </c>
    </row>
    <row r="401" spans="1:6" hidden="1" x14ac:dyDescent="0.3">
      <c r="A401" s="1"/>
      <c r="B401" s="4">
        <v>12440000</v>
      </c>
      <c r="C401" s="75" t="s">
        <v>113</v>
      </c>
      <c r="D401" s="76"/>
      <c r="E401" s="5">
        <f>+'тура ака'!Q390</f>
        <v>854860</v>
      </c>
      <c r="F401" s="76" t="str">
        <f>+'тура ака'!E390</f>
        <v>413 бекобод</v>
      </c>
    </row>
    <row r="402" spans="1:6" hidden="1" x14ac:dyDescent="0.3">
      <c r="A402" s="1"/>
      <c r="B402" s="4">
        <v>998303</v>
      </c>
      <c r="C402" s="75" t="s">
        <v>192</v>
      </c>
      <c r="D402" s="1" t="s">
        <v>926</v>
      </c>
      <c r="E402" s="5">
        <f>+'тура ака'!Q391</f>
        <v>852250</v>
      </c>
      <c r="F402" s="76" t="str">
        <f>+'тура ака'!E391</f>
        <v>377 бекобод</v>
      </c>
    </row>
    <row r="403" spans="1:6" hidden="1" x14ac:dyDescent="0.3">
      <c r="A403" s="1" t="s">
        <v>926</v>
      </c>
      <c r="B403" s="4">
        <f>2200*12050</f>
        <v>26510000</v>
      </c>
      <c r="C403" s="75" t="s">
        <v>931</v>
      </c>
      <c r="D403" s="76"/>
      <c r="E403" s="5">
        <f>+'тура ака'!Q392</f>
        <v>1000400</v>
      </c>
      <c r="F403" s="76" t="str">
        <f>+'тура ака'!E392</f>
        <v>574 бек достон</v>
      </c>
    </row>
    <row r="404" spans="1:6" hidden="1" x14ac:dyDescent="0.3">
      <c r="A404" s="1"/>
      <c r="B404" s="4">
        <v>200000</v>
      </c>
      <c r="C404" s="75" t="s">
        <v>932</v>
      </c>
      <c r="D404" s="76"/>
      <c r="E404" s="5">
        <v>400000</v>
      </c>
      <c r="F404" s="76" t="s">
        <v>933</v>
      </c>
    </row>
    <row r="405" spans="1:6" hidden="1" x14ac:dyDescent="0.3">
      <c r="A405" s="1" t="s">
        <v>935</v>
      </c>
      <c r="B405" s="4">
        <v>266219</v>
      </c>
      <c r="C405" s="75" t="s">
        <v>600</v>
      </c>
      <c r="D405" s="76" t="s">
        <v>935</v>
      </c>
      <c r="E405" s="5">
        <f>+'тура ака'!Q394</f>
        <v>355320</v>
      </c>
      <c r="F405" s="76" t="str">
        <f>+'тура ака'!E394</f>
        <v>277 мяхки т</v>
      </c>
    </row>
    <row r="406" spans="1:6" hidden="1" x14ac:dyDescent="0.3">
      <c r="A406" s="1"/>
      <c r="B406" s="4">
        <v>300000</v>
      </c>
      <c r="C406" s="75" t="s">
        <v>273</v>
      </c>
      <c r="D406" s="76"/>
      <c r="E406" s="5">
        <f>+'тура ака'!Q395</f>
        <v>647190</v>
      </c>
      <c r="F406" s="76" t="str">
        <f>+'тура ака'!E395</f>
        <v>144 шофир т</v>
      </c>
    </row>
    <row r="407" spans="1:6" hidden="1" x14ac:dyDescent="0.3">
      <c r="A407" s="1" t="s">
        <v>940</v>
      </c>
      <c r="B407" s="4">
        <v>7000000</v>
      </c>
      <c r="C407" s="75" t="s">
        <v>314</v>
      </c>
      <c r="D407" s="76"/>
      <c r="E407" s="5">
        <f>+'тура ака'!Q396</f>
        <v>842494</v>
      </c>
      <c r="F407" s="76" t="str">
        <f>+'тура ака'!E396</f>
        <v>384 бекобод нурмат</v>
      </c>
    </row>
    <row r="408" spans="1:6" hidden="1" x14ac:dyDescent="0.3">
      <c r="A408" s="1"/>
      <c r="B408" s="4">
        <v>1000000</v>
      </c>
      <c r="C408" s="75" t="s">
        <v>600</v>
      </c>
      <c r="D408" s="76" t="s">
        <v>940</v>
      </c>
      <c r="E408" s="5">
        <f>+'тура ака'!Q397</f>
        <v>1628080</v>
      </c>
      <c r="F408" s="76" t="str">
        <f>+'тура ака'!E397</f>
        <v>388 шерка  хаким</v>
      </c>
    </row>
    <row r="409" spans="1:6" hidden="1" x14ac:dyDescent="0.3">
      <c r="A409" s="1" t="s">
        <v>942</v>
      </c>
      <c r="B409" s="4">
        <v>1200000</v>
      </c>
      <c r="C409" s="75" t="s">
        <v>951</v>
      </c>
      <c r="D409" s="76"/>
      <c r="E409" s="5">
        <f>+'тура ака'!Q398</f>
        <v>-248502</v>
      </c>
      <c r="F409" s="76" t="str">
        <f>+'тура ака'!E398</f>
        <v>521 бекобод т</v>
      </c>
    </row>
    <row r="410" spans="1:6" hidden="1" x14ac:dyDescent="0.3">
      <c r="A410" s="1"/>
      <c r="B410" s="4">
        <v>2000000</v>
      </c>
      <c r="C410" s="75" t="s">
        <v>953</v>
      </c>
      <c r="D410" s="76"/>
      <c r="E410" s="5">
        <v>364332</v>
      </c>
      <c r="F410" s="76" t="s">
        <v>947</v>
      </c>
    </row>
    <row r="411" spans="1:6" hidden="1" x14ac:dyDescent="0.3">
      <c r="A411" s="1"/>
      <c r="B411" s="4">
        <v>800000</v>
      </c>
      <c r="C411" s="75" t="s">
        <v>111</v>
      </c>
      <c r="D411" s="76" t="s">
        <v>942</v>
      </c>
      <c r="E411" s="5">
        <f>+'тура ака'!Q400</f>
        <v>1358130</v>
      </c>
      <c r="F411" s="76" t="str">
        <f>+'тура ака'!E400</f>
        <v>210 мяхки сити</v>
      </c>
    </row>
    <row r="412" spans="1:6" hidden="1" x14ac:dyDescent="0.3">
      <c r="A412" s="1" t="s">
        <v>943</v>
      </c>
      <c r="B412" s="4">
        <v>1200000</v>
      </c>
      <c r="C412" s="75" t="s">
        <v>457</v>
      </c>
      <c r="D412" s="76"/>
      <c r="E412" s="5">
        <f>+'тура ака'!Q401</f>
        <v>503620</v>
      </c>
      <c r="F412" s="76" t="str">
        <f>+'тура ака'!E401</f>
        <v>725 бекобод олот</v>
      </c>
    </row>
    <row r="413" spans="1:6" hidden="1" x14ac:dyDescent="0.3">
      <c r="A413" s="1"/>
      <c r="B413" s="4">
        <v>500000</v>
      </c>
      <c r="C413" s="75" t="s">
        <v>956</v>
      </c>
      <c r="D413" s="76"/>
      <c r="E413" s="5">
        <f>+'тура ака'!Q402</f>
        <v>2044710</v>
      </c>
      <c r="F413" s="76" t="str">
        <f>+'тура ака'!E402</f>
        <v>593 мяхки тур</v>
      </c>
    </row>
    <row r="414" spans="1:6" hidden="1" x14ac:dyDescent="0.3">
      <c r="A414" s="1"/>
      <c r="B414" s="4">
        <v>250000</v>
      </c>
      <c r="C414" s="75" t="s">
        <v>957</v>
      </c>
      <c r="D414" s="76"/>
      <c r="E414" s="5">
        <v>7700000</v>
      </c>
      <c r="F414" s="76" t="s">
        <v>408</v>
      </c>
    </row>
    <row r="415" spans="1:6" hidden="1" x14ac:dyDescent="0.3">
      <c r="A415" s="1"/>
      <c r="B415" s="4">
        <v>700000</v>
      </c>
      <c r="C415" s="75" t="s">
        <v>806</v>
      </c>
      <c r="D415" s="76"/>
      <c r="E415" s="5">
        <v>2042510</v>
      </c>
      <c r="F415" s="76" t="s">
        <v>865</v>
      </c>
    </row>
    <row r="416" spans="1:6" hidden="1" x14ac:dyDescent="0.3">
      <c r="A416" s="1" t="s">
        <v>944</v>
      </c>
      <c r="B416" s="4">
        <v>1000000</v>
      </c>
      <c r="C416" s="75" t="s">
        <v>962</v>
      </c>
      <c r="D416" s="76" t="s">
        <v>943</v>
      </c>
      <c r="E416" s="5">
        <f>+'тура ака'!Q405</f>
        <v>461200</v>
      </c>
      <c r="F416" s="76" t="str">
        <f>+'тура ака'!E405</f>
        <v>377 бекобод т</v>
      </c>
    </row>
    <row r="417" spans="1:12" hidden="1" x14ac:dyDescent="0.3">
      <c r="A417" s="1"/>
      <c r="B417" s="4">
        <v>1000000</v>
      </c>
      <c r="C417" s="75" t="s">
        <v>192</v>
      </c>
      <c r="D417" s="76"/>
      <c r="E417" s="5">
        <v>400000</v>
      </c>
      <c r="F417" s="76" t="s">
        <v>131</v>
      </c>
    </row>
    <row r="418" spans="1:12" hidden="1" x14ac:dyDescent="0.3">
      <c r="A418" s="1"/>
      <c r="B418" s="4">
        <v>500000</v>
      </c>
      <c r="C418" s="75" t="s">
        <v>214</v>
      </c>
      <c r="D418" s="76"/>
      <c r="E418" s="5">
        <f>+'тура ака'!Q407</f>
        <v>0</v>
      </c>
      <c r="F418" s="76">
        <f>+'тура ака'!E407</f>
        <v>0</v>
      </c>
    </row>
    <row r="419" spans="1:12" hidden="1" x14ac:dyDescent="0.3">
      <c r="A419" s="1"/>
      <c r="B419" s="4">
        <v>16200000</v>
      </c>
      <c r="C419" s="75" t="s">
        <v>496</v>
      </c>
      <c r="D419" s="76" t="s">
        <v>944</v>
      </c>
      <c r="E419" s="5">
        <f>+'тура ака'!Q408</f>
        <v>2155680</v>
      </c>
      <c r="F419" s="76" t="str">
        <f>+'тура ака'!E408</f>
        <v>266 мяхки т</v>
      </c>
    </row>
    <row r="420" spans="1:12" hidden="1" x14ac:dyDescent="0.3">
      <c r="A420" s="1"/>
      <c r="B420" s="4">
        <v>1100000</v>
      </c>
      <c r="C420" s="75" t="s">
        <v>964</v>
      </c>
      <c r="D420" s="76"/>
      <c r="E420" s="5">
        <f>+'тура ака'!Q409</f>
        <v>1154870</v>
      </c>
      <c r="F420" s="76" t="str">
        <f>+'тура ака'!E409</f>
        <v>499 мяхк шофиркон</v>
      </c>
    </row>
    <row r="421" spans="1:12" hidden="1" x14ac:dyDescent="0.3">
      <c r="A421" s="1" t="s">
        <v>945</v>
      </c>
      <c r="B421" s="4">
        <v>3600000</v>
      </c>
      <c r="C421" s="75" t="s">
        <v>967</v>
      </c>
      <c r="D421" s="76"/>
      <c r="E421" s="5">
        <v>600000</v>
      </c>
      <c r="F421" s="76" t="s">
        <v>963</v>
      </c>
    </row>
    <row r="422" spans="1:12" hidden="1" x14ac:dyDescent="0.3">
      <c r="A422" s="1"/>
      <c r="B422" s="4">
        <v>1900000</v>
      </c>
      <c r="C422" s="75" t="s">
        <v>968</v>
      </c>
      <c r="D422" s="76" t="s">
        <v>945</v>
      </c>
      <c r="E422" s="5">
        <f>+'тура ака'!Q411</f>
        <v>875190</v>
      </c>
      <c r="F422" s="76" t="str">
        <f>+'тура ака'!E411</f>
        <v>277 бек т</v>
      </c>
    </row>
    <row r="423" spans="1:12" hidden="1" x14ac:dyDescent="0.3">
      <c r="A423" s="1"/>
      <c r="B423" s="4">
        <v>200000</v>
      </c>
      <c r="C423" s="75"/>
      <c r="D423" s="76"/>
      <c r="E423" s="5">
        <v>500000</v>
      </c>
      <c r="F423" s="76" t="s">
        <v>966</v>
      </c>
    </row>
    <row r="424" spans="1:12" hidden="1" x14ac:dyDescent="0.3">
      <c r="A424" s="1" t="s">
        <v>971</v>
      </c>
      <c r="B424" s="54">
        <v>6100000</v>
      </c>
      <c r="C424" s="54" t="s">
        <v>972</v>
      </c>
      <c r="D424" s="76"/>
      <c r="E424" s="5">
        <v>500000</v>
      </c>
      <c r="F424" s="76" t="s">
        <v>750</v>
      </c>
      <c r="L424">
        <v>8000000</v>
      </c>
    </row>
    <row r="425" spans="1:12" hidden="1" x14ac:dyDescent="0.3">
      <c r="A425" s="1"/>
      <c r="B425" s="5">
        <v>12000000</v>
      </c>
      <c r="C425" s="75" t="s">
        <v>974</v>
      </c>
      <c r="D425" s="76"/>
      <c r="E425" s="5">
        <v>2000000</v>
      </c>
      <c r="F425" s="76" t="s">
        <v>449</v>
      </c>
    </row>
    <row r="426" spans="1:12" hidden="1" x14ac:dyDescent="0.3">
      <c r="A426" s="1"/>
      <c r="B426" s="75">
        <f>3000*12000</f>
        <v>36000000</v>
      </c>
      <c r="C426" s="75" t="s">
        <v>996</v>
      </c>
      <c r="D426" s="76"/>
      <c r="E426" s="5">
        <v>2342655</v>
      </c>
      <c r="F426" s="175" t="s">
        <v>969</v>
      </c>
    </row>
    <row r="427" spans="1:12" hidden="1" x14ac:dyDescent="0.3">
      <c r="A427" s="1"/>
      <c r="B427" s="4">
        <v>15000000</v>
      </c>
      <c r="C427" s="75" t="s">
        <v>997</v>
      </c>
      <c r="D427" s="76"/>
      <c r="E427" s="5">
        <v>500000</v>
      </c>
      <c r="F427" s="76" t="s">
        <v>970</v>
      </c>
    </row>
    <row r="428" spans="1:12" hidden="1" x14ac:dyDescent="0.3">
      <c r="A428" s="1"/>
      <c r="B428" s="4">
        <f>1250*12000</f>
        <v>15000000</v>
      </c>
      <c r="C428" s="75" t="s">
        <v>998</v>
      </c>
      <c r="D428" s="1" t="s">
        <v>971</v>
      </c>
      <c r="E428" s="54">
        <v>6100000</v>
      </c>
      <c r="F428" s="54" t="s">
        <v>972</v>
      </c>
    </row>
    <row r="429" spans="1:12" hidden="1" x14ac:dyDescent="0.3">
      <c r="A429" s="1"/>
      <c r="B429" s="4">
        <v>200000</v>
      </c>
      <c r="C429" s="75" t="s">
        <v>261</v>
      </c>
      <c r="D429" s="76"/>
      <c r="E429" s="5">
        <v>12000000</v>
      </c>
      <c r="F429" s="76" t="s">
        <v>973</v>
      </c>
    </row>
    <row r="430" spans="1:12" hidden="1" x14ac:dyDescent="0.3">
      <c r="A430" s="1"/>
      <c r="B430" s="4">
        <v>400000</v>
      </c>
      <c r="C430" s="75" t="s">
        <v>139</v>
      </c>
      <c r="D430" s="76"/>
      <c r="E430" s="5">
        <v>75266413</v>
      </c>
      <c r="F430" s="202" t="s">
        <v>976</v>
      </c>
    </row>
    <row r="431" spans="1:12" hidden="1" x14ac:dyDescent="0.3">
      <c r="A431" s="1"/>
      <c r="B431" s="4">
        <v>800000</v>
      </c>
      <c r="C431" s="75" t="s">
        <v>999</v>
      </c>
      <c r="D431" s="76"/>
      <c r="E431" s="5">
        <f>+'тура ака'!Q420</f>
        <v>1478960</v>
      </c>
      <c r="F431" s="76" t="str">
        <f>+'тура ака'!E420</f>
        <v>037 МЯХ БОБИР</v>
      </c>
    </row>
    <row r="432" spans="1:12" hidden="1" x14ac:dyDescent="0.3">
      <c r="A432" s="1"/>
      <c r="B432" s="4"/>
      <c r="C432" s="75"/>
      <c r="D432" s="76"/>
      <c r="E432" s="5">
        <f>+'тура ака'!Q421</f>
        <v>1082040</v>
      </c>
      <c r="F432" s="76" t="str">
        <f>+'тура ака'!E421</f>
        <v>144 МЯХ Фармон</v>
      </c>
    </row>
    <row r="433" spans="1:12" hidden="1" x14ac:dyDescent="0.3">
      <c r="A433" s="1"/>
      <c r="B433" s="4"/>
      <c r="C433" s="75"/>
      <c r="D433" s="76"/>
      <c r="E433" s="5">
        <f>+'тура ака'!Q422</f>
        <v>342176</v>
      </c>
      <c r="F433" s="76" t="str">
        <f>+'тура ака'!E422</f>
        <v>037 МЯХ нов</v>
      </c>
      <c r="L433">
        <v>2400000</v>
      </c>
    </row>
    <row r="434" spans="1:12" hidden="1" x14ac:dyDescent="0.3">
      <c r="A434" s="1"/>
      <c r="B434" s="4"/>
      <c r="C434" s="75"/>
      <c r="D434" s="76"/>
      <c r="E434" s="5">
        <f>+'тура ака'!Q423</f>
        <v>2521147.5</v>
      </c>
      <c r="F434" s="76" t="str">
        <f>+'тура ака'!E423</f>
        <v>384 МЯХ туро</v>
      </c>
      <c r="L434">
        <v>6000000</v>
      </c>
    </row>
    <row r="435" spans="1:12" hidden="1" x14ac:dyDescent="0.3">
      <c r="A435" s="1"/>
      <c r="B435" s="4"/>
      <c r="C435" s="75"/>
      <c r="D435" s="76"/>
      <c r="E435" s="5">
        <f>+'тура ака'!Q424</f>
        <v>1094160</v>
      </c>
      <c r="F435" s="76" t="str">
        <f>+'тура ака'!E424</f>
        <v>919 бек бобир</v>
      </c>
    </row>
    <row r="436" spans="1:12" hidden="1" x14ac:dyDescent="0.3">
      <c r="A436" s="1"/>
      <c r="B436" s="4"/>
      <c r="C436" s="75"/>
      <c r="D436" s="76"/>
      <c r="E436" s="5">
        <f>+'тура ака'!Q425</f>
        <v>280072</v>
      </c>
      <c r="F436" s="76" t="str">
        <f>+'тура ака'!E425</f>
        <v>573 МЯХ  ислом</v>
      </c>
    </row>
    <row r="437" spans="1:12" hidden="1" x14ac:dyDescent="0.3">
      <c r="A437" s="1"/>
      <c r="B437" s="4"/>
      <c r="C437" s="75"/>
      <c r="D437" s="76"/>
      <c r="E437" s="5">
        <v>700000</v>
      </c>
      <c r="F437" s="76" t="s">
        <v>925</v>
      </c>
    </row>
    <row r="438" spans="1:12" hidden="1" x14ac:dyDescent="0.3">
      <c r="A438" s="1"/>
      <c r="B438" s="4"/>
      <c r="C438" s="75"/>
      <c r="D438" s="76"/>
      <c r="E438" s="76">
        <v>10033000</v>
      </c>
      <c r="F438" s="76" t="s">
        <v>987</v>
      </c>
    </row>
    <row r="439" spans="1:12" hidden="1" x14ac:dyDescent="0.3">
      <c r="A439" s="1"/>
      <c r="B439" s="4"/>
      <c r="C439" s="75"/>
      <c r="D439" s="76"/>
      <c r="E439" s="5">
        <v>500000</v>
      </c>
      <c r="F439" s="76" t="s">
        <v>989</v>
      </c>
    </row>
    <row r="440" spans="1:12" hidden="1" x14ac:dyDescent="0.3">
      <c r="A440" s="1"/>
      <c r="B440" s="4"/>
      <c r="C440" s="75"/>
      <c r="D440" s="76"/>
      <c r="E440" s="5">
        <v>1000000</v>
      </c>
      <c r="F440" s="76" t="s">
        <v>990</v>
      </c>
    </row>
    <row r="441" spans="1:12" hidden="1" x14ac:dyDescent="0.3">
      <c r="A441" s="1"/>
      <c r="B441" s="4"/>
      <c r="C441" s="75"/>
      <c r="D441" s="76"/>
      <c r="E441" s="5">
        <v>1000000</v>
      </c>
      <c r="F441" s="76" t="s">
        <v>991</v>
      </c>
    </row>
    <row r="442" spans="1:12" hidden="1" x14ac:dyDescent="0.3">
      <c r="A442" s="1"/>
      <c r="B442" s="4"/>
      <c r="C442" s="75"/>
      <c r="D442" s="76"/>
      <c r="E442" s="5">
        <v>7474700</v>
      </c>
      <c r="F442" s="76" t="s">
        <v>991</v>
      </c>
    </row>
    <row r="443" spans="1:12" hidden="1" x14ac:dyDescent="0.3">
      <c r="A443" s="1"/>
      <c r="B443" s="4"/>
      <c r="C443" s="75"/>
      <c r="D443" s="76"/>
      <c r="E443" s="5">
        <v>800000</v>
      </c>
      <c r="F443" s="76" t="s">
        <v>240</v>
      </c>
    </row>
    <row r="444" spans="1:12" hidden="1" x14ac:dyDescent="0.3">
      <c r="A444" s="1"/>
      <c r="B444" s="4">
        <v>2000000</v>
      </c>
      <c r="C444" s="75" t="s">
        <v>1005</v>
      </c>
      <c r="D444" s="76"/>
      <c r="E444" s="5">
        <f>+'тура ака'!Q433</f>
        <v>0</v>
      </c>
      <c r="F444" s="76">
        <f>+'тура ака'!E433</f>
        <v>0</v>
      </c>
    </row>
    <row r="445" spans="1:12" hidden="1" x14ac:dyDescent="0.3">
      <c r="A445" s="1" t="s">
        <v>1004</v>
      </c>
      <c r="B445" s="4">
        <v>5000000</v>
      </c>
      <c r="C445" s="75" t="s">
        <v>1006</v>
      </c>
      <c r="D445" s="76" t="s">
        <v>1004</v>
      </c>
      <c r="E445" s="5">
        <f>+'тура ака'!Q434</f>
        <v>-218495</v>
      </c>
      <c r="F445" s="76" t="str">
        <f>+'тура ака'!E434</f>
        <v>047 мяхкм бозор</v>
      </c>
    </row>
    <row r="446" spans="1:12" hidden="1" x14ac:dyDescent="0.3">
      <c r="A446" s="1"/>
      <c r="B446" s="4">
        <v>400000</v>
      </c>
      <c r="C446" s="75" t="s">
        <v>111</v>
      </c>
      <c r="D446" s="76"/>
      <c r="E446" s="5"/>
      <c r="F446" s="76"/>
    </row>
    <row r="447" spans="1:12" hidden="1" x14ac:dyDescent="0.3">
      <c r="A447" s="1" t="s">
        <v>1008</v>
      </c>
      <c r="B447" s="4">
        <v>1700000</v>
      </c>
      <c r="C447" s="75" t="s">
        <v>1012</v>
      </c>
      <c r="D447" s="76"/>
      <c r="E447" s="5">
        <f>+'тура ака'!Q436</f>
        <v>0</v>
      </c>
      <c r="F447" s="76">
        <f>+'тура ака'!E436</f>
        <v>0</v>
      </c>
    </row>
    <row r="448" spans="1:12" hidden="1" x14ac:dyDescent="0.3">
      <c r="A448" s="1"/>
      <c r="B448" s="4">
        <v>7200000</v>
      </c>
      <c r="C448" s="75" t="s">
        <v>113</v>
      </c>
      <c r="D448" s="76" t="s">
        <v>1008</v>
      </c>
      <c r="E448" s="5">
        <f>+'тура ака'!Q437</f>
        <v>0</v>
      </c>
      <c r="F448" s="76">
        <f>+'тура ака'!E437</f>
        <v>0</v>
      </c>
    </row>
    <row r="449" spans="1:6" hidden="1" x14ac:dyDescent="0.3">
      <c r="A449" s="1"/>
      <c r="B449" s="4">
        <v>1800000</v>
      </c>
      <c r="C449" s="75" t="s">
        <v>1013</v>
      </c>
      <c r="D449" s="76"/>
      <c r="E449" s="5">
        <f>+'тура ака'!Q438</f>
        <v>1136480</v>
      </c>
      <c r="F449" s="76" t="str">
        <f>+'тура ака'!E438</f>
        <v>530 бекобод т</v>
      </c>
    </row>
    <row r="450" spans="1:6" hidden="1" x14ac:dyDescent="0.3">
      <c r="A450" s="1"/>
      <c r="B450" s="4">
        <v>500000</v>
      </c>
      <c r="C450" s="75" t="s">
        <v>192</v>
      </c>
      <c r="D450" s="76"/>
      <c r="E450" s="5">
        <f>+'тура ака'!Q439</f>
        <v>859604</v>
      </c>
      <c r="F450" s="76" t="str">
        <f>+'тура ака'!E439</f>
        <v>099 бек т</v>
      </c>
    </row>
    <row r="451" spans="1:6" hidden="1" x14ac:dyDescent="0.3">
      <c r="A451" s="1" t="s">
        <v>802</v>
      </c>
      <c r="B451" s="4">
        <v>800000</v>
      </c>
      <c r="C451" s="75" t="s">
        <v>192</v>
      </c>
      <c r="D451" s="76" t="s">
        <v>802</v>
      </c>
      <c r="E451" s="5">
        <f>+'тура ака'!Q440</f>
        <v>1600100</v>
      </c>
      <c r="F451" s="76" t="str">
        <f>+'тура ака'!E440</f>
        <v>562 ширин</v>
      </c>
    </row>
    <row r="452" spans="1:6" hidden="1" x14ac:dyDescent="0.3">
      <c r="A452" s="1" t="s">
        <v>808</v>
      </c>
      <c r="B452" s="4">
        <v>1000000</v>
      </c>
      <c r="C452" s="75" t="s">
        <v>772</v>
      </c>
      <c r="D452" s="76"/>
      <c r="E452" s="5">
        <f>+'тура ака'!Q441</f>
        <v>560660</v>
      </c>
      <c r="F452" s="76" t="str">
        <f>+'тура ака'!E441</f>
        <v>593 бекоб шермат</v>
      </c>
    </row>
    <row r="453" spans="1:6" hidden="1" x14ac:dyDescent="0.3">
      <c r="A453" s="1"/>
      <c r="B453" s="4">
        <f>100*11970</f>
        <v>1197000</v>
      </c>
      <c r="C453" s="75" t="s">
        <v>1031</v>
      </c>
      <c r="D453" s="76"/>
      <c r="E453" s="5">
        <f>+'тура ака'!Q442</f>
        <v>1305735</v>
      </c>
      <c r="F453" s="76" t="str">
        <f>+'тура ака'!E442</f>
        <v>413 мяхки т</v>
      </c>
    </row>
    <row r="454" spans="1:6" hidden="1" x14ac:dyDescent="0.3">
      <c r="A454" s="1"/>
      <c r="B454" s="4">
        <f>300*11970</f>
        <v>3591000</v>
      </c>
      <c r="C454" s="75" t="s">
        <v>1032</v>
      </c>
      <c r="D454" s="76"/>
      <c r="E454" s="5">
        <f>+'тура ака'!Q443</f>
        <v>426710</v>
      </c>
      <c r="F454" s="76" t="str">
        <f>+'тура ака'!E443</f>
        <v>537 мяхк искандар</v>
      </c>
    </row>
    <row r="455" spans="1:6" hidden="1" x14ac:dyDescent="0.3">
      <c r="A455" s="1"/>
      <c r="B455" s="4">
        <v>300000</v>
      </c>
      <c r="C455" s="75" t="s">
        <v>1033</v>
      </c>
      <c r="D455" s="76"/>
      <c r="E455" s="5">
        <f>+'тура ака'!Q444</f>
        <v>790148</v>
      </c>
      <c r="F455" s="76" t="str">
        <f>+'тура ака'!E444</f>
        <v>403 бек т</v>
      </c>
    </row>
    <row r="456" spans="1:6" hidden="1" x14ac:dyDescent="0.3">
      <c r="A456" s="1"/>
      <c r="B456" s="4"/>
      <c r="C456" s="75" t="s">
        <v>1036</v>
      </c>
      <c r="D456" s="76"/>
      <c r="E456" s="5">
        <v>5600000</v>
      </c>
      <c r="F456" s="76" t="s">
        <v>408</v>
      </c>
    </row>
    <row r="457" spans="1:6" hidden="1" x14ac:dyDescent="0.3">
      <c r="A457" s="1"/>
      <c r="B457" s="4">
        <v>120222</v>
      </c>
      <c r="C457" s="75" t="s">
        <v>600</v>
      </c>
      <c r="D457" s="76" t="s">
        <v>1034</v>
      </c>
      <c r="E457" s="5">
        <f>+'тура ака'!Q446</f>
        <v>1563520</v>
      </c>
      <c r="F457" s="76" t="str">
        <f>+'тура ака'!E446</f>
        <v>521 мяхки т</v>
      </c>
    </row>
    <row r="458" spans="1:6" hidden="1" x14ac:dyDescent="0.3">
      <c r="A458" s="1" t="s">
        <v>1037</v>
      </c>
      <c r="B458" s="4">
        <v>3600000</v>
      </c>
      <c r="C458" s="75" t="s">
        <v>1043</v>
      </c>
      <c r="D458" s="76"/>
      <c r="E458" s="5">
        <f>+'тура ака'!Q447</f>
        <v>1709390</v>
      </c>
      <c r="F458" s="76" t="str">
        <f>+'тура ака'!E447</f>
        <v>550 мяхки т</v>
      </c>
    </row>
    <row r="459" spans="1:6" hidden="1" x14ac:dyDescent="0.3">
      <c r="A459" s="1"/>
      <c r="B459" s="4">
        <v>200000</v>
      </c>
      <c r="C459" s="75" t="s">
        <v>1044</v>
      </c>
      <c r="D459" s="76"/>
      <c r="E459" s="174">
        <f>300*11970</f>
        <v>3591000</v>
      </c>
      <c r="F459" s="175" t="s">
        <v>1029</v>
      </c>
    </row>
    <row r="460" spans="1:6" hidden="1" x14ac:dyDescent="0.3">
      <c r="A460" s="1"/>
      <c r="B460" s="4">
        <v>500000</v>
      </c>
      <c r="C460" s="75" t="s">
        <v>139</v>
      </c>
      <c r="D460" s="76"/>
      <c r="E460" s="5">
        <v>500000</v>
      </c>
      <c r="F460" s="76" t="s">
        <v>825</v>
      </c>
    </row>
    <row r="461" spans="1:6" hidden="1" x14ac:dyDescent="0.3">
      <c r="A461" s="1"/>
      <c r="B461" s="4">
        <v>1300000</v>
      </c>
      <c r="C461" s="75" t="s">
        <v>1045</v>
      </c>
      <c r="D461" s="76"/>
      <c r="E461" s="5">
        <v>800000</v>
      </c>
      <c r="F461" s="76" t="s">
        <v>1035</v>
      </c>
    </row>
    <row r="462" spans="1:6" hidden="1" x14ac:dyDescent="0.3">
      <c r="A462" s="1"/>
      <c r="B462" s="4">
        <v>2400000</v>
      </c>
      <c r="C462" s="75" t="s">
        <v>839</v>
      </c>
      <c r="D462" s="76" t="s">
        <v>816</v>
      </c>
      <c r="E462" s="5">
        <f>+'тура ака'!Q451</f>
        <v>1498830.0000000037</v>
      </c>
      <c r="F462" s="76" t="str">
        <f>+'тура ака'!E451</f>
        <v>267 мяхк т</v>
      </c>
    </row>
    <row r="463" spans="1:6" hidden="1" x14ac:dyDescent="0.3">
      <c r="A463" s="1"/>
      <c r="B463" s="4"/>
      <c r="C463" s="75"/>
      <c r="D463" s="76"/>
      <c r="E463" s="5">
        <f>+'тура ака'!Q452</f>
        <v>908460</v>
      </c>
      <c r="F463" s="76" t="str">
        <f>+'тура ака'!E452</f>
        <v>725 бек ислом</v>
      </c>
    </row>
    <row r="464" spans="1:6" hidden="1" x14ac:dyDescent="0.3">
      <c r="A464" s="1"/>
      <c r="B464" s="4"/>
      <c r="C464" s="75"/>
      <c r="D464" s="76"/>
      <c r="E464" s="5">
        <v>300000</v>
      </c>
      <c r="F464" s="76" t="s">
        <v>1047</v>
      </c>
    </row>
    <row r="465" spans="1:6" hidden="1" x14ac:dyDescent="0.3">
      <c r="A465" s="1"/>
      <c r="B465" s="4"/>
      <c r="C465" s="75"/>
      <c r="D465" s="76"/>
      <c r="E465" s="5">
        <f>+'тура ака'!Q454</f>
        <v>3346200</v>
      </c>
      <c r="F465" s="76" t="str">
        <f>+'тура ака'!E454</f>
        <v>575 камаз мяхк</v>
      </c>
    </row>
    <row r="466" spans="1:6" hidden="1" x14ac:dyDescent="0.3">
      <c r="A466" s="1"/>
      <c r="B466" s="4"/>
      <c r="C466" s="75"/>
      <c r="D466" s="76"/>
      <c r="E466" s="5">
        <f>+'тура ака'!Q455</f>
        <v>572468</v>
      </c>
      <c r="F466" s="76" t="str">
        <f>+'тура ака'!E455</f>
        <v>575 бекобод</v>
      </c>
    </row>
    <row r="467" spans="1:6" hidden="1" x14ac:dyDescent="0.3">
      <c r="A467" s="1" t="s">
        <v>1046</v>
      </c>
      <c r="B467" s="4">
        <v>500000</v>
      </c>
      <c r="C467" s="75" t="s">
        <v>813</v>
      </c>
      <c r="D467" s="76" t="s">
        <v>1046</v>
      </c>
      <c r="E467" s="5">
        <f>+'тура ака'!Q456</f>
        <v>40857.60000000149</v>
      </c>
      <c r="F467" s="76" t="str">
        <f>+'тура ака'!E456</f>
        <v>974  бек турон</v>
      </c>
    </row>
    <row r="468" spans="1:6" hidden="1" x14ac:dyDescent="0.3">
      <c r="A468" s="1"/>
      <c r="B468" s="4">
        <v>1200000</v>
      </c>
      <c r="C468" s="75" t="s">
        <v>1057</v>
      </c>
      <c r="D468" s="76"/>
      <c r="E468" s="5">
        <f>+'тура ака'!Q457</f>
        <v>215960</v>
      </c>
      <c r="F468" s="76" t="str">
        <f>+'тура ака'!E457</f>
        <v>960 мяхк нов турон,</v>
      </c>
    </row>
    <row r="469" spans="1:6" hidden="1" x14ac:dyDescent="0.3">
      <c r="A469" s="1"/>
      <c r="B469" s="4">
        <v>1109188</v>
      </c>
      <c r="C469" s="75" t="s">
        <v>111</v>
      </c>
      <c r="D469" s="76"/>
      <c r="E469" s="5">
        <f>+'тура ака'!Q458</f>
        <v>2134664</v>
      </c>
      <c r="F469" s="76" t="str">
        <f>+'тура ака'!E458</f>
        <v>773 бек ой сир шах</v>
      </c>
    </row>
    <row r="470" spans="1:6" hidden="1" x14ac:dyDescent="0.3">
      <c r="A470" s="1" t="s">
        <v>1059</v>
      </c>
      <c r="B470" s="4">
        <v>1400000</v>
      </c>
      <c r="C470" s="75" t="s">
        <v>1071</v>
      </c>
      <c r="D470" s="76"/>
      <c r="E470" s="5">
        <f>+'тура ака'!Q459</f>
        <v>1359570</v>
      </c>
      <c r="F470" s="76" t="str">
        <f>+'тура ака'!E459</f>
        <v>377 мяхки ром,</v>
      </c>
    </row>
    <row r="471" spans="1:6" hidden="1" x14ac:dyDescent="0.3">
      <c r="A471" s="1"/>
      <c r="B471" s="4">
        <v>600000</v>
      </c>
      <c r="C471" s="75" t="s">
        <v>192</v>
      </c>
      <c r="D471" s="76"/>
      <c r="E471" s="5">
        <f>+'тура ака'!Q460</f>
        <v>1614833</v>
      </c>
      <c r="F471" s="76" t="str">
        <f>+'тура ака'!E460</f>
        <v>266 мяхки ой ког</v>
      </c>
    </row>
    <row r="472" spans="1:6" hidden="1" x14ac:dyDescent="0.3">
      <c r="A472" s="1"/>
      <c r="B472" s="4">
        <v>400000</v>
      </c>
      <c r="C472" s="75" t="s">
        <v>806</v>
      </c>
      <c r="D472" s="76"/>
      <c r="E472" s="5">
        <f>+'тура ака'!Q461</f>
        <v>278880.75</v>
      </c>
      <c r="F472" s="76" t="str">
        <f>+'тура ака'!E461</f>
        <v>0370яхк фармон шерал</v>
      </c>
    </row>
    <row r="473" spans="1:6" hidden="1" x14ac:dyDescent="0.3">
      <c r="A473" s="1"/>
      <c r="B473" s="4">
        <v>330870</v>
      </c>
      <c r="C473" s="75" t="s">
        <v>600</v>
      </c>
      <c r="D473" s="76"/>
      <c r="E473" s="5">
        <f>+'тура ака'!Q462</f>
        <v>994855</v>
      </c>
      <c r="F473" s="76" t="str">
        <f>+'тура ака'!E462</f>
        <v>384 мяхк мавлон</v>
      </c>
    </row>
    <row r="474" spans="1:6" hidden="1" x14ac:dyDescent="0.3">
      <c r="A474" s="1" t="s">
        <v>1072</v>
      </c>
      <c r="B474" s="4">
        <v>2300000</v>
      </c>
      <c r="C474" s="75" t="s">
        <v>1074</v>
      </c>
      <c r="D474" s="76"/>
      <c r="E474" s="5">
        <f>342*2900</f>
        <v>991800</v>
      </c>
      <c r="F474" s="76" t="s">
        <v>1058</v>
      </c>
    </row>
    <row r="475" spans="1:6" hidden="1" x14ac:dyDescent="0.3">
      <c r="A475" s="1"/>
      <c r="B475" s="4">
        <v>29540000</v>
      </c>
      <c r="C475" s="75" t="s">
        <v>1075</v>
      </c>
      <c r="D475" s="76" t="s">
        <v>1059</v>
      </c>
      <c r="E475" s="5">
        <f>+'тура ака'!Q464</f>
        <v>1756540</v>
      </c>
      <c r="F475" s="76" t="str">
        <f>+'тура ака'!E464</f>
        <v>254 фура релс</v>
      </c>
    </row>
    <row r="476" spans="1:6" hidden="1" x14ac:dyDescent="0.3">
      <c r="A476" s="1"/>
      <c r="B476" s="4">
        <v>1500000</v>
      </c>
      <c r="C476" s="75" t="s">
        <v>1076</v>
      </c>
      <c r="D476" s="76"/>
      <c r="E476" s="5">
        <f>+'тура ака'!Q465</f>
        <v>1052510</v>
      </c>
      <c r="F476" s="76" t="str">
        <f>+'тура ака'!E465</f>
        <v>550 релс</v>
      </c>
    </row>
    <row r="477" spans="1:6" hidden="1" x14ac:dyDescent="0.3">
      <c r="A477" s="1"/>
      <c r="B477" s="4">
        <v>10500000</v>
      </c>
      <c r="C477" s="75" t="s">
        <v>1077</v>
      </c>
      <c r="D477" s="76"/>
      <c r="E477" s="5">
        <f>+'тура ака'!Q466</f>
        <v>1000392</v>
      </c>
      <c r="F477" s="76" t="str">
        <f>+'тура ака'!E466</f>
        <v>388 шерка бекобод</v>
      </c>
    </row>
    <row r="478" spans="1:6" hidden="1" x14ac:dyDescent="0.3">
      <c r="A478" s="1" t="s">
        <v>1080</v>
      </c>
      <c r="B478" s="4">
        <v>800000</v>
      </c>
      <c r="C478" s="75"/>
      <c r="D478" s="76"/>
      <c r="E478" s="5">
        <f>+'тура ака'!Q467</f>
        <v>2562020</v>
      </c>
      <c r="F478" s="76" t="str">
        <f>+'тура ака'!E467</f>
        <v>834 бек фар тур</v>
      </c>
    </row>
    <row r="479" spans="1:6" hidden="1" x14ac:dyDescent="0.3">
      <c r="A479" s="1"/>
      <c r="B479" s="4"/>
      <c r="C479" s="75"/>
      <c r="D479" s="76" t="s">
        <v>1072</v>
      </c>
      <c r="E479" s="5">
        <v>2000000</v>
      </c>
      <c r="F479" s="76" t="s">
        <v>449</v>
      </c>
    </row>
    <row r="480" spans="1:6" hidden="1" x14ac:dyDescent="0.3">
      <c r="A480" s="1" t="s">
        <v>1083</v>
      </c>
      <c r="B480" s="4">
        <v>1600000</v>
      </c>
      <c r="C480" s="75" t="s">
        <v>111</v>
      </c>
      <c r="D480" s="76"/>
      <c r="E480" s="5">
        <f>100001+146960</f>
        <v>246961</v>
      </c>
      <c r="F480" s="76" t="s">
        <v>1078</v>
      </c>
    </row>
    <row r="481" spans="1:6" hidden="1" x14ac:dyDescent="0.3">
      <c r="A481" s="1" t="s">
        <v>1087</v>
      </c>
      <c r="B481" s="4">
        <v>400000</v>
      </c>
      <c r="C481" s="75" t="s">
        <v>1092</v>
      </c>
      <c r="D481" s="76" t="s">
        <v>1080</v>
      </c>
      <c r="E481" s="5">
        <f>+'тура ака'!Q470</f>
        <v>2528530</v>
      </c>
      <c r="F481" s="76" t="str">
        <f>+'тура ака'!E470</f>
        <v>919 мяхк т</v>
      </c>
    </row>
    <row r="482" spans="1:6" hidden="1" x14ac:dyDescent="0.3">
      <c r="A482" s="1"/>
      <c r="B482" s="4">
        <v>500000</v>
      </c>
      <c r="C482" s="75" t="s">
        <v>358</v>
      </c>
      <c r="D482" s="76"/>
      <c r="E482" s="5">
        <f>+'тура ака'!Q471</f>
        <v>1811150</v>
      </c>
      <c r="F482" s="76" t="str">
        <f>+'тура ака'!E471</f>
        <v>530 мяхк т</v>
      </c>
    </row>
    <row r="483" spans="1:6" hidden="1" x14ac:dyDescent="0.3">
      <c r="A483" s="1"/>
      <c r="B483" s="4">
        <v>500000</v>
      </c>
      <c r="C483" s="75" t="s">
        <v>1093</v>
      </c>
      <c r="D483" s="76"/>
      <c r="E483" s="5">
        <f>+'тура ака'!Q472</f>
        <v>842016</v>
      </c>
      <c r="F483" s="76" t="str">
        <f>+'тура ака'!E472</f>
        <v>576 бекобод вобеннт</v>
      </c>
    </row>
    <row r="484" spans="1:6" hidden="1" x14ac:dyDescent="0.3">
      <c r="A484" s="1"/>
      <c r="B484" s="4">
        <v>500000</v>
      </c>
      <c r="C484" s="75" t="s">
        <v>192</v>
      </c>
      <c r="D484" s="76" t="s">
        <v>1083</v>
      </c>
      <c r="E484" s="5">
        <f>+'тура ака'!Q473</f>
        <v>865975</v>
      </c>
      <c r="F484" s="76" t="str">
        <f>+'тура ака'!E473</f>
        <v>562 мяхк бобир</v>
      </c>
    </row>
    <row r="485" spans="1:6" hidden="1" x14ac:dyDescent="0.3">
      <c r="A485" s="1" t="s">
        <v>1094</v>
      </c>
      <c r="B485" s="4">
        <v>800000</v>
      </c>
      <c r="C485" s="75" t="s">
        <v>581</v>
      </c>
      <c r="D485" s="76"/>
      <c r="E485" s="5">
        <f>+'тура ака'!Q474</f>
        <v>1542600</v>
      </c>
      <c r="F485" s="76" t="str">
        <f>+'тура ака'!E474</f>
        <v>377 бекобод пешку</v>
      </c>
    </row>
    <row r="486" spans="1:6" hidden="1" x14ac:dyDescent="0.3">
      <c r="A486" s="1"/>
      <c r="B486" s="4">
        <v>200000</v>
      </c>
      <c r="C486" s="75" t="s">
        <v>193</v>
      </c>
      <c r="D486" s="76"/>
      <c r="E486" s="5">
        <f>+'тура ака'!Q475</f>
        <v>1318188</v>
      </c>
      <c r="F486" s="76" t="str">
        <f>+'тура ака'!E475</f>
        <v>413 бекобод т</v>
      </c>
    </row>
    <row r="487" spans="1:6" hidden="1" x14ac:dyDescent="0.3">
      <c r="A487" s="1"/>
      <c r="B487" s="4">
        <f>1800*12150</f>
        <v>21870000</v>
      </c>
      <c r="C487" s="75" t="s">
        <v>1107</v>
      </c>
      <c r="D487" s="76" t="s">
        <v>1087</v>
      </c>
      <c r="E487" s="5">
        <f>+'тура ака'!Q476</f>
        <v>914037</v>
      </c>
      <c r="F487" s="76" t="str">
        <f>+'тура ака'!E476</f>
        <v>384 мяхк т н</v>
      </c>
    </row>
    <row r="488" spans="1:6" hidden="1" x14ac:dyDescent="0.3">
      <c r="A488" s="1" t="s">
        <v>1109</v>
      </c>
      <c r="B488" s="4">
        <v>29250000</v>
      </c>
      <c r="C488" s="75" t="s">
        <v>1005</v>
      </c>
      <c r="D488" s="76"/>
      <c r="E488" s="5">
        <f>+'тура ака'!Q477</f>
        <v>1589840</v>
      </c>
      <c r="F488" s="76" t="str">
        <f>+'тура ака'!E477</f>
        <v>267 мяхк т</v>
      </c>
    </row>
    <row r="489" spans="1:6" hidden="1" x14ac:dyDescent="0.3">
      <c r="A489" s="1"/>
      <c r="B489" s="4">
        <v>1000000</v>
      </c>
      <c r="C489" s="75" t="s">
        <v>192</v>
      </c>
      <c r="D489" s="76"/>
      <c r="E489" s="5">
        <f>+'тура ака'!Q478</f>
        <v>1353780.0000000037</v>
      </c>
      <c r="F489" s="76" t="str">
        <f>+'тура ака'!E478</f>
        <v>960 мяхк арматура ж</v>
      </c>
    </row>
    <row r="490" spans="1:6" hidden="1" x14ac:dyDescent="0.3">
      <c r="A490" s="1"/>
      <c r="B490" s="4">
        <v>200000</v>
      </c>
      <c r="C490" s="75" t="s">
        <v>234</v>
      </c>
      <c r="D490" s="76"/>
      <c r="E490" s="5">
        <f>+'тура ака'!Q479</f>
        <v>600</v>
      </c>
      <c r="F490" s="76" t="str">
        <f>+'тура ака'!E479</f>
        <v>403 мяхк еко</v>
      </c>
    </row>
    <row r="491" spans="1:6" hidden="1" x14ac:dyDescent="0.3">
      <c r="A491" s="1"/>
      <c r="B491" s="4">
        <v>3645000</v>
      </c>
      <c r="C491" s="75" t="s">
        <v>1110</v>
      </c>
      <c r="D491" s="76"/>
      <c r="E491" s="5">
        <v>300000</v>
      </c>
      <c r="F491" s="76" t="s">
        <v>1091</v>
      </c>
    </row>
    <row r="492" spans="1:6" hidden="1" x14ac:dyDescent="0.3">
      <c r="A492" s="1"/>
      <c r="B492" s="4">
        <v>470447</v>
      </c>
      <c r="C492" s="75" t="s">
        <v>820</v>
      </c>
      <c r="D492" s="76"/>
      <c r="E492" s="5">
        <v>5500000</v>
      </c>
      <c r="F492" s="76" t="s">
        <v>408</v>
      </c>
    </row>
    <row r="493" spans="1:6" hidden="1" x14ac:dyDescent="0.3">
      <c r="A493" s="1"/>
      <c r="B493" s="4"/>
      <c r="C493" s="75"/>
      <c r="D493" s="76" t="s">
        <v>1094</v>
      </c>
      <c r="E493" s="5">
        <f>+'тура ака'!Q482</f>
        <v>1882180</v>
      </c>
      <c r="F493" s="76" t="str">
        <f>+'тура ака'!E482</f>
        <v>620 мяхк т</v>
      </c>
    </row>
    <row r="494" spans="1:6" hidden="1" x14ac:dyDescent="0.3">
      <c r="A494" s="1"/>
      <c r="B494" s="4"/>
      <c r="C494" s="75"/>
      <c r="D494" s="76"/>
      <c r="E494" s="5">
        <f>+'тура ака'!Q483</f>
        <v>-340856.00000000373</v>
      </c>
      <c r="F494" s="76" t="str">
        <f>+'тура ака'!E483</f>
        <v>938 бекобод т</v>
      </c>
    </row>
    <row r="495" spans="1:6" hidden="1" x14ac:dyDescent="0.3">
      <c r="A495" s="1" t="s">
        <v>1108</v>
      </c>
      <c r="B495" s="4">
        <v>200000</v>
      </c>
      <c r="C495" s="75" t="s">
        <v>111</v>
      </c>
      <c r="D495" s="76" t="s">
        <v>863</v>
      </c>
      <c r="E495" s="5">
        <v>2000000</v>
      </c>
      <c r="F495" s="76" t="s">
        <v>449</v>
      </c>
    </row>
    <row r="496" spans="1:6" hidden="1" x14ac:dyDescent="0.3">
      <c r="A496" s="1"/>
      <c r="B496" s="4">
        <v>700000</v>
      </c>
      <c r="C496" s="75" t="s">
        <v>581</v>
      </c>
      <c r="D496" s="76"/>
      <c r="E496" s="5">
        <f>+'тура ака'!Q485</f>
        <v>1064908</v>
      </c>
      <c r="F496" s="76" t="str">
        <f>+'тура ака'!E485</f>
        <v>270 бекобод фаруг</v>
      </c>
    </row>
    <row r="497" spans="1:6" hidden="1" x14ac:dyDescent="0.3">
      <c r="A497" s="1"/>
      <c r="B497" s="4">
        <v>2000000</v>
      </c>
      <c r="C497" s="75" t="s">
        <v>113</v>
      </c>
      <c r="D497" s="76" t="s">
        <v>1108</v>
      </c>
      <c r="E497" s="5">
        <f>+'тура ака'!Q486</f>
        <v>2004520</v>
      </c>
      <c r="F497" s="76" t="str">
        <f>+'тура ака'!E486</f>
        <v>377 мяхк о</v>
      </c>
    </row>
    <row r="498" spans="1:6" hidden="1" x14ac:dyDescent="0.3">
      <c r="A498" s="1"/>
      <c r="B498" s="4">
        <v>63438</v>
      </c>
      <c r="C498" s="75" t="s">
        <v>600</v>
      </c>
      <c r="D498" s="76"/>
      <c r="E498" s="5">
        <f>+'тура ака'!Q487</f>
        <v>1520694</v>
      </c>
      <c r="F498" s="76" t="str">
        <f>+'тура ака'!E487</f>
        <v>537 мяхк  т</v>
      </c>
    </row>
    <row r="499" spans="1:6" hidden="1" x14ac:dyDescent="0.3">
      <c r="A499" s="1" t="s">
        <v>1116</v>
      </c>
      <c r="B499" s="4">
        <v>9230000</v>
      </c>
      <c r="C499" s="75" t="s">
        <v>1120</v>
      </c>
      <c r="D499" s="76"/>
      <c r="E499" s="5">
        <f>+'тура ака'!Q488</f>
        <v>153720</v>
      </c>
      <c r="F499" s="76" t="str">
        <f>+'тура ака'!E488</f>
        <v>660 мяхки нов</v>
      </c>
    </row>
    <row r="500" spans="1:6" hidden="1" x14ac:dyDescent="0.3">
      <c r="A500" s="1"/>
      <c r="B500" s="4">
        <v>300000</v>
      </c>
      <c r="C500" s="75" t="s">
        <v>191</v>
      </c>
      <c r="D500" s="76" t="s">
        <v>1116</v>
      </c>
      <c r="E500" s="5">
        <f>+'тура ака'!Q489</f>
        <v>814672</v>
      </c>
      <c r="F500" s="76" t="str">
        <f>+'тура ака'!E489</f>
        <v>403 бекобод т</v>
      </c>
    </row>
    <row r="501" spans="1:6" hidden="1" x14ac:dyDescent="0.3">
      <c r="A501" s="1"/>
      <c r="B501" s="4">
        <v>220155</v>
      </c>
      <c r="C501" s="75" t="s">
        <v>111</v>
      </c>
      <c r="D501" s="76"/>
      <c r="E501" s="5">
        <f>+'тура ака'!Q490</f>
        <v>1410200</v>
      </c>
      <c r="F501" s="76" t="str">
        <f>+'тура ака'!E490</f>
        <v>870 мяхк т</v>
      </c>
    </row>
    <row r="502" spans="1:6" hidden="1" x14ac:dyDescent="0.3">
      <c r="A502" s="1" t="s">
        <v>1127</v>
      </c>
      <c r="B502" s="4">
        <v>7000000</v>
      </c>
      <c r="C502" s="75" t="s">
        <v>1134</v>
      </c>
      <c r="D502" s="76"/>
      <c r="E502" s="5">
        <v>64680</v>
      </c>
      <c r="F502" s="76" t="s">
        <v>1145</v>
      </c>
    </row>
    <row r="503" spans="1:6" hidden="1" x14ac:dyDescent="0.3">
      <c r="A503" s="1"/>
      <c r="B503" s="4">
        <v>2600000</v>
      </c>
      <c r="C503" s="75" t="s">
        <v>1135</v>
      </c>
      <c r="D503" s="76" t="s">
        <v>1127</v>
      </c>
      <c r="E503" s="5">
        <f>+'тура ака'!Q492</f>
        <v>1114000</v>
      </c>
      <c r="F503" s="76" t="str">
        <f>+'тура ака'!E492</f>
        <v>457 бекобод т</v>
      </c>
    </row>
    <row r="504" spans="1:6" hidden="1" x14ac:dyDescent="0.3">
      <c r="A504" s="1"/>
      <c r="B504" s="4">
        <v>400000</v>
      </c>
      <c r="C504" s="75" t="s">
        <v>192</v>
      </c>
      <c r="D504" s="76"/>
      <c r="E504" s="5">
        <f>+'тура ака'!Q493</f>
        <v>1218640</v>
      </c>
      <c r="F504" s="76" t="str">
        <f>+'тура ака'!E493</f>
        <v>144 мяхк пешку сар</v>
      </c>
    </row>
    <row r="505" spans="1:6" hidden="1" x14ac:dyDescent="0.3">
      <c r="A505" s="1"/>
      <c r="B505" s="4">
        <v>150000</v>
      </c>
      <c r="C505" s="75" t="s">
        <v>1137</v>
      </c>
      <c r="D505" s="76"/>
      <c r="E505" s="5">
        <f>+'тура ака'!Q494</f>
        <v>-53064</v>
      </c>
      <c r="F505" s="76" t="str">
        <f>+'тура ака'!E494</f>
        <v>384 бекобод еко</v>
      </c>
    </row>
    <row r="506" spans="1:6" hidden="1" x14ac:dyDescent="0.3">
      <c r="A506" s="1"/>
      <c r="B506" s="4">
        <v>4600000</v>
      </c>
      <c r="C506" s="75" t="s">
        <v>314</v>
      </c>
      <c r="D506" s="76" t="s">
        <v>33</v>
      </c>
      <c r="E506" s="5">
        <f>+'тура ака'!Q495</f>
        <v>1208161.9999999963</v>
      </c>
      <c r="F506" s="76" t="str">
        <f>+'тура ака'!E495</f>
        <v>267 мяхк т</v>
      </c>
    </row>
    <row r="507" spans="1:6" hidden="1" x14ac:dyDescent="0.3">
      <c r="A507" s="1" t="s">
        <v>1138</v>
      </c>
      <c r="B507" s="4">
        <v>500000</v>
      </c>
      <c r="C507" s="75" t="s">
        <v>192</v>
      </c>
      <c r="D507" s="76"/>
      <c r="E507" s="218">
        <v>6000000</v>
      </c>
      <c r="F507" s="219" t="s">
        <v>1136</v>
      </c>
    </row>
    <row r="508" spans="1:6" hidden="1" x14ac:dyDescent="0.3">
      <c r="A508" s="1" t="s">
        <v>1146</v>
      </c>
      <c r="B508" s="4">
        <v>3800000</v>
      </c>
      <c r="C508" s="75" t="s">
        <v>897</v>
      </c>
      <c r="D508" s="76" t="s">
        <v>1138</v>
      </c>
      <c r="E508" s="5">
        <f>+'тура ака'!Q497</f>
        <v>942233.60000000149</v>
      </c>
      <c r="F508" s="76" t="str">
        <f>+'тура ака'!E497</f>
        <v>919 бекобод еко</v>
      </c>
    </row>
    <row r="509" spans="1:6" hidden="1" x14ac:dyDescent="0.3">
      <c r="A509" s="1"/>
      <c r="B509" s="4">
        <v>1200000</v>
      </c>
      <c r="C509" s="75" t="s">
        <v>1152</v>
      </c>
      <c r="D509" s="76"/>
      <c r="E509" s="5">
        <f>+'тура ака'!Q498</f>
        <v>1669740</v>
      </c>
      <c r="F509" s="76" t="str">
        <f>+'тура ака'!E498</f>
        <v>812 мяхк бобир</v>
      </c>
    </row>
    <row r="510" spans="1:6" hidden="1" x14ac:dyDescent="0.3">
      <c r="A510" s="1"/>
      <c r="B510" s="4">
        <v>9000000</v>
      </c>
      <c r="C510" s="75" t="s">
        <v>1150</v>
      </c>
      <c r="D510" s="76"/>
      <c r="E510" s="5">
        <v>6000000</v>
      </c>
      <c r="F510" s="76" t="s">
        <v>408</v>
      </c>
    </row>
    <row r="511" spans="1:6" hidden="1" x14ac:dyDescent="0.3">
      <c r="A511" s="1"/>
      <c r="B511" s="4">
        <v>400000</v>
      </c>
      <c r="C511" s="75" t="s">
        <v>192</v>
      </c>
      <c r="D511" s="76" t="s">
        <v>1146</v>
      </c>
      <c r="E511" s="5">
        <f>+'тура ака'!Q500</f>
        <v>-819003</v>
      </c>
      <c r="F511" s="76" t="str">
        <f>+'тура ака'!E500</f>
        <v>377 мяхк пешку бозор</v>
      </c>
    </row>
    <row r="512" spans="1:6" hidden="1" x14ac:dyDescent="0.3">
      <c r="A512" s="1"/>
      <c r="B512" s="4">
        <v>1500000</v>
      </c>
      <c r="C512" s="75" t="s">
        <v>1151</v>
      </c>
      <c r="D512" s="76"/>
      <c r="E512" s="5">
        <f>+'тура ака'!Q501</f>
        <v>1495540</v>
      </c>
      <c r="F512" s="76" t="str">
        <f>+'тура ака'!E501</f>
        <v>413 мяхк т</v>
      </c>
    </row>
    <row r="513" spans="1:6" hidden="1" x14ac:dyDescent="0.3">
      <c r="A513" s="1"/>
      <c r="B513" s="4">
        <v>2000000</v>
      </c>
      <c r="C513" s="75" t="s">
        <v>688</v>
      </c>
      <c r="D513" s="76" t="s">
        <v>1153</v>
      </c>
      <c r="E513" s="5">
        <f>+'тура ака'!Q502</f>
        <v>2211550</v>
      </c>
      <c r="F513" s="76" t="str">
        <f>+'тура ака'!E502</f>
        <v>403 мяхк т</v>
      </c>
    </row>
    <row r="514" spans="1:6" hidden="1" x14ac:dyDescent="0.3">
      <c r="A514" s="1"/>
      <c r="B514" s="4">
        <v>1816900</v>
      </c>
      <c r="C514" s="75" t="s">
        <v>600</v>
      </c>
      <c r="D514" s="76"/>
      <c r="E514" s="5">
        <f>+'тура ака'!Q503</f>
        <v>786940</v>
      </c>
      <c r="F514" s="76" t="str">
        <f>+'тура ака'!E503</f>
        <v>562 мяхк   о</v>
      </c>
    </row>
    <row r="515" spans="1:6" hidden="1" x14ac:dyDescent="0.3">
      <c r="A515" s="1" t="s">
        <v>1153</v>
      </c>
      <c r="B515" s="4">
        <v>600000</v>
      </c>
      <c r="C515" s="75" t="s">
        <v>1158</v>
      </c>
      <c r="D515" s="76"/>
      <c r="E515" s="5">
        <v>2300000</v>
      </c>
      <c r="F515" s="76" t="s">
        <v>130</v>
      </c>
    </row>
    <row r="516" spans="1:6" hidden="1" x14ac:dyDescent="0.3">
      <c r="A516" s="1"/>
      <c r="B516" s="171">
        <v>1800000</v>
      </c>
      <c r="C516" s="181" t="s">
        <v>1159</v>
      </c>
      <c r="D516" s="76" t="s">
        <v>1160</v>
      </c>
      <c r="E516" s="5">
        <f>+'тура ака'!Q505</f>
        <v>1140694.3999999985</v>
      </c>
      <c r="F516" s="76" t="str">
        <f>+'тура ака'!E505</f>
        <v>870 бекобод т</v>
      </c>
    </row>
    <row r="517" spans="1:6" hidden="1" x14ac:dyDescent="0.3">
      <c r="A517" s="1" t="s">
        <v>1160</v>
      </c>
      <c r="B517" s="4">
        <v>600000</v>
      </c>
      <c r="C517" s="75" t="s">
        <v>111</v>
      </c>
      <c r="D517" s="76"/>
      <c r="E517" s="5">
        <f>+'тура ака'!Q506</f>
        <v>0</v>
      </c>
      <c r="F517" s="76" t="str">
        <f>+'тура ака'!E506</f>
        <v>266 мяхк еко лист</v>
      </c>
    </row>
    <row r="518" spans="1:6" hidden="1" x14ac:dyDescent="0.3">
      <c r="A518" s="1"/>
      <c r="B518" s="4">
        <v>600000</v>
      </c>
      <c r="C518" s="75" t="s">
        <v>1169</v>
      </c>
      <c r="D518" s="76"/>
      <c r="E518" s="5">
        <f>+'тура ака'!Q507</f>
        <v>570729.60000000149</v>
      </c>
      <c r="F518" s="76" t="str">
        <f>+'тура ака'!E507</f>
        <v>733 бек нов шерал</v>
      </c>
    </row>
    <row r="519" spans="1:6" hidden="1" x14ac:dyDescent="0.3">
      <c r="A519" s="1"/>
      <c r="B519" s="4">
        <v>200000</v>
      </c>
      <c r="C519" s="75" t="s">
        <v>1170</v>
      </c>
      <c r="D519" s="76"/>
      <c r="E519" s="5">
        <f>+'тура ака'!Q508</f>
        <v>1598464.5</v>
      </c>
      <c r="F519" s="76" t="str">
        <f>+'тура ака'!E508</f>
        <v>210 мяхк т</v>
      </c>
    </row>
    <row r="520" spans="1:6" hidden="1" x14ac:dyDescent="0.3">
      <c r="A520" s="1" t="s">
        <v>1171</v>
      </c>
      <c r="B520" s="4">
        <v>4200000</v>
      </c>
      <c r="C520" s="75" t="s">
        <v>1174</v>
      </c>
      <c r="D520" s="76"/>
      <c r="E520" s="5">
        <f>+'тура ака'!Q509</f>
        <v>0</v>
      </c>
      <c r="F520" s="76" t="str">
        <f>+'тура ака'!E509</f>
        <v>960 мяхк фармон</v>
      </c>
    </row>
    <row r="521" spans="1:6" hidden="1" x14ac:dyDescent="0.3">
      <c r="A521" s="1"/>
      <c r="B521" s="4">
        <v>600000</v>
      </c>
      <c r="C521" s="75" t="s">
        <v>154</v>
      </c>
      <c r="D521" s="76" t="s">
        <v>1171</v>
      </c>
      <c r="E521" s="5">
        <f>+'тура ака'!Q510</f>
        <v>-831360</v>
      </c>
      <c r="F521" s="76" t="str">
        <f>+'тура ака'!E510</f>
        <v>537 мяхк азим</v>
      </c>
    </row>
    <row r="522" spans="1:6" hidden="1" x14ac:dyDescent="0.3">
      <c r="A522" s="1"/>
      <c r="B522" s="4">
        <v>300000</v>
      </c>
      <c r="C522" s="75" t="s">
        <v>214</v>
      </c>
      <c r="D522" s="76"/>
      <c r="E522" s="5">
        <f>+'тура ака'!Q511</f>
        <v>891464</v>
      </c>
      <c r="F522" s="76" t="str">
        <f>+'тура ака'!E511</f>
        <v>966 бекобод  нурмат</v>
      </c>
    </row>
    <row r="523" spans="1:6" hidden="1" x14ac:dyDescent="0.3">
      <c r="A523" s="1"/>
      <c r="B523" s="4">
        <v>300000</v>
      </c>
      <c r="C523" s="75" t="s">
        <v>371</v>
      </c>
      <c r="D523" s="76"/>
      <c r="E523" s="5">
        <f>+'тура ака'!Q512</f>
        <v>0</v>
      </c>
      <c r="F523" s="76">
        <f>+'тура ака'!E512</f>
        <v>0</v>
      </c>
    </row>
    <row r="524" spans="1:6" hidden="1" x14ac:dyDescent="0.3">
      <c r="A524" s="1"/>
      <c r="B524" s="4">
        <v>6000000</v>
      </c>
      <c r="C524" s="75" t="s">
        <v>1177</v>
      </c>
      <c r="D524" s="76"/>
      <c r="E524" s="5">
        <f>+'тура ака'!Q513</f>
        <v>0</v>
      </c>
      <c r="F524" s="76">
        <f>+'тура ака'!E513</f>
        <v>0</v>
      </c>
    </row>
    <row r="525" spans="1:6" hidden="1" x14ac:dyDescent="0.3">
      <c r="A525" s="1"/>
      <c r="B525" s="4">
        <v>1200000</v>
      </c>
      <c r="C525" s="75" t="s">
        <v>457</v>
      </c>
      <c r="D525" s="76"/>
      <c r="E525" s="5">
        <f>+'тура ака'!Q514</f>
        <v>0</v>
      </c>
      <c r="F525" s="76">
        <f>+'тура ака'!E514</f>
        <v>0</v>
      </c>
    </row>
    <row r="526" spans="1:6" hidden="1" x14ac:dyDescent="0.3">
      <c r="A526" s="1" t="s">
        <v>1179</v>
      </c>
      <c r="B526" s="4">
        <f>1307*2900</f>
        <v>3790300</v>
      </c>
      <c r="C526" s="75" t="s">
        <v>1192</v>
      </c>
      <c r="D526" s="76" t="s">
        <v>1179</v>
      </c>
      <c r="E526" s="5">
        <f>+'тура ака'!Q515</f>
        <v>-1321390</v>
      </c>
      <c r="F526" s="76" t="str">
        <f>+'тура ака'!E515</f>
        <v>144 мяхк достон</v>
      </c>
    </row>
    <row r="527" spans="1:6" hidden="1" x14ac:dyDescent="0.3">
      <c r="A527" s="1"/>
      <c r="B527" s="4">
        <v>200000</v>
      </c>
      <c r="C527" s="75" t="s">
        <v>192</v>
      </c>
      <c r="D527" s="76"/>
      <c r="E527" s="5">
        <f>+'тура ака'!Q516</f>
        <v>667885.99999999627</v>
      </c>
      <c r="F527" s="76" t="str">
        <f>+'тура ака'!E516</f>
        <v>267 мяхк т</v>
      </c>
    </row>
    <row r="528" spans="1:6" hidden="1" x14ac:dyDescent="0.3">
      <c r="A528" s="1"/>
      <c r="B528" s="4">
        <v>448632</v>
      </c>
      <c r="C528" s="75" t="s">
        <v>1191</v>
      </c>
      <c r="D528" s="76"/>
      <c r="E528" s="5">
        <f>+'тура ака'!Q517</f>
        <v>399212</v>
      </c>
      <c r="F528" s="76" t="str">
        <f>+'тура ака'!E517</f>
        <v>938 бек достон</v>
      </c>
    </row>
    <row r="529" spans="1:6" hidden="1" x14ac:dyDescent="0.3">
      <c r="A529" s="1"/>
      <c r="B529" s="4">
        <v>200000</v>
      </c>
      <c r="C529" s="75" t="s">
        <v>371</v>
      </c>
      <c r="D529" s="76"/>
      <c r="E529" s="5">
        <f>+'тура ака'!Q518</f>
        <v>4093686</v>
      </c>
      <c r="F529" s="76" t="str">
        <f>+'тура ака'!E518</f>
        <v>фура</v>
      </c>
    </row>
    <row r="530" spans="1:6" hidden="1" x14ac:dyDescent="0.3">
      <c r="A530" s="1"/>
      <c r="B530" s="4">
        <v>500000</v>
      </c>
      <c r="C530" s="75" t="s">
        <v>113</v>
      </c>
      <c r="D530" s="76"/>
      <c r="E530" s="5">
        <f>+'тура ака'!Q519</f>
        <v>525064</v>
      </c>
      <c r="F530" s="76" t="str">
        <f>+'тура ака'!E519</f>
        <v>725 бекобод ислом</v>
      </c>
    </row>
    <row r="531" spans="1:6" hidden="1" x14ac:dyDescent="0.3">
      <c r="A531" s="1" t="s">
        <v>1193</v>
      </c>
      <c r="B531" s="4">
        <v>900000</v>
      </c>
      <c r="C531" s="75" t="s">
        <v>1202</v>
      </c>
      <c r="D531" s="76"/>
      <c r="E531" s="5">
        <f>+'тура ака'!Q520</f>
        <v>0</v>
      </c>
      <c r="F531" s="76">
        <f>+'тура ака'!E520</f>
        <v>0</v>
      </c>
    </row>
    <row r="532" spans="1:6" hidden="1" x14ac:dyDescent="0.3">
      <c r="A532" s="1"/>
      <c r="B532" s="4">
        <v>200000</v>
      </c>
      <c r="C532" s="75" t="s">
        <v>1203</v>
      </c>
      <c r="D532" s="76"/>
      <c r="E532" s="5">
        <f>+'тура ака'!Q521</f>
        <v>0</v>
      </c>
      <c r="F532" s="76" t="str">
        <f>+'тура ака'!E521</f>
        <v>960 бекобод кайтган</v>
      </c>
    </row>
    <row r="533" spans="1:6" hidden="1" x14ac:dyDescent="0.3">
      <c r="A533" s="1"/>
      <c r="B533" s="4">
        <v>641380</v>
      </c>
      <c r="C533" s="75" t="s">
        <v>113</v>
      </c>
      <c r="D533" s="76"/>
      <c r="E533" s="5">
        <v>400000</v>
      </c>
      <c r="F533" s="76" t="s">
        <v>1189</v>
      </c>
    </row>
    <row r="534" spans="1:6" hidden="1" x14ac:dyDescent="0.3">
      <c r="A534" s="1"/>
      <c r="B534" s="171">
        <v>1935480</v>
      </c>
      <c r="C534" s="181" t="s">
        <v>1205</v>
      </c>
      <c r="D534" s="76"/>
      <c r="E534" s="5">
        <v>1300000</v>
      </c>
      <c r="F534" s="76" t="s">
        <v>597</v>
      </c>
    </row>
    <row r="535" spans="1:6" hidden="1" x14ac:dyDescent="0.3">
      <c r="A535" s="1" t="s">
        <v>1206</v>
      </c>
      <c r="B535" s="4">
        <v>500000</v>
      </c>
      <c r="C535" s="75" t="s">
        <v>113</v>
      </c>
      <c r="D535" s="76" t="s">
        <v>1193</v>
      </c>
      <c r="E535" s="5">
        <v>800000</v>
      </c>
      <c r="F535" s="76" t="s">
        <v>1195</v>
      </c>
    </row>
    <row r="536" spans="1:6" hidden="1" x14ac:dyDescent="0.3">
      <c r="A536" s="1"/>
      <c r="B536" s="4">
        <v>663150</v>
      </c>
      <c r="C536" s="75" t="s">
        <v>600</v>
      </c>
      <c r="D536" s="76"/>
      <c r="E536" s="5">
        <f>+'тура ака'!Q525</f>
        <v>1162505</v>
      </c>
      <c r="F536" s="76" t="str">
        <f>+'тура ака'!E525</f>
        <v>377мяхк вобкент</v>
      </c>
    </row>
    <row r="537" spans="1:6" hidden="1" x14ac:dyDescent="0.3">
      <c r="A537" s="1" t="s">
        <v>1207</v>
      </c>
      <c r="B537" s="4">
        <v>400000</v>
      </c>
      <c r="C537" s="75" t="s">
        <v>396</v>
      </c>
      <c r="D537" s="76" t="s">
        <v>1206</v>
      </c>
      <c r="E537" s="5">
        <f>+'тура ака'!Q526</f>
        <v>629680</v>
      </c>
      <c r="F537" s="76" t="str">
        <f>+'тура ака'!E526</f>
        <v>562 мяхк ой</v>
      </c>
    </row>
    <row r="538" spans="1:6" hidden="1" x14ac:dyDescent="0.3">
      <c r="A538" s="1"/>
      <c r="B538" s="4">
        <v>12000000</v>
      </c>
      <c r="C538" s="75" t="s">
        <v>1213</v>
      </c>
      <c r="D538" s="76"/>
      <c r="E538" s="5">
        <f>+'тура ака'!Q527</f>
        <v>1519012</v>
      </c>
      <c r="F538" s="76" t="str">
        <f>+'тура ака'!E527</f>
        <v>974 бек т</v>
      </c>
    </row>
    <row r="539" spans="1:6" hidden="1" x14ac:dyDescent="0.3">
      <c r="A539" s="1"/>
      <c r="B539" s="4">
        <v>600000</v>
      </c>
      <c r="C539" s="75" t="s">
        <v>283</v>
      </c>
      <c r="D539" s="76" t="s">
        <v>1207</v>
      </c>
      <c r="E539" s="5">
        <f>+'тура ака'!Q528</f>
        <v>4133559</v>
      </c>
      <c r="F539" s="76" t="str">
        <f>+'тура ака'!E528</f>
        <v>552 фура ислом</v>
      </c>
    </row>
    <row r="540" spans="1:6" hidden="1" x14ac:dyDescent="0.3">
      <c r="A540" s="1"/>
      <c r="B540" s="4">
        <v>200000</v>
      </c>
      <c r="C540" s="75" t="s">
        <v>395</v>
      </c>
      <c r="D540" s="76"/>
      <c r="E540" s="5">
        <f>+'тура ака'!Q529</f>
        <v>947060</v>
      </c>
      <c r="F540" s="76" t="str">
        <f>+'тура ака'!E529</f>
        <v>074 воб гулистон</v>
      </c>
    </row>
    <row r="541" spans="1:6" hidden="1" x14ac:dyDescent="0.3">
      <c r="A541" s="1"/>
      <c r="B541" s="4">
        <v>4700000</v>
      </c>
      <c r="C541" s="75" t="s">
        <v>1217</v>
      </c>
      <c r="D541" s="76"/>
      <c r="E541" s="5">
        <v>500000</v>
      </c>
      <c r="F541" s="76" t="s">
        <v>130</v>
      </c>
    </row>
    <row r="542" spans="1:6" hidden="1" x14ac:dyDescent="0.3">
      <c r="A542" s="1" t="s">
        <v>1220</v>
      </c>
      <c r="B542" s="4">
        <v>24060000</v>
      </c>
      <c r="C542" s="75" t="s">
        <v>1221</v>
      </c>
      <c r="D542" s="76"/>
      <c r="E542" s="5">
        <f>+'тура ака'!Q531</f>
        <v>1326560</v>
      </c>
      <c r="F542" s="76" t="str">
        <f>+'тура ака'!E531</f>
        <v>403 бекобод т</v>
      </c>
    </row>
    <row r="543" spans="1:6" hidden="1" x14ac:dyDescent="0.3">
      <c r="A543" s="1"/>
      <c r="B543" s="4">
        <v>6000000</v>
      </c>
      <c r="C543" s="75" t="s">
        <v>1222</v>
      </c>
      <c r="D543" s="76"/>
      <c r="E543" s="5">
        <f>+'тура ака'!Q532</f>
        <v>0</v>
      </c>
      <c r="F543" s="76">
        <f>+'тура ака'!E532</f>
        <v>0</v>
      </c>
    </row>
    <row r="544" spans="1:6" hidden="1" x14ac:dyDescent="0.3">
      <c r="A544" s="1"/>
      <c r="B544" s="4">
        <v>300000</v>
      </c>
      <c r="C544" s="75" t="s">
        <v>581</v>
      </c>
      <c r="D544" s="76"/>
      <c r="E544" s="5">
        <f>+'тура ака'!Q533</f>
        <v>585864</v>
      </c>
      <c r="F544" s="76" t="str">
        <f>+'тура ака'!E533</f>
        <v>413 МЯХК Т</v>
      </c>
    </row>
    <row r="545" spans="1:6" hidden="1" x14ac:dyDescent="0.3">
      <c r="A545" s="1"/>
      <c r="B545" s="4">
        <v>300000</v>
      </c>
      <c r="C545" s="75" t="s">
        <v>192</v>
      </c>
      <c r="D545" s="76"/>
      <c r="E545" s="5">
        <f>+'тура ака'!Q534</f>
        <v>1892300</v>
      </c>
      <c r="F545" s="76" t="str">
        <f>+'тура ака'!E534</f>
        <v>074 МЯХК О</v>
      </c>
    </row>
    <row r="546" spans="1:6" hidden="1" x14ac:dyDescent="0.3">
      <c r="A546" s="1"/>
      <c r="B546" s="4">
        <v>200000</v>
      </c>
      <c r="C546" s="75" t="s">
        <v>191</v>
      </c>
      <c r="D546" s="76"/>
      <c r="E546" s="5">
        <f>+'тура ака'!Q535</f>
        <v>-693600</v>
      </c>
      <c r="F546" s="76" t="str">
        <f>+'тура ака'!E535</f>
        <v>521 МЯХКИ Н</v>
      </c>
    </row>
    <row r="547" spans="1:6" hidden="1" x14ac:dyDescent="0.3">
      <c r="A547" s="1"/>
      <c r="B547" s="4">
        <v>200000</v>
      </c>
      <c r="C547" s="75" t="s">
        <v>111</v>
      </c>
      <c r="D547" s="76"/>
      <c r="E547" s="5">
        <v>6400000</v>
      </c>
      <c r="F547" s="76" t="s">
        <v>408</v>
      </c>
    </row>
    <row r="548" spans="1:6" hidden="1" x14ac:dyDescent="0.3">
      <c r="A548" s="1"/>
      <c r="B548" s="4">
        <v>500000</v>
      </c>
      <c r="C548" s="75" t="s">
        <v>738</v>
      </c>
      <c r="D548" s="76"/>
      <c r="E548" s="5">
        <v>270930</v>
      </c>
      <c r="F548" s="76" t="s">
        <v>1218</v>
      </c>
    </row>
    <row r="549" spans="1:6" hidden="1" x14ac:dyDescent="0.3">
      <c r="A549" s="1" t="s">
        <v>1224</v>
      </c>
      <c r="B549" s="4">
        <v>1060000</v>
      </c>
      <c r="C549" s="75" t="s">
        <v>111</v>
      </c>
      <c r="D549" s="76" t="s">
        <v>1219</v>
      </c>
      <c r="E549" s="5">
        <v>1000000</v>
      </c>
      <c r="F549" s="76" t="s">
        <v>131</v>
      </c>
    </row>
    <row r="550" spans="1:6" hidden="1" x14ac:dyDescent="0.3">
      <c r="A550" s="1" t="s">
        <v>1226</v>
      </c>
      <c r="B550" s="4">
        <v>6000000</v>
      </c>
      <c r="C550" s="75" t="s">
        <v>1227</v>
      </c>
      <c r="D550" s="76"/>
      <c r="E550" s="5">
        <v>3000000</v>
      </c>
      <c r="F550" s="76" t="s">
        <v>130</v>
      </c>
    </row>
    <row r="551" spans="1:6" hidden="1" x14ac:dyDescent="0.3">
      <c r="A551" s="1"/>
      <c r="B551" s="4">
        <v>6000000</v>
      </c>
      <c r="C551" s="75" t="s">
        <v>314</v>
      </c>
      <c r="D551" s="76"/>
      <c r="E551" s="76">
        <v>534600</v>
      </c>
      <c r="F551" s="76" t="s">
        <v>1223</v>
      </c>
    </row>
    <row r="552" spans="1:6" hidden="1" x14ac:dyDescent="0.3">
      <c r="A552" s="1"/>
      <c r="B552" s="4">
        <v>1000000</v>
      </c>
      <c r="C552" s="75" t="s">
        <v>154</v>
      </c>
      <c r="D552" s="76" t="s">
        <v>1224</v>
      </c>
      <c r="E552" s="5">
        <f>+'тура ака'!Q541</f>
        <v>252695</v>
      </c>
      <c r="F552" s="76" t="str">
        <f>+'тура ака'!E541</f>
        <v>537 мяхк кнауф</v>
      </c>
    </row>
    <row r="553" spans="1:6" hidden="1" x14ac:dyDescent="0.3">
      <c r="A553" s="1"/>
      <c r="B553" s="4">
        <v>1000000</v>
      </c>
      <c r="C553" s="75" t="s">
        <v>1228</v>
      </c>
      <c r="D553" s="76"/>
      <c r="E553" s="5">
        <f>+'тура ака'!Q542</f>
        <v>814049.5</v>
      </c>
      <c r="F553" s="76" t="str">
        <f>+'тура ака'!E542</f>
        <v>562 мяхк т,</v>
      </c>
    </row>
    <row r="554" spans="1:6" hidden="1" x14ac:dyDescent="0.3">
      <c r="A554" s="1"/>
      <c r="B554" s="4">
        <v>1369230</v>
      </c>
      <c r="C554" s="75" t="s">
        <v>192</v>
      </c>
      <c r="D554" s="76"/>
      <c r="E554" s="5">
        <f>+'тура ака'!Q543</f>
        <v>449364</v>
      </c>
      <c r="F554" s="76" t="str">
        <f>+'тура ака'!E543</f>
        <v>660 бекобод</v>
      </c>
    </row>
    <row r="555" spans="1:6" hidden="1" x14ac:dyDescent="0.3">
      <c r="A555" s="1" t="s">
        <v>1229</v>
      </c>
      <c r="B555" s="4">
        <v>2600000</v>
      </c>
      <c r="C555" s="75" t="s">
        <v>111</v>
      </c>
      <c r="D555" s="76" t="s">
        <v>1232</v>
      </c>
      <c r="E555" s="5">
        <f>+'тура ака'!Q544</f>
        <v>0</v>
      </c>
      <c r="F555" s="76">
        <f>+'тура ака'!E544</f>
        <v>0</v>
      </c>
    </row>
    <row r="556" spans="1:6" hidden="1" x14ac:dyDescent="0.3">
      <c r="A556" s="1" t="s">
        <v>1232</v>
      </c>
      <c r="B556" s="4">
        <v>750750</v>
      </c>
      <c r="C556" s="75" t="s">
        <v>111</v>
      </c>
      <c r="D556" s="76"/>
      <c r="E556" s="5">
        <f>+'тура ака'!Q545</f>
        <v>863477.5</v>
      </c>
      <c r="F556" s="76" t="str">
        <f>+'тура ака'!E545</f>
        <v>267 мяхкт/т</v>
      </c>
    </row>
    <row r="557" spans="1:6" hidden="1" x14ac:dyDescent="0.3">
      <c r="A557" s="1" t="s">
        <v>1243</v>
      </c>
      <c r="B557" s="4">
        <v>447195</v>
      </c>
      <c r="C557" s="75" t="s">
        <v>600</v>
      </c>
      <c r="D557" s="76"/>
      <c r="E557" s="5">
        <f>+'тура ака'!Q546</f>
        <v>1572192</v>
      </c>
      <c r="F557" s="76" t="str">
        <f>+'тура ака'!E546</f>
        <v>838 бекобод еко</v>
      </c>
    </row>
    <row r="558" spans="1:6" hidden="1" x14ac:dyDescent="0.3">
      <c r="A558" s="1"/>
      <c r="B558" s="54">
        <v>12000000</v>
      </c>
      <c r="C558" s="75" t="s">
        <v>1255</v>
      </c>
      <c r="D558" s="76"/>
      <c r="E558" s="5">
        <f>+'тура ака'!Q547</f>
        <v>1205370</v>
      </c>
      <c r="F558" s="76" t="str">
        <f>+'тура ака'!E547</f>
        <v>919 релс</v>
      </c>
    </row>
    <row r="559" spans="1:6" hidden="1" x14ac:dyDescent="0.3">
      <c r="A559" s="1"/>
      <c r="B559" s="54">
        <f>1250*12000</f>
        <v>15000000</v>
      </c>
      <c r="C559" s="75" t="s">
        <v>1256</v>
      </c>
      <c r="D559" s="76"/>
      <c r="E559" s="5">
        <f>+'тура ака'!Q548</f>
        <v>320630</v>
      </c>
      <c r="F559" s="76" t="str">
        <f>+'тура ака'!E548</f>
        <v>725 мяхк</v>
      </c>
    </row>
    <row r="560" spans="1:6" x14ac:dyDescent="0.3">
      <c r="A560" s="1"/>
      <c r="B560" s="54"/>
      <c r="C560" s="75"/>
      <c r="D560" s="76"/>
      <c r="E560" s="5"/>
      <c r="F560" s="76"/>
    </row>
    <row r="561" spans="1:6" hidden="1" x14ac:dyDescent="0.3">
      <c r="A561" s="1"/>
      <c r="B561" s="54">
        <f>500*12000</f>
        <v>6000000</v>
      </c>
      <c r="C561" s="75" t="s">
        <v>1257</v>
      </c>
      <c r="D561" s="76"/>
      <c r="E561" s="5">
        <f>+'тура ака'!Q549</f>
        <v>288444</v>
      </c>
      <c r="F561" s="76" t="str">
        <f>+'тура ака'!E549</f>
        <v>103 мяхк олот</v>
      </c>
    </row>
    <row r="562" spans="1:6" hidden="1" x14ac:dyDescent="0.3">
      <c r="A562" s="1"/>
      <c r="B562" s="75">
        <f>1200*12000</f>
        <v>14400000</v>
      </c>
      <c r="C562" s="75" t="s">
        <v>129</v>
      </c>
      <c r="D562" s="76"/>
      <c r="E562" s="5">
        <v>370000</v>
      </c>
      <c r="F562" s="76" t="s">
        <v>131</v>
      </c>
    </row>
    <row r="563" spans="1:6" hidden="1" x14ac:dyDescent="0.3">
      <c r="A563" s="1"/>
      <c r="B563" s="4"/>
      <c r="C563" s="75"/>
      <c r="D563" s="76" t="s">
        <v>1243</v>
      </c>
      <c r="E563" s="5">
        <f>+'тура ака'!Q551</f>
        <v>155937.5</v>
      </c>
      <c r="F563" s="76" t="str">
        <f>+'тура ака'!E551</f>
        <v>210 мяхк бозор</v>
      </c>
    </row>
    <row r="564" spans="1:6" hidden="1" x14ac:dyDescent="0.3">
      <c r="A564" s="1"/>
      <c r="B564" s="4"/>
      <c r="C564" s="75"/>
      <c r="D564" s="76"/>
      <c r="E564" s="5">
        <f>+'тура ака'!Q552</f>
        <v>2766175.9759999961</v>
      </c>
      <c r="F564" s="76" t="str">
        <f>+'тура ака'!E552</f>
        <v>421 бекобод шермат</v>
      </c>
    </row>
    <row r="565" spans="1:6" hidden="1" x14ac:dyDescent="0.3">
      <c r="A565" s="1"/>
      <c r="B565" s="4"/>
      <c r="C565" s="75"/>
      <c r="D565" s="76"/>
      <c r="E565" s="5">
        <f>+'тура ака'!Q553</f>
        <v>1143450</v>
      </c>
      <c r="F565" s="76" t="str">
        <f>+'тура ака'!E553</f>
        <v>377 мяхк еко сироч</v>
      </c>
    </row>
    <row r="566" spans="1:6" hidden="1" x14ac:dyDescent="0.3">
      <c r="A566" s="1"/>
      <c r="B566" s="4"/>
      <c r="C566" s="75"/>
      <c r="D566" s="76"/>
      <c r="E566" s="5">
        <f>+'тура ака'!Q554</f>
        <v>1378812</v>
      </c>
      <c r="F566" s="76" t="str">
        <f>+'тура ака'!E554</f>
        <v>266 бекобод олот</v>
      </c>
    </row>
    <row r="567" spans="1:6" hidden="1" x14ac:dyDescent="0.3">
      <c r="A567" s="1"/>
      <c r="B567" s="4"/>
      <c r="C567" s="75"/>
      <c r="D567" s="76"/>
      <c r="E567" s="5">
        <v>38813767</v>
      </c>
      <c r="F567" s="76" t="s">
        <v>26</v>
      </c>
    </row>
    <row r="568" spans="1:6" hidden="1" x14ac:dyDescent="0.3">
      <c r="A568" s="1"/>
      <c r="B568" s="4"/>
      <c r="C568" s="75"/>
      <c r="D568" s="76"/>
      <c r="E568" s="76">
        <f>500*12000</f>
        <v>6000000</v>
      </c>
      <c r="F568" s="76" t="s">
        <v>1249</v>
      </c>
    </row>
    <row r="569" spans="1:6" hidden="1" x14ac:dyDescent="0.3">
      <c r="A569" s="1"/>
      <c r="B569" s="4"/>
      <c r="C569" s="75"/>
      <c r="D569" s="76"/>
      <c r="E569" s="5">
        <v>800000</v>
      </c>
      <c r="F569" s="76" t="s">
        <v>240</v>
      </c>
    </row>
    <row r="570" spans="1:6" hidden="1" x14ac:dyDescent="0.3">
      <c r="A570" s="1"/>
      <c r="B570" s="4"/>
      <c r="C570" s="75"/>
      <c r="D570" s="76"/>
      <c r="E570" s="5">
        <v>6000000</v>
      </c>
      <c r="F570" s="76" t="s">
        <v>1250</v>
      </c>
    </row>
    <row r="571" spans="1:6" hidden="1" x14ac:dyDescent="0.3">
      <c r="A571" s="1"/>
      <c r="B571" s="4"/>
      <c r="C571" s="75"/>
      <c r="D571" s="76"/>
      <c r="E571" s="5">
        <v>6004350</v>
      </c>
      <c r="F571" s="76" t="s">
        <v>773</v>
      </c>
    </row>
    <row r="572" spans="1:6" hidden="1" x14ac:dyDescent="0.3">
      <c r="A572" s="1"/>
      <c r="B572" s="4"/>
      <c r="C572" s="75"/>
      <c r="D572" s="76"/>
      <c r="E572" s="5">
        <v>7446900</v>
      </c>
      <c r="F572" s="76" t="s">
        <v>1254</v>
      </c>
    </row>
    <row r="573" spans="1:6" hidden="1" x14ac:dyDescent="0.3">
      <c r="A573" s="76" t="s">
        <v>1259</v>
      </c>
      <c r="B573" s="4">
        <v>1500000</v>
      </c>
      <c r="C573" s="75" t="s">
        <v>457</v>
      </c>
      <c r="D573" s="76" t="s">
        <v>1259</v>
      </c>
      <c r="E573" s="5">
        <f>+'тура ака'!Q561</f>
        <v>77860</v>
      </c>
      <c r="F573" s="76" t="str">
        <f>+'тура ака'!E561</f>
        <v>074 мях О</v>
      </c>
    </row>
    <row r="574" spans="1:6" hidden="1" x14ac:dyDescent="0.3">
      <c r="A574" s="1"/>
      <c r="B574" s="4">
        <v>500300</v>
      </c>
      <c r="C574" s="75" t="s">
        <v>273</v>
      </c>
      <c r="D574" s="76"/>
      <c r="E574" s="5">
        <f>+'тура ака'!Q562</f>
        <v>986350</v>
      </c>
      <c r="F574" s="76" t="str">
        <f>+'тура ака'!E562</f>
        <v>445 бек факмон</v>
      </c>
    </row>
    <row r="575" spans="1:6" hidden="1" x14ac:dyDescent="0.3">
      <c r="A575" s="1"/>
      <c r="B575" s="4">
        <v>852814</v>
      </c>
      <c r="C575" s="75" t="s">
        <v>139</v>
      </c>
      <c r="D575" s="76"/>
      <c r="E575" s="5">
        <f>+'тура ака'!Q563</f>
        <v>1204656</v>
      </c>
      <c r="F575" s="76" t="str">
        <f>+'тура ака'!E563</f>
        <v>503 мошин</v>
      </c>
    </row>
    <row r="576" spans="1:6" hidden="1" x14ac:dyDescent="0.3">
      <c r="A576" s="1" t="s">
        <v>1270</v>
      </c>
      <c r="B576" s="4">
        <f>3650*12000</f>
        <v>43800000</v>
      </c>
      <c r="C576" s="75" t="s">
        <v>1275</v>
      </c>
      <c r="D576" s="76"/>
      <c r="E576" s="5">
        <f>+'тура ака'!Q564</f>
        <v>590453</v>
      </c>
      <c r="F576" s="76" t="str">
        <f>+'тура ака'!E564</f>
        <v>266 мошин</v>
      </c>
    </row>
    <row r="577" spans="1:6" hidden="1" x14ac:dyDescent="0.3">
      <c r="A577" s="1"/>
      <c r="B577" s="4">
        <v>2000000</v>
      </c>
      <c r="C577" s="75" t="s">
        <v>1274</v>
      </c>
      <c r="D577" s="76"/>
      <c r="E577" s="5">
        <v>3555500</v>
      </c>
      <c r="F577" s="76" t="s">
        <v>129</v>
      </c>
    </row>
    <row r="578" spans="1:6" hidden="1" x14ac:dyDescent="0.3">
      <c r="A578" s="1"/>
      <c r="B578" s="4">
        <v>700000</v>
      </c>
      <c r="C578" s="75" t="s">
        <v>1276</v>
      </c>
      <c r="D578" s="76" t="s">
        <v>1270</v>
      </c>
      <c r="E578" s="5">
        <f>+'тура ака'!Q566</f>
        <v>644856.00000000373</v>
      </c>
      <c r="F578" s="76" t="str">
        <f>+'тура ака'!E566</f>
        <v>521 бекобод т</v>
      </c>
    </row>
    <row r="579" spans="1:6" hidden="1" x14ac:dyDescent="0.3">
      <c r="A579" s="1"/>
      <c r="B579" s="4">
        <v>200000</v>
      </c>
      <c r="C579" s="75" t="s">
        <v>193</v>
      </c>
      <c r="D579" s="76"/>
      <c r="E579" s="5">
        <f>+'тура ака'!Q567</f>
        <v>-20308</v>
      </c>
      <c r="F579" s="76" t="str">
        <f>+'тура ака'!E567</f>
        <v>576 бекобод т</v>
      </c>
    </row>
    <row r="580" spans="1:6" hidden="1" x14ac:dyDescent="0.3">
      <c r="A580" s="1"/>
      <c r="B580" s="4">
        <v>300000</v>
      </c>
      <c r="C580" s="75" t="s">
        <v>599</v>
      </c>
      <c r="D580" s="76"/>
      <c r="E580" s="5">
        <v>1000000</v>
      </c>
      <c r="F580" s="76" t="s">
        <v>623</v>
      </c>
    </row>
    <row r="581" spans="1:6" hidden="1" x14ac:dyDescent="0.3">
      <c r="A581" s="1" t="s">
        <v>1277</v>
      </c>
      <c r="B581" s="4">
        <v>1000000</v>
      </c>
      <c r="C581" s="75" t="s">
        <v>1282</v>
      </c>
      <c r="D581" s="76" t="s">
        <v>1277</v>
      </c>
      <c r="E581" s="5">
        <f>+'тура ака'!Q569</f>
        <v>1069660</v>
      </c>
      <c r="F581" s="76" t="str">
        <f>+'тура ака'!E569</f>
        <v>532 мяхк гулистон</v>
      </c>
    </row>
    <row r="582" spans="1:6" hidden="1" x14ac:dyDescent="0.3">
      <c r="A582" s="1"/>
      <c r="B582" s="4">
        <v>300000</v>
      </c>
      <c r="C582" s="75" t="s">
        <v>1283</v>
      </c>
      <c r="D582" s="76"/>
      <c r="E582" s="5">
        <f>+'тура ака'!Q570</f>
        <v>1850040</v>
      </c>
      <c r="F582" s="76" t="str">
        <f>+'тура ака'!E570</f>
        <v>530 ром мяхки</v>
      </c>
    </row>
    <row r="583" spans="1:6" hidden="1" x14ac:dyDescent="0.3">
      <c r="A583" s="1"/>
      <c r="B583" s="4">
        <v>3000000</v>
      </c>
      <c r="C583" s="75" t="s">
        <v>236</v>
      </c>
      <c r="D583" s="76"/>
      <c r="E583" s="5">
        <f>+'тура ака'!Q571</f>
        <v>680092</v>
      </c>
      <c r="F583" s="76" t="str">
        <f>+'тура ака'!E571</f>
        <v>725 бекобод ислом</v>
      </c>
    </row>
    <row r="584" spans="1:6" hidden="1" x14ac:dyDescent="0.3">
      <c r="A584" s="1"/>
      <c r="B584" s="4">
        <v>300000</v>
      </c>
      <c r="C584" s="75" t="s">
        <v>192</v>
      </c>
      <c r="D584" s="76"/>
      <c r="E584" s="5">
        <f>+'тура ака'!Q572</f>
        <v>802800</v>
      </c>
      <c r="F584" s="76" t="str">
        <f>+'тура ака'!E572</f>
        <v>972 мяхк олот</v>
      </c>
    </row>
    <row r="585" spans="1:6" hidden="1" x14ac:dyDescent="0.3">
      <c r="A585" s="1"/>
      <c r="B585" s="4">
        <v>200000</v>
      </c>
      <c r="C585" s="75" t="s">
        <v>113</v>
      </c>
      <c r="D585" s="76"/>
      <c r="E585" s="5">
        <f>+'тура ака'!Q573</f>
        <v>3269620</v>
      </c>
      <c r="F585" s="76" t="str">
        <f>+'тура ака'!E573</f>
        <v>377 мяхк</v>
      </c>
    </row>
    <row r="586" spans="1:6" hidden="1" x14ac:dyDescent="0.3">
      <c r="A586" s="1"/>
      <c r="B586" s="4">
        <v>600000</v>
      </c>
      <c r="C586" s="75" t="s">
        <v>1284</v>
      </c>
      <c r="D586" s="76"/>
      <c r="E586" s="5">
        <v>1300000</v>
      </c>
      <c r="F586" s="76" t="s">
        <v>130</v>
      </c>
    </row>
    <row r="587" spans="1:6" hidden="1" x14ac:dyDescent="0.3">
      <c r="A587" s="1" t="s">
        <v>1285</v>
      </c>
      <c r="B587" s="4">
        <f>1700*12000</f>
        <v>20400000</v>
      </c>
      <c r="C587" s="75" t="s">
        <v>1294</v>
      </c>
      <c r="D587" s="76"/>
      <c r="E587" s="5">
        <f>+'тура ака'!Q575</f>
        <v>110160</v>
      </c>
      <c r="F587" s="76" t="str">
        <f>+'тура ака'!E575</f>
        <v>668 мяхк бобир</v>
      </c>
    </row>
    <row r="588" spans="1:6" hidden="1" x14ac:dyDescent="0.3">
      <c r="A588" s="1"/>
      <c r="B588" s="4">
        <v>16670000</v>
      </c>
      <c r="C588" s="75" t="s">
        <v>1295</v>
      </c>
      <c r="D588" s="76" t="s">
        <v>1285</v>
      </c>
      <c r="E588" s="5">
        <f>+'тура ака'!Q576</f>
        <v>-36197.500000003725</v>
      </c>
      <c r="F588" s="76" t="str">
        <f>+'тура ака'!E576</f>
        <v>267 мяхк т</v>
      </c>
    </row>
    <row r="589" spans="1:6" hidden="1" x14ac:dyDescent="0.3">
      <c r="A589" s="1"/>
      <c r="B589" s="4">
        <v>4000000</v>
      </c>
      <c r="C589" s="75" t="s">
        <v>1296</v>
      </c>
      <c r="D589" s="76"/>
      <c r="E589" s="5">
        <f>+'тура ака'!Q577</f>
        <v>1113769.5</v>
      </c>
      <c r="F589" s="76" t="str">
        <f>+'тура ака'!E577</f>
        <v>037 мяхк т</v>
      </c>
    </row>
    <row r="590" spans="1:6" hidden="1" x14ac:dyDescent="0.3">
      <c r="A590" s="1"/>
      <c r="B590" s="4">
        <v>200000</v>
      </c>
      <c r="C590" s="75" t="s">
        <v>1297</v>
      </c>
      <c r="D590" s="76"/>
      <c r="E590" s="5">
        <f>+'тура ака'!Q578</f>
        <v>430520</v>
      </c>
      <c r="F590" s="76" t="str">
        <f>+'тура ака'!E578</f>
        <v>403 бекобод бобир ас</v>
      </c>
    </row>
    <row r="591" spans="1:6" hidden="1" x14ac:dyDescent="0.3">
      <c r="A591" s="1"/>
      <c r="B591" s="4">
        <v>500000</v>
      </c>
      <c r="C591" s="75" t="s">
        <v>581</v>
      </c>
      <c r="D591" s="76"/>
      <c r="E591" s="5">
        <f>+'тура ака'!Q579</f>
        <v>672543.75</v>
      </c>
      <c r="F591" s="76" t="str">
        <f>+'тура ака'!E579</f>
        <v>714 мяхк т</v>
      </c>
    </row>
    <row r="592" spans="1:6" hidden="1" x14ac:dyDescent="0.3">
      <c r="A592" s="1" t="s">
        <v>1293</v>
      </c>
      <c r="B592" s="4">
        <v>1200000</v>
      </c>
      <c r="C592" s="75" t="s">
        <v>1306</v>
      </c>
      <c r="D592" s="76"/>
      <c r="E592" s="5">
        <f>+'тура ака'!Q580</f>
        <v>2636075</v>
      </c>
      <c r="F592" s="76" t="str">
        <f>+'тура ака'!E580</f>
        <v>834 ширин</v>
      </c>
    </row>
    <row r="593" spans="1:6" hidden="1" x14ac:dyDescent="0.3">
      <c r="A593" s="1"/>
      <c r="B593" s="4">
        <v>3600000</v>
      </c>
      <c r="C593" s="75" t="s">
        <v>1303</v>
      </c>
      <c r="D593" s="76" t="s">
        <v>1293</v>
      </c>
      <c r="E593" s="5">
        <f>+'тура ака'!Q581</f>
        <v>996060</v>
      </c>
      <c r="F593" s="76" t="str">
        <f>+'тура ака'!E581</f>
        <v>408 мяхк олот</v>
      </c>
    </row>
    <row r="594" spans="1:6" hidden="1" x14ac:dyDescent="0.3">
      <c r="A594" s="1"/>
      <c r="B594" s="4">
        <v>3600000</v>
      </c>
      <c r="C594" s="75" t="s">
        <v>1305</v>
      </c>
      <c r="D594" s="76"/>
      <c r="E594" s="5">
        <f>+'тура ака'!Q582</f>
        <v>1094445</v>
      </c>
      <c r="F594" s="76" t="str">
        <f>+'тура ака'!E582</f>
        <v>973 релс</v>
      </c>
    </row>
    <row r="595" spans="1:6" hidden="1" x14ac:dyDescent="0.3">
      <c r="A595" s="1"/>
      <c r="B595" s="4">
        <v>500000</v>
      </c>
      <c r="C595" s="75" t="s">
        <v>192</v>
      </c>
      <c r="D595" s="76"/>
      <c r="E595" s="5">
        <f>+'тура ака'!Q583</f>
        <v>468242.5</v>
      </c>
      <c r="F595" s="76" t="str">
        <f>+'тура ака'!E583</f>
        <v>144 мяхк пешку сар</v>
      </c>
    </row>
    <row r="596" spans="1:6" hidden="1" x14ac:dyDescent="0.3">
      <c r="A596" s="1"/>
      <c r="B596" s="4">
        <v>300000</v>
      </c>
      <c r="C596" s="75" t="s">
        <v>209</v>
      </c>
      <c r="D596" s="76"/>
      <c r="E596" s="5">
        <f>+'тура ака'!Q584</f>
        <v>-439100</v>
      </c>
      <c r="F596" s="76" t="str">
        <f>+'тура ака'!E584</f>
        <v>388 низом мяхки</v>
      </c>
    </row>
    <row r="597" spans="1:6" hidden="1" x14ac:dyDescent="0.3">
      <c r="A597" s="1"/>
      <c r="B597" s="4">
        <v>300000</v>
      </c>
      <c r="C597" s="75" t="s">
        <v>214</v>
      </c>
      <c r="D597" s="76"/>
      <c r="E597" s="5">
        <f>+'тура ака'!Q585</f>
        <v>1342420</v>
      </c>
      <c r="F597" s="76" t="str">
        <f>+'тура ака'!E585</f>
        <v>023 бекбод т</v>
      </c>
    </row>
    <row r="598" spans="1:6" hidden="1" x14ac:dyDescent="0.3">
      <c r="A598" s="1"/>
      <c r="B598" s="4">
        <v>200000</v>
      </c>
      <c r="C598" s="75" t="s">
        <v>193</v>
      </c>
      <c r="D598" s="76"/>
      <c r="E598" s="5">
        <v>700000</v>
      </c>
      <c r="F598" s="76" t="s">
        <v>130</v>
      </c>
    </row>
    <row r="599" spans="1:6" hidden="1" x14ac:dyDescent="0.3">
      <c r="A599" s="1"/>
      <c r="B599" s="4">
        <v>4715681</v>
      </c>
      <c r="C599" s="75" t="s">
        <v>357</v>
      </c>
      <c r="D599" s="76" t="s">
        <v>1046</v>
      </c>
      <c r="E599" s="5">
        <f>+'тура ака'!Q587</f>
        <v>1253360</v>
      </c>
      <c r="F599" s="76" t="str">
        <f>+'тура ака'!E587</f>
        <v>537 мяхк о</v>
      </c>
    </row>
    <row r="600" spans="1:6" hidden="1" x14ac:dyDescent="0.3">
      <c r="A600" s="1" t="s">
        <v>1309</v>
      </c>
      <c r="B600" s="4">
        <v>9200000</v>
      </c>
      <c r="C600" s="75" t="s">
        <v>1317</v>
      </c>
      <c r="D600" s="76"/>
      <c r="E600" s="5">
        <f>+'тура ака'!Q588</f>
        <v>558350</v>
      </c>
      <c r="F600" s="76" t="str">
        <f>+'тура ака'!E588</f>
        <v>521 мяхки т</v>
      </c>
    </row>
    <row r="601" spans="1:6" hidden="1" x14ac:dyDescent="0.3">
      <c r="A601" s="1"/>
      <c r="B601" s="4">
        <v>2400000</v>
      </c>
      <c r="C601" s="75" t="s">
        <v>582</v>
      </c>
      <c r="D601" s="76"/>
      <c r="E601" s="5">
        <f>+'тура ака'!Q589</f>
        <v>438920</v>
      </c>
      <c r="F601" s="76" t="str">
        <f>+'тура ака'!E589</f>
        <v>938 бекобод о</v>
      </c>
    </row>
    <row r="602" spans="1:6" hidden="1" x14ac:dyDescent="0.3">
      <c r="A602" s="1"/>
      <c r="B602" s="171">
        <v>800000</v>
      </c>
      <c r="C602" s="181" t="s">
        <v>1318</v>
      </c>
      <c r="D602" s="76"/>
      <c r="E602" s="5">
        <f>+'тура ака'!Q590</f>
        <v>-794420.5</v>
      </c>
      <c r="F602" s="76" t="str">
        <f>+'тура ака'!E590</f>
        <v>532 мяхк еко</v>
      </c>
    </row>
    <row r="603" spans="1:6" hidden="1" x14ac:dyDescent="0.3">
      <c r="A603" s="1"/>
      <c r="B603" s="4">
        <v>530000</v>
      </c>
      <c r="C603" s="75" t="s">
        <v>1319</v>
      </c>
      <c r="D603" s="76"/>
      <c r="E603" s="5">
        <f>+'тура ака'!Q591</f>
        <v>802420</v>
      </c>
      <c r="F603" s="76" t="str">
        <f>+'тура ака'!E591</f>
        <v>620 вобкент шерал</v>
      </c>
    </row>
    <row r="604" spans="1:6" hidden="1" x14ac:dyDescent="0.3">
      <c r="A604" s="1"/>
      <c r="B604" s="4">
        <v>149602</v>
      </c>
      <c r="C604" s="75" t="s">
        <v>600</v>
      </c>
      <c r="D604" s="76"/>
      <c r="E604" s="5">
        <v>213974</v>
      </c>
      <c r="F604" s="76" t="s">
        <v>1316</v>
      </c>
    </row>
    <row r="605" spans="1:6" hidden="1" x14ac:dyDescent="0.3">
      <c r="A605" s="1" t="s">
        <v>1320</v>
      </c>
      <c r="B605" s="4">
        <v>301295</v>
      </c>
      <c r="C605" s="75" t="s">
        <v>600</v>
      </c>
      <c r="D605" s="76" t="s">
        <v>1320</v>
      </c>
      <c r="E605" s="5">
        <f>+'тура ака'!Q593</f>
        <v>1642820</v>
      </c>
      <c r="F605" s="76" t="str">
        <f>+'тура ака'!E593</f>
        <v>562 мяхк достон</v>
      </c>
    </row>
    <row r="606" spans="1:6" hidden="1" x14ac:dyDescent="0.3">
      <c r="A606" s="1"/>
      <c r="B606" s="4"/>
      <c r="C606" s="75"/>
      <c r="D606" s="76"/>
      <c r="E606" s="5">
        <f>+'тура ака'!Q594</f>
        <v>1593610</v>
      </c>
      <c r="F606" s="76" t="str">
        <f>+'тура ака'!E594</f>
        <v>580 мяхк т</v>
      </c>
    </row>
    <row r="607" spans="1:6" hidden="1" x14ac:dyDescent="0.3">
      <c r="A607" s="1" t="s">
        <v>1326</v>
      </c>
      <c r="B607" s="4">
        <f>2500*12050</f>
        <v>30125000</v>
      </c>
      <c r="C607" s="75" t="s">
        <v>705</v>
      </c>
      <c r="D607" s="76"/>
      <c r="E607" s="5">
        <f>+'тура ака'!Q595</f>
        <v>730254.39999999851</v>
      </c>
      <c r="F607" s="76" t="str">
        <f>+'тура ака'!E595</f>
        <v>ди</v>
      </c>
    </row>
    <row r="608" spans="1:6" hidden="1" x14ac:dyDescent="0.3">
      <c r="A608" s="1"/>
      <c r="B608" s="4">
        <v>2600000</v>
      </c>
      <c r="C608" s="75" t="s">
        <v>1331</v>
      </c>
      <c r="D608" s="76"/>
      <c r="E608" s="5">
        <f>+'тура ака'!Q596</f>
        <v>584960</v>
      </c>
      <c r="F608" s="76" t="str">
        <f>+'тура ака'!E596</f>
        <v>725 мяхк  олот</v>
      </c>
    </row>
    <row r="609" spans="1:6" hidden="1" x14ac:dyDescent="0.3">
      <c r="A609" s="1"/>
      <c r="B609" s="4">
        <v>2400000</v>
      </c>
      <c r="C609" s="75" t="s">
        <v>445</v>
      </c>
      <c r="D609" s="76"/>
      <c r="E609" s="5">
        <f>+'тура ака'!Q597</f>
        <v>290552</v>
      </c>
      <c r="F609" s="76" t="str">
        <f>+'тура ака'!E597</f>
        <v>222 бекобод олот</v>
      </c>
    </row>
    <row r="610" spans="1:6" hidden="1" x14ac:dyDescent="0.3">
      <c r="A610" s="1"/>
      <c r="B610" s="4">
        <f>420*12050</f>
        <v>5061000</v>
      </c>
      <c r="C610" s="75" t="s">
        <v>1332</v>
      </c>
      <c r="D610" s="76"/>
      <c r="E610" s="5">
        <v>1200000</v>
      </c>
      <c r="F610" s="76" t="s">
        <v>1203</v>
      </c>
    </row>
    <row r="611" spans="1:6" hidden="1" x14ac:dyDescent="0.3">
      <c r="A611" s="1"/>
      <c r="B611" s="4">
        <v>400000</v>
      </c>
      <c r="C611" s="75" t="s">
        <v>283</v>
      </c>
      <c r="D611" s="76" t="s">
        <v>1326</v>
      </c>
      <c r="E611" s="5">
        <v>6922000</v>
      </c>
      <c r="F611" s="76" t="s">
        <v>129</v>
      </c>
    </row>
    <row r="612" spans="1:6" hidden="1" x14ac:dyDescent="0.3">
      <c r="A612" s="1"/>
      <c r="B612" s="75">
        <v>300000</v>
      </c>
      <c r="C612" s="75" t="s">
        <v>284</v>
      </c>
      <c r="D612" s="76"/>
      <c r="E612" s="5">
        <f>+'тура ака'!Q600</f>
        <v>2194900</v>
      </c>
      <c r="F612" s="76" t="str">
        <f>+'тура ака'!E600</f>
        <v>074 навои турба</v>
      </c>
    </row>
    <row r="613" spans="1:6" hidden="1" x14ac:dyDescent="0.3">
      <c r="A613" s="1"/>
      <c r="B613" s="4">
        <v>580295</v>
      </c>
      <c r="C613" s="75" t="s">
        <v>1333</v>
      </c>
      <c r="D613" s="76"/>
      <c r="E613" s="5">
        <f>+'тура ака'!Q601</f>
        <v>1570210</v>
      </c>
      <c r="F613" s="76" t="str">
        <f>+'тура ака'!E601</f>
        <v>714 мяхк т</v>
      </c>
    </row>
    <row r="614" spans="1:6" hidden="1" x14ac:dyDescent="0.3">
      <c r="A614" s="1" t="s">
        <v>1334</v>
      </c>
      <c r="B614" s="4">
        <v>400000</v>
      </c>
      <c r="C614" s="75" t="s">
        <v>192</v>
      </c>
      <c r="D614" s="76"/>
      <c r="E614" s="5">
        <f>+'тура ака'!Q602</f>
        <v>919748</v>
      </c>
      <c r="F614" s="76" t="str">
        <f>+'тура ака'!E602</f>
        <v>530 бекобод достон</v>
      </c>
    </row>
    <row r="615" spans="1:6" hidden="1" x14ac:dyDescent="0.3">
      <c r="A615" s="1"/>
      <c r="B615" s="4">
        <v>500000</v>
      </c>
      <c r="C615" s="75" t="s">
        <v>1317</v>
      </c>
      <c r="D615" s="76"/>
      <c r="E615" s="5">
        <v>1200000</v>
      </c>
      <c r="F615" s="76" t="s">
        <v>1330</v>
      </c>
    </row>
    <row r="616" spans="1:6" hidden="1" x14ac:dyDescent="0.3">
      <c r="A616" s="1"/>
      <c r="B616" s="227">
        <v>1200000</v>
      </c>
      <c r="C616" s="228" t="s">
        <v>1339</v>
      </c>
      <c r="D616" s="76" t="s">
        <v>1334</v>
      </c>
      <c r="E616" s="5">
        <f>+'тура ака'!Q604</f>
        <v>1259570</v>
      </c>
      <c r="F616" s="76" t="str">
        <f>+'тура ака'!E604</f>
        <v>267 мяхки т</v>
      </c>
    </row>
    <row r="617" spans="1:6" hidden="1" x14ac:dyDescent="0.3">
      <c r="A617" s="1"/>
      <c r="B617" s="227">
        <v>2000000</v>
      </c>
      <c r="C617" s="228" t="s">
        <v>1340</v>
      </c>
      <c r="D617" s="76"/>
      <c r="E617" s="5">
        <f>+'тура ака'!Q605</f>
        <v>926500</v>
      </c>
      <c r="F617" s="76" t="str">
        <f>+'тура ака'!E605</f>
        <v>377 бекобод пешку</v>
      </c>
    </row>
    <row r="618" spans="1:6" hidden="1" x14ac:dyDescent="0.3">
      <c r="A618" s="1" t="s">
        <v>1343</v>
      </c>
      <c r="B618" s="4">
        <v>4000000</v>
      </c>
      <c r="C618" s="75" t="s">
        <v>1347</v>
      </c>
      <c r="D618" s="76"/>
      <c r="E618" s="5">
        <f>12900*250</f>
        <v>3225000</v>
      </c>
      <c r="F618" s="76" t="s">
        <v>1338</v>
      </c>
    </row>
    <row r="619" spans="1:6" hidden="1" x14ac:dyDescent="0.3">
      <c r="A619" s="1"/>
      <c r="B619" s="4">
        <v>400000</v>
      </c>
      <c r="C619" s="75" t="s">
        <v>1348</v>
      </c>
      <c r="D619" s="76"/>
      <c r="E619" s="5">
        <v>500000</v>
      </c>
      <c r="F619" s="76" t="s">
        <v>1341</v>
      </c>
    </row>
    <row r="620" spans="1:6" hidden="1" x14ac:dyDescent="0.3">
      <c r="A620" s="1"/>
      <c r="B620" s="4">
        <v>2000000</v>
      </c>
      <c r="C620" s="75" t="s">
        <v>910</v>
      </c>
      <c r="D620" s="76" t="s">
        <v>1343</v>
      </c>
      <c r="E620" s="5">
        <f>+'тура ака'!Q608</f>
        <v>389825</v>
      </c>
      <c r="F620" s="76" t="str">
        <f>+'тура ака'!E608</f>
        <v>537 мяхки 0</v>
      </c>
    </row>
    <row r="621" spans="1:6" hidden="1" x14ac:dyDescent="0.3">
      <c r="A621" s="1"/>
      <c r="B621" s="4">
        <v>237749</v>
      </c>
      <c r="C621" s="75" t="s">
        <v>192</v>
      </c>
      <c r="D621" s="76"/>
      <c r="E621" s="5">
        <f>+'тура ака'!Q609</f>
        <v>895770</v>
      </c>
      <c r="F621" s="76" t="str">
        <f>+'тура ака'!E609</f>
        <v>919 мяхки воб</v>
      </c>
    </row>
    <row r="622" spans="1:6" hidden="1" x14ac:dyDescent="0.3">
      <c r="A622" s="1"/>
      <c r="B622" s="4">
        <v>600000</v>
      </c>
      <c r="C622" s="75" t="s">
        <v>1350</v>
      </c>
      <c r="D622" s="76"/>
      <c r="E622" s="5">
        <v>500000</v>
      </c>
      <c r="F622" s="76" t="s">
        <v>1038</v>
      </c>
    </row>
    <row r="623" spans="1:6" hidden="1" x14ac:dyDescent="0.3">
      <c r="A623" s="1"/>
      <c r="B623" s="171">
        <v>900000</v>
      </c>
      <c r="C623" s="75" t="s">
        <v>319</v>
      </c>
      <c r="D623" s="76" t="s">
        <v>1351</v>
      </c>
      <c r="E623" s="5">
        <f>+'тура ака'!Q611</f>
        <v>1639260</v>
      </c>
      <c r="F623" s="76" t="str">
        <f>+'тура ака'!E611</f>
        <v>773 навои</v>
      </c>
    </row>
    <row r="624" spans="1:6" hidden="1" x14ac:dyDescent="0.3">
      <c r="A624" s="1" t="s">
        <v>1351</v>
      </c>
      <c r="B624" s="4">
        <v>3600000</v>
      </c>
      <c r="C624" s="75" t="s">
        <v>1354</v>
      </c>
      <c r="D624" s="76"/>
      <c r="E624" s="5">
        <f>+'тура ака'!Q612</f>
        <v>482608</v>
      </c>
      <c r="F624" s="76" t="str">
        <f>+'тура ака'!E612</f>
        <v>403 бекобод т</v>
      </c>
    </row>
    <row r="625" spans="1:6" hidden="1" x14ac:dyDescent="0.3">
      <c r="A625" s="1"/>
      <c r="B625" s="4">
        <v>3600000</v>
      </c>
      <c r="C625" s="75" t="s">
        <v>1317</v>
      </c>
      <c r="D625" s="76"/>
      <c r="E625" s="5">
        <f>+'тура ака'!Q613</f>
        <v>1791325</v>
      </c>
      <c r="F625" s="76" t="str">
        <f>+'тура ака'!E613</f>
        <v>421 мяхки т</v>
      </c>
    </row>
    <row r="626" spans="1:6" hidden="1" x14ac:dyDescent="0.3">
      <c r="A626" s="1"/>
      <c r="B626" s="4">
        <v>800000</v>
      </c>
      <c r="C626" s="75" t="s">
        <v>111</v>
      </c>
      <c r="D626" s="76"/>
      <c r="E626" s="5">
        <v>160550</v>
      </c>
      <c r="F626" s="76" t="s">
        <v>1356</v>
      </c>
    </row>
    <row r="627" spans="1:6" hidden="1" x14ac:dyDescent="0.3">
      <c r="A627" s="1"/>
      <c r="B627" s="4"/>
      <c r="C627" s="75"/>
      <c r="D627" s="76"/>
      <c r="E627" s="5">
        <f>+'тура ака'!Q615</f>
        <v>0</v>
      </c>
      <c r="F627" s="76">
        <f>+'тура ака'!E615</f>
        <v>0</v>
      </c>
    </row>
    <row r="628" spans="1:6" hidden="1" x14ac:dyDescent="0.3">
      <c r="A628" s="1" t="s">
        <v>1357</v>
      </c>
      <c r="B628" s="4">
        <v>1800000</v>
      </c>
      <c r="C628" s="75" t="s">
        <v>1361</v>
      </c>
      <c r="D628" s="76" t="s">
        <v>1357</v>
      </c>
      <c r="E628" s="5">
        <f>+'тура ака'!Q616</f>
        <v>989864</v>
      </c>
      <c r="F628" s="76" t="str">
        <f>+'тура ака'!E616</f>
        <v>445 мяхки ни</v>
      </c>
    </row>
    <row r="629" spans="1:6" hidden="1" x14ac:dyDescent="0.3">
      <c r="A629" s="1"/>
      <c r="B629" s="4">
        <v>400000</v>
      </c>
      <c r="C629" s="75" t="s">
        <v>192</v>
      </c>
      <c r="D629" s="76"/>
      <c r="E629" s="5">
        <v>300000</v>
      </c>
      <c r="F629" s="76" t="s">
        <v>1359</v>
      </c>
    </row>
    <row r="630" spans="1:6" hidden="1" x14ac:dyDescent="0.3">
      <c r="A630" s="1"/>
      <c r="B630" s="4">
        <v>1200000</v>
      </c>
      <c r="C630" s="75" t="s">
        <v>154</v>
      </c>
      <c r="D630" s="76"/>
      <c r="E630" s="5">
        <f>10700*250</f>
        <v>2675000</v>
      </c>
      <c r="F630" s="76" t="s">
        <v>1360</v>
      </c>
    </row>
    <row r="631" spans="1:6" hidden="1" x14ac:dyDescent="0.3">
      <c r="A631" s="1"/>
      <c r="B631" s="4">
        <v>80427</v>
      </c>
      <c r="C631" s="75" t="s">
        <v>600</v>
      </c>
      <c r="D631" s="76" t="s">
        <v>1362</v>
      </c>
      <c r="E631" s="5">
        <f>+'тура ака'!Q619</f>
        <v>1082780.0000000037</v>
      </c>
      <c r="F631" s="76" t="str">
        <f>+'тура ака'!E619</f>
        <v>267 мяхки т</v>
      </c>
    </row>
    <row r="632" spans="1:6" hidden="1" x14ac:dyDescent="0.3">
      <c r="A632" s="1" t="s">
        <v>1362</v>
      </c>
      <c r="B632" s="4">
        <v>1000000</v>
      </c>
      <c r="C632" s="75" t="s">
        <v>1367</v>
      </c>
      <c r="D632" s="76"/>
      <c r="E632" s="5">
        <f>+'тура ака'!Q620</f>
        <v>914500</v>
      </c>
      <c r="F632" s="76" t="str">
        <f>+'тура ака'!E620</f>
        <v>562 мяхк ресс</v>
      </c>
    </row>
    <row r="633" spans="1:6" hidden="1" x14ac:dyDescent="0.3">
      <c r="A633" s="1"/>
      <c r="B633" s="4">
        <v>1100000</v>
      </c>
      <c r="C633" s="75" t="s">
        <v>1365</v>
      </c>
      <c r="D633" s="76"/>
      <c r="E633" s="5">
        <f>+'тура ака'!Q621</f>
        <v>1015500</v>
      </c>
      <c r="F633" s="76" t="str">
        <f>+'тура ака'!E621</f>
        <v>537 мяхк релс</v>
      </c>
    </row>
    <row r="634" spans="1:6" hidden="1" x14ac:dyDescent="0.3">
      <c r="A634" s="1"/>
      <c r="B634" s="4">
        <v>16050000</v>
      </c>
      <c r="C634" s="75" t="s">
        <v>1366</v>
      </c>
      <c r="D634" s="76"/>
      <c r="E634" s="5">
        <f>+'тура ака'!Q622</f>
        <v>0</v>
      </c>
      <c r="F634" s="76">
        <f>+'тура ака'!E622</f>
        <v>0</v>
      </c>
    </row>
    <row r="635" spans="1:6" hidden="1" x14ac:dyDescent="0.3">
      <c r="A635" s="1"/>
      <c r="B635" s="4">
        <v>400000</v>
      </c>
      <c r="C635" s="75" t="s">
        <v>1368</v>
      </c>
      <c r="D635" s="76"/>
      <c r="E635" s="5">
        <f>+'тура ака'!Q623</f>
        <v>0</v>
      </c>
      <c r="F635" s="76">
        <f>+'тура ака'!E623</f>
        <v>0</v>
      </c>
    </row>
    <row r="636" spans="1:6" hidden="1" x14ac:dyDescent="0.3">
      <c r="A636" s="1"/>
      <c r="B636" s="4">
        <v>600000</v>
      </c>
      <c r="C636" s="75" t="s">
        <v>1369</v>
      </c>
      <c r="D636" s="76"/>
      <c r="E636" s="5">
        <f>+'тура ака'!Q624</f>
        <v>0</v>
      </c>
      <c r="F636" s="76">
        <f>+'тура ака'!E624</f>
        <v>0</v>
      </c>
    </row>
    <row r="637" spans="1:6" hidden="1" x14ac:dyDescent="0.3">
      <c r="A637" s="1"/>
      <c r="B637" s="4">
        <v>500000</v>
      </c>
      <c r="C637" s="75" t="s">
        <v>192</v>
      </c>
      <c r="D637" s="76"/>
      <c r="E637" s="5">
        <f>+'тура ака'!Q625</f>
        <v>0</v>
      </c>
      <c r="F637" s="76">
        <f>+'тура ака'!E625</f>
        <v>0</v>
      </c>
    </row>
    <row r="638" spans="1:6" hidden="1" x14ac:dyDescent="0.3">
      <c r="A638" s="1"/>
      <c r="B638" s="4">
        <v>3300000</v>
      </c>
      <c r="C638" s="75" t="s">
        <v>1370</v>
      </c>
      <c r="D638" s="76"/>
      <c r="E638" s="5">
        <f>+'тура ака'!Q626</f>
        <v>0</v>
      </c>
      <c r="F638" s="76">
        <f>+'тура ака'!E626</f>
        <v>0</v>
      </c>
    </row>
    <row r="639" spans="1:6" hidden="1" x14ac:dyDescent="0.3">
      <c r="A639" s="1"/>
      <c r="B639" s="4">
        <v>600000</v>
      </c>
      <c r="C639" s="75" t="s">
        <v>1350</v>
      </c>
      <c r="D639" s="76"/>
      <c r="E639" s="5">
        <f>+'тура ака'!Q627</f>
        <v>0</v>
      </c>
      <c r="F639" s="76">
        <f>+'тура ака'!E627</f>
        <v>0</v>
      </c>
    </row>
    <row r="640" spans="1:6" hidden="1" x14ac:dyDescent="0.3">
      <c r="A640" s="1"/>
      <c r="B640" s="4">
        <v>385154</v>
      </c>
      <c r="C640" s="75" t="s">
        <v>600</v>
      </c>
      <c r="D640" s="76" t="s">
        <v>1372</v>
      </c>
      <c r="E640" s="5">
        <f>+'тура ака'!Q628</f>
        <v>1094560.799999997</v>
      </c>
      <c r="F640" s="76" t="str">
        <f>+'тура ака'!E628</f>
        <v>668 БЕКОБОД НУРМАТ</v>
      </c>
    </row>
    <row r="641" spans="1:6" hidden="1" x14ac:dyDescent="0.3">
      <c r="A641" s="1" t="s">
        <v>1372</v>
      </c>
      <c r="B641" s="4">
        <v>800000</v>
      </c>
      <c r="C641" s="75" t="s">
        <v>396</v>
      </c>
      <c r="D641" s="76"/>
      <c r="E641" s="5">
        <f>+'тура ака'!Q629</f>
        <v>1179992</v>
      </c>
      <c r="F641" s="76" t="str">
        <f>+'тура ака'!E629</f>
        <v>886 БЕКОБОД Т</v>
      </c>
    </row>
    <row r="642" spans="1:6" hidden="1" x14ac:dyDescent="0.3">
      <c r="A642" s="1"/>
      <c r="B642" s="4">
        <v>14400000</v>
      </c>
      <c r="C642" s="75" t="s">
        <v>1375</v>
      </c>
      <c r="D642" s="76"/>
      <c r="E642" s="5">
        <v>6000000</v>
      </c>
      <c r="F642" s="76" t="s">
        <v>1374</v>
      </c>
    </row>
    <row r="643" spans="1:6" hidden="1" x14ac:dyDescent="0.3">
      <c r="A643" s="1"/>
      <c r="B643" s="4">
        <v>675000</v>
      </c>
      <c r="C643" s="75" t="s">
        <v>283</v>
      </c>
      <c r="D643" s="76" t="s">
        <v>1376</v>
      </c>
      <c r="E643" s="5">
        <f>+'тура ака'!Q631</f>
        <v>1709884</v>
      </c>
      <c r="F643" s="76" t="str">
        <f>+'тура ака'!E631</f>
        <v>011 релс</v>
      </c>
    </row>
    <row r="644" spans="1:6" hidden="1" x14ac:dyDescent="0.3">
      <c r="A644" s="1" t="s">
        <v>1376</v>
      </c>
      <c r="B644" s="4">
        <v>200000</v>
      </c>
      <c r="C644" s="75" t="s">
        <v>1383</v>
      </c>
      <c r="D644" s="76"/>
      <c r="E644" s="5">
        <f>+'тура ака'!Q632</f>
        <v>1352920</v>
      </c>
      <c r="F644" s="76" t="str">
        <f>+'тура ака'!E632</f>
        <v>773 мяхк навои</v>
      </c>
    </row>
    <row r="645" spans="1:6" hidden="1" x14ac:dyDescent="0.3">
      <c r="A645" s="1"/>
      <c r="B645" s="4">
        <v>6800000</v>
      </c>
      <c r="C645" s="75" t="s">
        <v>113</v>
      </c>
      <c r="D645" s="76"/>
      <c r="E645" s="5">
        <v>6000000</v>
      </c>
      <c r="F645" s="76" t="s">
        <v>1136</v>
      </c>
    </row>
    <row r="646" spans="1:6" hidden="1" x14ac:dyDescent="0.3">
      <c r="A646" s="1"/>
      <c r="B646" s="4">
        <v>200000</v>
      </c>
      <c r="C646" s="75" t="s">
        <v>1383</v>
      </c>
      <c r="D646" s="76"/>
      <c r="E646" s="5">
        <v>1200000</v>
      </c>
      <c r="F646" s="76" t="s">
        <v>160</v>
      </c>
    </row>
    <row r="647" spans="1:6" hidden="1" x14ac:dyDescent="0.3">
      <c r="A647" s="1"/>
      <c r="B647" s="4">
        <v>700000</v>
      </c>
      <c r="C647" s="75" t="s">
        <v>1370</v>
      </c>
      <c r="D647" s="76"/>
      <c r="E647" s="5">
        <f>+'тура ака'!Q635</f>
        <v>0</v>
      </c>
      <c r="F647" s="76">
        <f>+'тура ака'!E635</f>
        <v>0</v>
      </c>
    </row>
    <row r="648" spans="1:6" hidden="1" x14ac:dyDescent="0.3">
      <c r="A648" s="1"/>
      <c r="B648" s="4">
        <v>307843</v>
      </c>
      <c r="C648" s="75" t="s">
        <v>600</v>
      </c>
      <c r="D648" s="76" t="s">
        <v>1384</v>
      </c>
      <c r="E648" s="5">
        <f>+'тура ака'!Q636</f>
        <v>183205</v>
      </c>
      <c r="F648" s="76" t="str">
        <f>+'тура ака'!E636</f>
        <v>714 мяхк т</v>
      </c>
    </row>
    <row r="649" spans="1:6" hidden="1" x14ac:dyDescent="0.3">
      <c r="A649" s="1" t="s">
        <v>1384</v>
      </c>
      <c r="B649" s="4">
        <v>650000</v>
      </c>
      <c r="C649" s="75" t="s">
        <v>600</v>
      </c>
      <c r="D649" s="76"/>
      <c r="E649" s="5">
        <v>600000</v>
      </c>
      <c r="F649" s="76" t="s">
        <v>1387</v>
      </c>
    </row>
    <row r="650" spans="1:6" hidden="1" x14ac:dyDescent="0.3">
      <c r="A650" s="1"/>
      <c r="B650" s="4">
        <v>2000000</v>
      </c>
      <c r="C650" s="75" t="s">
        <v>1386</v>
      </c>
      <c r="D650" s="76"/>
      <c r="E650" s="5">
        <f>+'тура ака'!Q638</f>
        <v>0</v>
      </c>
      <c r="F650" s="76">
        <f>+'тура ака'!E638</f>
        <v>0</v>
      </c>
    </row>
    <row r="651" spans="1:6" hidden="1" x14ac:dyDescent="0.3">
      <c r="A651" s="1"/>
      <c r="B651" s="171">
        <v>750000</v>
      </c>
      <c r="C651" s="75" t="s">
        <v>1388</v>
      </c>
      <c r="D651" s="76" t="s">
        <v>1389</v>
      </c>
      <c r="E651" s="5">
        <f>+'тура ака'!Q639</f>
        <v>688147.5</v>
      </c>
      <c r="F651" s="76" t="str">
        <f>+'тура ака'!E639</f>
        <v>421 навои мяхки</v>
      </c>
    </row>
    <row r="652" spans="1:6" hidden="1" x14ac:dyDescent="0.3">
      <c r="A652" s="1" t="s">
        <v>1389</v>
      </c>
      <c r="B652" s="4">
        <v>5000000</v>
      </c>
      <c r="C652" s="75" t="s">
        <v>113</v>
      </c>
      <c r="D652" s="76"/>
      <c r="E652" s="5">
        <f>+'тура ака'!Q640</f>
        <v>1282950</v>
      </c>
      <c r="F652" s="76" t="str">
        <f>+'тура ака'!E640</f>
        <v>267 мяхк т</v>
      </c>
    </row>
    <row r="653" spans="1:6" hidden="1" x14ac:dyDescent="0.3">
      <c r="A653" s="1"/>
      <c r="B653" s="4">
        <v>400000</v>
      </c>
      <c r="C653" s="75" t="s">
        <v>1395</v>
      </c>
      <c r="D653" s="76"/>
      <c r="E653" s="5">
        <f>+'тура ака'!Q641</f>
        <v>393830</v>
      </c>
      <c r="F653" s="76" t="str">
        <f>+'тура ака'!E641</f>
        <v>388 бекобод пешку</v>
      </c>
    </row>
    <row r="654" spans="1:6" hidden="1" x14ac:dyDescent="0.3">
      <c r="A654" s="1"/>
      <c r="B654" s="4">
        <f>884275+400000</f>
        <v>1284275</v>
      </c>
      <c r="C654" s="75" t="s">
        <v>581</v>
      </c>
      <c r="D654" s="76"/>
      <c r="E654" s="5">
        <f>+'тура ака'!Q642</f>
        <v>0</v>
      </c>
      <c r="F654" s="76">
        <f>+'тура ака'!E642</f>
        <v>0</v>
      </c>
    </row>
    <row r="655" spans="1:6" hidden="1" x14ac:dyDescent="0.3">
      <c r="A655" s="1" t="s">
        <v>1396</v>
      </c>
      <c r="B655" s="4">
        <v>4000000</v>
      </c>
      <c r="C655" s="75" t="s">
        <v>113</v>
      </c>
      <c r="D655" s="76" t="s">
        <v>1396</v>
      </c>
      <c r="E655" s="5">
        <f>+'тура ака'!Q643</f>
        <v>0</v>
      </c>
      <c r="F655" s="76">
        <f>+'тура ака'!E643</f>
        <v>0</v>
      </c>
    </row>
    <row r="656" spans="1:6" hidden="1" x14ac:dyDescent="0.3">
      <c r="A656" s="1"/>
      <c r="B656" s="4">
        <v>3500000</v>
      </c>
      <c r="C656" s="75" t="s">
        <v>380</v>
      </c>
      <c r="D656" s="76"/>
      <c r="E656" s="5">
        <f>+'тура ака'!Q644</f>
        <v>0</v>
      </c>
      <c r="F656" s="76">
        <f>+'тура ака'!E644</f>
        <v>0</v>
      </c>
    </row>
    <row r="657" spans="1:10" hidden="1" x14ac:dyDescent="0.3">
      <c r="A657" s="1"/>
      <c r="B657" s="4">
        <v>1000000</v>
      </c>
      <c r="C657" s="75" t="s">
        <v>1401</v>
      </c>
      <c r="D657" s="76"/>
      <c r="E657" s="5">
        <f>+'тура ака'!Q645</f>
        <v>0</v>
      </c>
      <c r="F657" s="76" t="str">
        <f>+'тура ака'!E645</f>
        <v>277 мяхк хаким хужа</v>
      </c>
    </row>
    <row r="658" spans="1:10" hidden="1" x14ac:dyDescent="0.3">
      <c r="A658" s="1" t="s">
        <v>1402</v>
      </c>
      <c r="B658" s="4">
        <f>600*12080</f>
        <v>7248000</v>
      </c>
      <c r="C658" s="75" t="s">
        <v>1404</v>
      </c>
      <c r="D658" s="76"/>
      <c r="E658" s="5">
        <f>+'тура ака'!Q646</f>
        <v>266749</v>
      </c>
      <c r="F658" s="76" t="str">
        <f>+'тура ака'!E646</f>
        <v>562 мяхк</v>
      </c>
    </row>
    <row r="659" spans="1:10" hidden="1" x14ac:dyDescent="0.3">
      <c r="A659" s="1"/>
      <c r="B659" s="4">
        <f>1500*12050</f>
        <v>18075000</v>
      </c>
      <c r="C659" s="75" t="s">
        <v>1405</v>
      </c>
      <c r="D659" s="76"/>
      <c r="E659" s="5">
        <f>+'тура ака'!Q647</f>
        <v>59300.39999999851</v>
      </c>
      <c r="F659" s="76" t="str">
        <f>+'тура ака'!E647</f>
        <v>377 бекобод еко</v>
      </c>
    </row>
    <row r="660" spans="1:10" hidden="1" x14ac:dyDescent="0.3">
      <c r="A660" s="1"/>
      <c r="B660" s="4">
        <v>1500000</v>
      </c>
      <c r="C660" s="75" t="s">
        <v>216</v>
      </c>
      <c r="D660" s="76"/>
      <c r="E660" s="5">
        <f>+'тура ака'!Q648</f>
        <v>817672</v>
      </c>
      <c r="F660" s="76" t="str">
        <f>+'тура ака'!E648</f>
        <v>886 бекобод т</v>
      </c>
    </row>
    <row r="661" spans="1:10" hidden="1" x14ac:dyDescent="0.3">
      <c r="A661" s="1"/>
      <c r="B661" s="4">
        <v>1600000</v>
      </c>
      <c r="C661" s="75" t="s">
        <v>1134</v>
      </c>
      <c r="D661" s="76"/>
      <c r="E661" s="5">
        <v>87124</v>
      </c>
      <c r="F661" s="76" t="s">
        <v>1254</v>
      </c>
    </row>
    <row r="662" spans="1:10" hidden="1" x14ac:dyDescent="0.3">
      <c r="A662" s="1"/>
      <c r="B662" s="4">
        <v>500000</v>
      </c>
      <c r="C662" s="75" t="s">
        <v>134</v>
      </c>
      <c r="D662" s="76" t="s">
        <v>1402</v>
      </c>
      <c r="E662" s="5">
        <f>+'тура ака'!Q650</f>
        <v>601860</v>
      </c>
      <c r="F662" s="76" t="str">
        <f>+'тура ака'!E650</f>
        <v>103 ислом мяхк</v>
      </c>
    </row>
    <row r="663" spans="1:10" hidden="1" x14ac:dyDescent="0.3">
      <c r="A663" s="1" t="s">
        <v>1409</v>
      </c>
      <c r="B663" s="4">
        <v>300000</v>
      </c>
      <c r="C663" s="75" t="s">
        <v>214</v>
      </c>
      <c r="D663" s="76"/>
      <c r="E663" s="5">
        <f>940*3000</f>
        <v>2820000</v>
      </c>
      <c r="F663" s="76" t="s">
        <v>1406</v>
      </c>
    </row>
    <row r="664" spans="1:10" hidden="1" x14ac:dyDescent="0.3">
      <c r="A664" s="1"/>
      <c r="B664" s="4">
        <v>6500000</v>
      </c>
      <c r="C664" s="75" t="s">
        <v>1410</v>
      </c>
      <c r="D664" s="76"/>
      <c r="E664" s="5">
        <v>0</v>
      </c>
      <c r="F664" s="76" t="s">
        <v>1407</v>
      </c>
    </row>
    <row r="665" spans="1:10" hidden="1" x14ac:dyDescent="0.3">
      <c r="A665" s="1"/>
      <c r="B665" s="4">
        <v>5620000</v>
      </c>
      <c r="C665" s="75" t="s">
        <v>1411</v>
      </c>
      <c r="D665" s="76"/>
      <c r="E665" s="5">
        <v>0</v>
      </c>
      <c r="F665" s="76" t="s">
        <v>1408</v>
      </c>
    </row>
    <row r="666" spans="1:10" hidden="1" x14ac:dyDescent="0.3">
      <c r="A666" s="1"/>
      <c r="B666" s="4">
        <v>5300000</v>
      </c>
      <c r="C666" s="75" t="s">
        <v>216</v>
      </c>
      <c r="D666" s="76" t="s">
        <v>1409</v>
      </c>
      <c r="E666" s="5">
        <f>+'тура ака'!Q654</f>
        <v>610230.5</v>
      </c>
      <c r="F666" s="76" t="str">
        <f>+'тура ака'!E654</f>
        <v>668 мяхки т</v>
      </c>
    </row>
    <row r="667" spans="1:10" hidden="1" x14ac:dyDescent="0.3">
      <c r="A667" s="1"/>
      <c r="B667" s="4">
        <v>500000</v>
      </c>
      <c r="C667" s="75" t="s">
        <v>1191</v>
      </c>
      <c r="D667" s="76"/>
      <c r="E667" s="5">
        <v>1500000</v>
      </c>
      <c r="F667" s="76" t="s">
        <v>1414</v>
      </c>
    </row>
    <row r="668" spans="1:10" hidden="1" x14ac:dyDescent="0.3">
      <c r="A668" s="1"/>
      <c r="B668" s="4">
        <v>3600000</v>
      </c>
      <c r="C668" s="75" t="s">
        <v>1412</v>
      </c>
      <c r="D668" s="76"/>
      <c r="E668" s="5">
        <v>1400000</v>
      </c>
      <c r="F668" s="76" t="s">
        <v>1415</v>
      </c>
    </row>
    <row r="669" spans="1:10" hidden="1" x14ac:dyDescent="0.3">
      <c r="A669" s="1"/>
      <c r="B669" s="4">
        <f>14880000+12000000</f>
        <v>26880000</v>
      </c>
      <c r="C669" s="75" t="s">
        <v>1294</v>
      </c>
      <c r="D669" s="76"/>
      <c r="E669" s="5">
        <v>500000</v>
      </c>
      <c r="F669" s="76" t="s">
        <v>1254</v>
      </c>
    </row>
    <row r="670" spans="1:10" hidden="1" x14ac:dyDescent="0.3">
      <c r="A670" s="1" t="s">
        <v>1417</v>
      </c>
      <c r="B670" s="75">
        <v>400000</v>
      </c>
      <c r="C670" s="75" t="s">
        <v>1420</v>
      </c>
      <c r="D670" s="76" t="s">
        <v>1417</v>
      </c>
      <c r="E670" s="5">
        <f>+'тура ака'!Q658</f>
        <v>1225070</v>
      </c>
      <c r="F670" s="76" t="str">
        <f>+'тура ака'!E658</f>
        <v>919 мяхки апа еко</v>
      </c>
    </row>
    <row r="671" spans="1:10" hidden="1" x14ac:dyDescent="0.3">
      <c r="A671" s="1"/>
      <c r="B671" s="4">
        <v>1200000</v>
      </c>
      <c r="C671" s="75" t="s">
        <v>600</v>
      </c>
      <c r="D671" s="76"/>
      <c r="E671" s="5">
        <v>5800000</v>
      </c>
      <c r="F671" s="76" t="s">
        <v>1419</v>
      </c>
    </row>
    <row r="672" spans="1:10" hidden="1" x14ac:dyDescent="0.3">
      <c r="A672" s="1"/>
      <c r="B672" s="4">
        <v>504224</v>
      </c>
      <c r="C672" s="75" t="s">
        <v>1421</v>
      </c>
      <c r="D672" s="76"/>
      <c r="E672" s="5">
        <f>+'тура ака'!Q660</f>
        <v>0</v>
      </c>
      <c r="F672" s="76">
        <f>+'тура ака'!E660</f>
        <v>0</v>
      </c>
      <c r="J672" s="9">
        <v>3600</v>
      </c>
    </row>
    <row r="673" spans="1:10" hidden="1" x14ac:dyDescent="0.3">
      <c r="A673" s="1"/>
      <c r="B673" s="4">
        <v>200000</v>
      </c>
      <c r="C673" s="75" t="s">
        <v>1422</v>
      </c>
      <c r="D673" s="76"/>
      <c r="E673" s="5">
        <f>+'тура ака'!Q661</f>
        <v>0</v>
      </c>
      <c r="F673" s="76">
        <f>+'тура ака'!E661</f>
        <v>0</v>
      </c>
      <c r="J673" s="9">
        <v>10000</v>
      </c>
    </row>
    <row r="674" spans="1:10" hidden="1" x14ac:dyDescent="0.3">
      <c r="A674" s="1"/>
      <c r="B674" s="4">
        <v>500000</v>
      </c>
      <c r="C674" s="75" t="s">
        <v>1423</v>
      </c>
      <c r="D674" s="76" t="s">
        <v>1424</v>
      </c>
      <c r="E674" s="5">
        <f>+'тура ака'!Q662</f>
        <v>790738.5</v>
      </c>
      <c r="F674" s="76" t="str">
        <f>+'тура ака'!E662</f>
        <v>267 мяхк ттттт</v>
      </c>
      <c r="J674" s="9">
        <v>14400</v>
      </c>
    </row>
    <row r="675" spans="1:10" hidden="1" x14ac:dyDescent="0.3">
      <c r="A675" s="1" t="s">
        <v>1424</v>
      </c>
      <c r="B675" s="4">
        <v>450000</v>
      </c>
      <c r="C675" s="75" t="s">
        <v>436</v>
      </c>
      <c r="D675" s="76"/>
      <c r="E675" s="5">
        <f>+'тура ака'!Q663</f>
        <v>2011620</v>
      </c>
      <c r="F675" s="76" t="str">
        <f>+'тура ака'!E663</f>
        <v>377 мяхк о</v>
      </c>
      <c r="J675" s="9">
        <v>3700</v>
      </c>
    </row>
    <row r="676" spans="1:10" hidden="1" x14ac:dyDescent="0.3">
      <c r="A676" s="1"/>
      <c r="B676" s="4">
        <v>22800000</v>
      </c>
      <c r="C676" s="75" t="s">
        <v>114</v>
      </c>
      <c r="D676" s="76"/>
      <c r="E676" s="5">
        <f>+'тура ака'!Q664</f>
        <v>1612486.3999999985</v>
      </c>
      <c r="F676" s="76" t="str">
        <f>+'тура ака'!E664</f>
        <v>445 бекобод</v>
      </c>
    </row>
    <row r="677" spans="1:10" hidden="1" x14ac:dyDescent="0.3">
      <c r="A677" s="1"/>
      <c r="B677" s="4">
        <v>9260000</v>
      </c>
      <c r="C677" s="75" t="s">
        <v>292</v>
      </c>
      <c r="D677" s="76"/>
      <c r="E677" s="5">
        <v>1000000</v>
      </c>
      <c r="F677" s="76" t="s">
        <v>130</v>
      </c>
    </row>
    <row r="678" spans="1:10" hidden="1" x14ac:dyDescent="0.3">
      <c r="A678" s="1"/>
      <c r="B678" s="4">
        <v>1000000</v>
      </c>
      <c r="C678" s="75" t="s">
        <v>1427</v>
      </c>
      <c r="D678" s="76"/>
      <c r="E678" s="5">
        <v>1800000</v>
      </c>
      <c r="F678" s="76" t="s">
        <v>1414</v>
      </c>
    </row>
    <row r="679" spans="1:10" hidden="1" x14ac:dyDescent="0.3">
      <c r="A679" s="1"/>
      <c r="B679" s="4">
        <v>1200000</v>
      </c>
      <c r="C679" s="75" t="s">
        <v>1428</v>
      </c>
      <c r="D679" s="76"/>
      <c r="E679" s="5">
        <f>+'тура ака'!Q667</f>
        <v>0</v>
      </c>
      <c r="F679" s="76">
        <f>+'тура ака'!E667</f>
        <v>0</v>
      </c>
    </row>
    <row r="680" spans="1:10" hidden="1" x14ac:dyDescent="0.3">
      <c r="A680" s="1"/>
      <c r="B680" s="4">
        <v>867655</v>
      </c>
      <c r="C680" s="75" t="s">
        <v>581</v>
      </c>
      <c r="D680" s="76"/>
      <c r="E680" s="5">
        <f>+'тура ака'!Q668</f>
        <v>0</v>
      </c>
      <c r="F680" s="76">
        <f>+'тура ака'!E668</f>
        <v>0</v>
      </c>
    </row>
    <row r="681" spans="1:10" hidden="1" x14ac:dyDescent="0.3">
      <c r="A681" s="1"/>
      <c r="B681" s="4">
        <v>200000</v>
      </c>
      <c r="C681" s="75" t="s">
        <v>1429</v>
      </c>
      <c r="D681" s="76"/>
      <c r="E681" s="5">
        <f>+'тура ака'!Q669</f>
        <v>0</v>
      </c>
      <c r="F681" s="76">
        <f>+'тура ака'!E669</f>
        <v>0</v>
      </c>
    </row>
    <row r="682" spans="1:10" hidden="1" x14ac:dyDescent="0.3">
      <c r="A682" s="1"/>
      <c r="B682" s="4">
        <v>3600000</v>
      </c>
      <c r="C682" s="75" t="s">
        <v>1430</v>
      </c>
      <c r="D682" s="76" t="s">
        <v>1433</v>
      </c>
      <c r="E682" s="5">
        <f>+'тура ака'!Q670</f>
        <v>1318750</v>
      </c>
      <c r="F682" s="76" t="str">
        <f>+'тура ака'!E670</f>
        <v>886 бекобод т,</v>
      </c>
    </row>
    <row r="683" spans="1:10" hidden="1" x14ac:dyDescent="0.3">
      <c r="A683" s="1"/>
      <c r="B683" s="4">
        <v>1670000</v>
      </c>
      <c r="C683" s="75" t="s">
        <v>1431</v>
      </c>
      <c r="D683" s="76"/>
      <c r="E683" s="5">
        <v>1800000</v>
      </c>
      <c r="F683" s="76" t="s">
        <v>130</v>
      </c>
    </row>
    <row r="684" spans="1:10" hidden="1" x14ac:dyDescent="0.3">
      <c r="A684" s="1" t="s">
        <v>1433</v>
      </c>
      <c r="B684" s="171">
        <v>5000000</v>
      </c>
      <c r="C684" s="75" t="s">
        <v>1274</v>
      </c>
      <c r="D684" s="76"/>
      <c r="E684" s="5">
        <v>234790</v>
      </c>
      <c r="F684" s="76" t="s">
        <v>1436</v>
      </c>
    </row>
    <row r="685" spans="1:10" hidden="1" x14ac:dyDescent="0.3">
      <c r="A685" s="1"/>
      <c r="B685" s="4">
        <v>6200000</v>
      </c>
      <c r="C685" s="75" t="s">
        <v>113</v>
      </c>
      <c r="D685" s="76"/>
      <c r="E685" s="5">
        <f>+'тура ака'!Q673</f>
        <v>0</v>
      </c>
      <c r="F685" s="76">
        <f>+'тура ака'!E673</f>
        <v>0</v>
      </c>
    </row>
    <row r="686" spans="1:10" hidden="1" x14ac:dyDescent="0.3">
      <c r="A686" s="1"/>
      <c r="B686" s="4">
        <v>1000000</v>
      </c>
      <c r="C686" s="75" t="s">
        <v>1435</v>
      </c>
      <c r="D686" s="76"/>
      <c r="E686" s="5">
        <f>+'тура ака'!Q674</f>
        <v>0</v>
      </c>
      <c r="F686" s="76">
        <f>+'тура ака'!E674</f>
        <v>0</v>
      </c>
    </row>
    <row r="687" spans="1:10" hidden="1" x14ac:dyDescent="0.3">
      <c r="A687" s="1"/>
      <c r="B687" s="4">
        <v>500000</v>
      </c>
      <c r="C687" s="75" t="s">
        <v>192</v>
      </c>
      <c r="D687" s="76"/>
      <c r="E687" s="5">
        <f>+'тура ака'!Q675</f>
        <v>0</v>
      </c>
      <c r="F687" s="76">
        <f>+'тура ака'!E675</f>
        <v>0</v>
      </c>
    </row>
    <row r="688" spans="1:10" hidden="1" x14ac:dyDescent="0.3">
      <c r="A688" s="1"/>
      <c r="B688" s="4">
        <v>300000</v>
      </c>
      <c r="C688" s="75" t="s">
        <v>1071</v>
      </c>
      <c r="D688" s="76"/>
      <c r="E688" s="5">
        <f>+'тура ака'!Q676</f>
        <v>0</v>
      </c>
      <c r="F688" s="76">
        <f>+'тура ака'!E676</f>
        <v>0</v>
      </c>
    </row>
    <row r="689" spans="1:6" hidden="1" x14ac:dyDescent="0.3">
      <c r="A689" s="1"/>
      <c r="B689" s="4">
        <v>500000</v>
      </c>
      <c r="C689" s="75" t="s">
        <v>160</v>
      </c>
      <c r="D689" s="76" t="s">
        <v>1437</v>
      </c>
      <c r="E689" s="5">
        <f>+'тура ака'!Q677</f>
        <v>1676350</v>
      </c>
      <c r="F689" s="76" t="str">
        <f>+'тура ака'!E677</f>
        <v>413 мяхки</v>
      </c>
    </row>
    <row r="690" spans="1:6" hidden="1" x14ac:dyDescent="0.3">
      <c r="A690" s="1" t="s">
        <v>1437</v>
      </c>
      <c r="B690" s="4">
        <v>1200000</v>
      </c>
      <c r="C690" s="181" t="s">
        <v>1439</v>
      </c>
      <c r="D690" s="76"/>
      <c r="E690" s="5">
        <v>500000</v>
      </c>
      <c r="F690" s="76" t="s">
        <v>1442</v>
      </c>
    </row>
    <row r="691" spans="1:6" hidden="1" x14ac:dyDescent="0.3">
      <c r="A691" s="1"/>
      <c r="B691" s="4">
        <v>850000</v>
      </c>
      <c r="C691" s="75" t="s">
        <v>1440</v>
      </c>
      <c r="D691" s="76"/>
      <c r="E691" s="5">
        <f>+'тура ака'!Q679</f>
        <v>0</v>
      </c>
      <c r="F691" s="76">
        <f>+'тура ака'!E679</f>
        <v>0</v>
      </c>
    </row>
    <row r="692" spans="1:6" hidden="1" x14ac:dyDescent="0.3">
      <c r="A692" s="1"/>
      <c r="B692" s="4">
        <v>1500000</v>
      </c>
      <c r="C692" s="75" t="s">
        <v>379</v>
      </c>
      <c r="D692" s="76"/>
      <c r="E692" s="5">
        <f>+'тура ака'!Q680</f>
        <v>0</v>
      </c>
      <c r="F692" s="76">
        <f>+'тура ака'!E680</f>
        <v>0</v>
      </c>
    </row>
    <row r="693" spans="1:6" hidden="1" x14ac:dyDescent="0.3">
      <c r="A693" s="1"/>
      <c r="B693" s="4">
        <v>600000</v>
      </c>
      <c r="C693" s="75" t="s">
        <v>214</v>
      </c>
      <c r="D693" s="76" t="s">
        <v>1451</v>
      </c>
      <c r="E693" s="5">
        <f>+'тура ака'!Q681</f>
        <v>0</v>
      </c>
      <c r="F693" s="76" t="str">
        <f>+'тура ака'!E681</f>
        <v>бекобод чугун</v>
      </c>
    </row>
    <row r="694" spans="1:6" hidden="1" x14ac:dyDescent="0.3">
      <c r="A694" s="1"/>
      <c r="B694" s="4">
        <v>1200000</v>
      </c>
      <c r="C694" s="75" t="s">
        <v>903</v>
      </c>
      <c r="D694" s="76"/>
      <c r="E694" s="5">
        <f>+'тура ака'!Q682</f>
        <v>1056354.75</v>
      </c>
      <c r="F694" s="76" t="str">
        <f>+'тура ака'!E682</f>
        <v>377 мяхки пешу еко</v>
      </c>
    </row>
    <row r="695" spans="1:6" hidden="1" x14ac:dyDescent="0.3">
      <c r="A695" s="1"/>
      <c r="B695" s="4">
        <v>637965</v>
      </c>
      <c r="C695" s="75" t="s">
        <v>134</v>
      </c>
      <c r="D695" s="76"/>
      <c r="E695" s="5">
        <v>4000000</v>
      </c>
      <c r="F695" s="76" t="s">
        <v>129</v>
      </c>
    </row>
    <row r="696" spans="1:6" hidden="1" x14ac:dyDescent="0.3">
      <c r="A696" s="1"/>
      <c r="B696" s="4">
        <v>4000000</v>
      </c>
      <c r="C696" s="75" t="s">
        <v>1441</v>
      </c>
      <c r="D696" s="76"/>
      <c r="E696" s="174">
        <v>2180000</v>
      </c>
      <c r="F696" s="76" t="s">
        <v>167</v>
      </c>
    </row>
    <row r="697" spans="1:6" hidden="1" x14ac:dyDescent="0.3">
      <c r="A697" s="1" t="s">
        <v>1451</v>
      </c>
      <c r="B697" s="4">
        <v>1200000</v>
      </c>
      <c r="C697" s="75" t="s">
        <v>1057</v>
      </c>
      <c r="D697" s="76"/>
      <c r="E697" s="5">
        <v>47286</v>
      </c>
      <c r="F697" s="76" t="s">
        <v>1356</v>
      </c>
    </row>
    <row r="698" spans="1:6" hidden="1" x14ac:dyDescent="0.3">
      <c r="A698" s="1"/>
      <c r="B698" s="4">
        <v>6400000</v>
      </c>
      <c r="C698" s="75" t="s">
        <v>567</v>
      </c>
      <c r="D698" s="76"/>
      <c r="E698" s="5">
        <f>+'тура ака'!Q686</f>
        <v>0</v>
      </c>
      <c r="F698" s="76">
        <f>+'тура ака'!E686</f>
        <v>0</v>
      </c>
    </row>
    <row r="699" spans="1:6" hidden="1" x14ac:dyDescent="0.3">
      <c r="A699" s="1"/>
      <c r="B699" s="4">
        <v>2600000</v>
      </c>
      <c r="C699" s="75" t="s">
        <v>1005</v>
      </c>
      <c r="D699" s="76"/>
      <c r="E699" s="5">
        <f>+'тура ака'!Q687</f>
        <v>0</v>
      </c>
      <c r="F699" s="76">
        <f>+'тура ака'!E687</f>
        <v>0</v>
      </c>
    </row>
    <row r="700" spans="1:6" hidden="1" x14ac:dyDescent="0.3">
      <c r="A700" s="1"/>
      <c r="B700" s="4">
        <v>400000</v>
      </c>
      <c r="C700" s="75" t="s">
        <v>192</v>
      </c>
      <c r="D700" s="76"/>
      <c r="E700" s="5">
        <f>+'тура ака'!Q688</f>
        <v>0</v>
      </c>
      <c r="F700" s="76">
        <f>+'тура ака'!E688</f>
        <v>0</v>
      </c>
    </row>
    <row r="701" spans="1:6" hidden="1" x14ac:dyDescent="0.3">
      <c r="A701" s="1"/>
      <c r="B701" s="4">
        <v>800000</v>
      </c>
      <c r="C701" s="75" t="s">
        <v>1456</v>
      </c>
      <c r="D701" s="76"/>
      <c r="E701" s="5">
        <f>+'тура ака'!Q689</f>
        <v>0</v>
      </c>
      <c r="F701" s="76">
        <f>+'тура ака'!E689</f>
        <v>0</v>
      </c>
    </row>
    <row r="702" spans="1:6" hidden="1" x14ac:dyDescent="0.3">
      <c r="A702" s="1" t="s">
        <v>1457</v>
      </c>
      <c r="B702" s="4">
        <v>2500000</v>
      </c>
      <c r="C702" s="75" t="s">
        <v>1458</v>
      </c>
      <c r="D702" s="76"/>
      <c r="E702" s="5">
        <f>+'тура ака'!Q690</f>
        <v>179375</v>
      </c>
      <c r="F702" s="76" t="str">
        <f>+'тура ака'!E690</f>
        <v>267 мяхки т</v>
      </c>
    </row>
    <row r="703" spans="1:6" hidden="1" x14ac:dyDescent="0.3">
      <c r="A703" s="1"/>
      <c r="B703" s="4">
        <v>1043435</v>
      </c>
      <c r="C703" s="75" t="s">
        <v>111</v>
      </c>
      <c r="D703" s="76"/>
      <c r="E703" s="5">
        <v>1600000</v>
      </c>
      <c r="F703" s="76" t="s">
        <v>130</v>
      </c>
    </row>
    <row r="704" spans="1:6" hidden="1" x14ac:dyDescent="0.3">
      <c r="A704" s="1" t="s">
        <v>1459</v>
      </c>
      <c r="B704" s="4">
        <v>5000000</v>
      </c>
      <c r="C704" s="75" t="s">
        <v>1462</v>
      </c>
      <c r="D704" s="76" t="s">
        <v>1459</v>
      </c>
      <c r="E704" s="5">
        <f>+'тура ака'!Q692</f>
        <v>1876544</v>
      </c>
      <c r="F704" s="76" t="str">
        <f>+'тура ака'!E692</f>
        <v>963 бекобод воб</v>
      </c>
    </row>
    <row r="705" spans="1:6" hidden="1" x14ac:dyDescent="0.3">
      <c r="A705" s="1"/>
      <c r="B705" s="4">
        <v>3600000</v>
      </c>
      <c r="C705" s="75" t="s">
        <v>1463</v>
      </c>
      <c r="D705" s="76"/>
      <c r="E705" s="5">
        <f>+'тура ака'!Q693</f>
        <v>689355.5</v>
      </c>
      <c r="F705" s="76" t="str">
        <f>+'тура ака'!E693</f>
        <v>403 мяхки т</v>
      </c>
    </row>
    <row r="706" spans="1:6" hidden="1" x14ac:dyDescent="0.3">
      <c r="A706" s="1"/>
      <c r="B706" s="4">
        <v>400000</v>
      </c>
      <c r="C706" s="75" t="s">
        <v>1464</v>
      </c>
      <c r="D706" s="76"/>
      <c r="E706" s="5">
        <f>+'тура ака'!Q694</f>
        <v>1517552</v>
      </c>
      <c r="F706" s="76" t="str">
        <f>+'тура ака'!E694</f>
        <v>886 бекобод т</v>
      </c>
    </row>
    <row r="707" spans="1:6" hidden="1" x14ac:dyDescent="0.3">
      <c r="A707" s="1"/>
      <c r="B707" s="4">
        <v>600000</v>
      </c>
      <c r="C707" s="75" t="s">
        <v>1465</v>
      </c>
      <c r="D707" s="76"/>
      <c r="E707" s="5">
        <f>+'тура ака'!Q695</f>
        <v>-4895688</v>
      </c>
      <c r="F707" s="76" t="str">
        <f>+'тура ака'!E695</f>
        <v>чугун 830</v>
      </c>
    </row>
    <row r="708" spans="1:6" hidden="1" x14ac:dyDescent="0.3">
      <c r="A708" s="1" t="s">
        <v>1466</v>
      </c>
      <c r="B708" s="4">
        <v>24100000</v>
      </c>
      <c r="C708" s="75" t="s">
        <v>1469</v>
      </c>
      <c r="D708" s="76"/>
      <c r="E708" s="5">
        <v>0</v>
      </c>
      <c r="F708" s="76" t="s">
        <v>1436</v>
      </c>
    </row>
    <row r="709" spans="1:6" hidden="1" x14ac:dyDescent="0.3">
      <c r="A709" s="1"/>
      <c r="B709" s="4">
        <v>2400000</v>
      </c>
      <c r="C709" s="75" t="s">
        <v>457</v>
      </c>
      <c r="D709" s="76" t="s">
        <v>1466</v>
      </c>
      <c r="E709" s="5">
        <f>+'тура ака'!Q697</f>
        <v>963523.5</v>
      </c>
      <c r="F709" s="76" t="str">
        <f>+'тура ака'!E697</f>
        <v>413 мяхки т</v>
      </c>
    </row>
    <row r="710" spans="1:6" hidden="1" x14ac:dyDescent="0.3">
      <c r="A710" s="1"/>
      <c r="B710" s="4">
        <v>1200000</v>
      </c>
      <c r="C710" s="75" t="s">
        <v>111</v>
      </c>
      <c r="D710" s="76"/>
      <c r="E710" s="5">
        <f>+'тура ака'!Q698</f>
        <v>596343.99999999627</v>
      </c>
      <c r="F710" s="76" t="str">
        <f>+'тура ака'!E698</f>
        <v>562 бекобод абду</v>
      </c>
    </row>
    <row r="711" spans="1:6" hidden="1" x14ac:dyDescent="0.3">
      <c r="A711" s="1"/>
      <c r="B711" s="4">
        <v>1099400</v>
      </c>
      <c r="C711" s="75" t="s">
        <v>167</v>
      </c>
      <c r="D711" s="76"/>
      <c r="E711" s="5">
        <v>5618000</v>
      </c>
      <c r="F711" s="76" t="s">
        <v>129</v>
      </c>
    </row>
    <row r="712" spans="1:6" hidden="1" x14ac:dyDescent="0.3">
      <c r="A712" s="1" t="s">
        <v>1471</v>
      </c>
      <c r="B712" s="4">
        <v>1200000</v>
      </c>
      <c r="C712" s="75" t="s">
        <v>111</v>
      </c>
      <c r="D712" s="76"/>
      <c r="E712" s="5">
        <f>+'тура ака'!Q700</f>
        <v>0</v>
      </c>
      <c r="F712" s="76">
        <f>+'тура ака'!E700</f>
        <v>0</v>
      </c>
    </row>
    <row r="713" spans="1:6" hidden="1" x14ac:dyDescent="0.3">
      <c r="A713" s="1" t="s">
        <v>1476</v>
      </c>
      <c r="B713" s="4">
        <v>1200000</v>
      </c>
      <c r="C713" s="75" t="s">
        <v>1228</v>
      </c>
      <c r="D713" s="76"/>
      <c r="E713" s="5">
        <f>+'тура ака'!Q701</f>
        <v>868249.60000000149</v>
      </c>
      <c r="F713" s="76" t="str">
        <f>+'тура ака'!E701</f>
        <v>530 бекобод ислом</v>
      </c>
    </row>
    <row r="714" spans="1:6" hidden="1" x14ac:dyDescent="0.3">
      <c r="A714" s="1"/>
      <c r="B714" s="4">
        <v>1700000</v>
      </c>
      <c r="C714" s="75" t="s">
        <v>1458</v>
      </c>
      <c r="D714" s="76"/>
      <c r="E714" s="5">
        <f>+'тура ака'!Q702</f>
        <v>1358090</v>
      </c>
      <c r="F714" s="76" t="str">
        <f>+'тура ака'!E702</f>
        <v>537 мяхк т</v>
      </c>
    </row>
    <row r="715" spans="1:6" hidden="1" x14ac:dyDescent="0.3">
      <c r="A715" s="1"/>
      <c r="B715" s="4">
        <v>500000</v>
      </c>
      <c r="C715" s="75" t="s">
        <v>1484</v>
      </c>
      <c r="D715" s="76"/>
      <c r="E715" s="175">
        <f>2742385+1669800</f>
        <v>4412185</v>
      </c>
      <c r="F715" s="76" t="s">
        <v>947</v>
      </c>
    </row>
    <row r="716" spans="1:6" hidden="1" x14ac:dyDescent="0.3">
      <c r="A716" s="1"/>
      <c r="B716" s="4">
        <v>600000</v>
      </c>
      <c r="C716" s="75" t="s">
        <v>1485</v>
      </c>
      <c r="D716" s="76" t="s">
        <v>1476</v>
      </c>
      <c r="E716" s="5">
        <f>+'тура ака'!Q704</f>
        <v>0</v>
      </c>
      <c r="F716" s="76" t="str">
        <f>+'тура ака'!E704</f>
        <v>668 мошин Рахим</v>
      </c>
    </row>
    <row r="717" spans="1:6" hidden="1" x14ac:dyDescent="0.3">
      <c r="A717" s="1"/>
      <c r="B717" s="4">
        <f>1300*12050</f>
        <v>15665000</v>
      </c>
      <c r="C717" s="75" t="s">
        <v>129</v>
      </c>
      <c r="D717" s="76"/>
      <c r="E717" s="5">
        <f>+'тура ака'!Q705</f>
        <v>0</v>
      </c>
      <c r="F717" s="76" t="str">
        <f>+'тура ака'!E705</f>
        <v>266 мяхк Рахим</v>
      </c>
    </row>
    <row r="718" spans="1:6" hidden="1" x14ac:dyDescent="0.3">
      <c r="A718" s="1"/>
      <c r="B718" s="75">
        <v>12050000</v>
      </c>
      <c r="C718" s="75" t="s">
        <v>128</v>
      </c>
      <c r="D718" s="76"/>
      <c r="E718" s="5">
        <f>+'тура ака'!Q706</f>
        <v>-899640</v>
      </c>
      <c r="F718" s="76" t="str">
        <f>+'тура ака'!E706</f>
        <v>таваккал чугун 620</v>
      </c>
    </row>
    <row r="719" spans="1:6" hidden="1" x14ac:dyDescent="0.3">
      <c r="A719" s="1"/>
      <c r="B719" s="4">
        <v>6050000</v>
      </c>
      <c r="C719" s="75" t="s">
        <v>112</v>
      </c>
      <c r="D719" s="76"/>
      <c r="E719" s="5">
        <f>+'тура ака'!Q707</f>
        <v>-33320</v>
      </c>
      <c r="F719" s="76" t="str">
        <f>+'тура ака'!E707</f>
        <v>099 чугун</v>
      </c>
    </row>
    <row r="720" spans="1:6" hidden="1" x14ac:dyDescent="0.3">
      <c r="A720" s="1"/>
      <c r="B720" s="4">
        <f>1250*12050</f>
        <v>15062500</v>
      </c>
      <c r="C720" s="75" t="s">
        <v>1489</v>
      </c>
      <c r="D720" s="76"/>
      <c r="E720" s="218">
        <f>560*3400</f>
        <v>1904000</v>
      </c>
      <c r="F720" s="76" t="s">
        <v>1479</v>
      </c>
    </row>
    <row r="721" spans="1:6" hidden="1" x14ac:dyDescent="0.3">
      <c r="A721" s="1"/>
      <c r="B721" s="4"/>
      <c r="C721" s="75"/>
      <c r="D721" s="76"/>
      <c r="E721" s="5">
        <v>1000000</v>
      </c>
      <c r="F721" s="76" t="s">
        <v>640</v>
      </c>
    </row>
    <row r="722" spans="1:6" hidden="1" x14ac:dyDescent="0.3">
      <c r="A722" s="1"/>
      <c r="B722" s="4"/>
      <c r="C722" s="75"/>
      <c r="D722" s="76"/>
      <c r="E722" s="5">
        <v>1700000</v>
      </c>
      <c r="F722" s="76" t="s">
        <v>130</v>
      </c>
    </row>
    <row r="723" spans="1:6" hidden="1" x14ac:dyDescent="0.3">
      <c r="A723" s="1"/>
      <c r="B723" s="4"/>
      <c r="C723" s="75"/>
      <c r="D723" s="76"/>
      <c r="E723" s="5">
        <v>83880700</v>
      </c>
      <c r="F723" s="76" t="s">
        <v>1254</v>
      </c>
    </row>
    <row r="724" spans="1:6" hidden="1" x14ac:dyDescent="0.3">
      <c r="A724" s="1"/>
      <c r="B724" s="4"/>
      <c r="C724" s="75"/>
      <c r="D724" s="76"/>
      <c r="E724" s="5">
        <v>6000000</v>
      </c>
      <c r="F724" s="76" t="s">
        <v>1486</v>
      </c>
    </row>
    <row r="725" spans="1:6" hidden="1" x14ac:dyDescent="0.3">
      <c r="A725" s="1"/>
      <c r="B725" s="4"/>
      <c r="C725" s="75"/>
      <c r="D725" s="76"/>
      <c r="E725" s="5">
        <v>800000</v>
      </c>
      <c r="F725" s="76" t="s">
        <v>294</v>
      </c>
    </row>
    <row r="726" spans="1:6" hidden="1" x14ac:dyDescent="0.3">
      <c r="A726" s="1" t="s">
        <v>1494</v>
      </c>
      <c r="B726" s="4">
        <v>670000</v>
      </c>
      <c r="C726" s="75" t="s">
        <v>1485</v>
      </c>
      <c r="D726" s="76"/>
      <c r="E726" s="5">
        <v>4000000</v>
      </c>
      <c r="F726" s="76" t="s">
        <v>130</v>
      </c>
    </row>
    <row r="727" spans="1:6" hidden="1" x14ac:dyDescent="0.3">
      <c r="A727" s="1"/>
      <c r="B727" s="4">
        <v>1500000</v>
      </c>
      <c r="C727" s="75" t="s">
        <v>1496</v>
      </c>
      <c r="D727" s="76"/>
      <c r="E727" s="5">
        <v>5300000</v>
      </c>
      <c r="F727" s="76" t="s">
        <v>130</v>
      </c>
    </row>
    <row r="728" spans="1:6" hidden="1" x14ac:dyDescent="0.3">
      <c r="A728" s="1"/>
      <c r="B728" s="4">
        <f>3300*12000</f>
        <v>39600000</v>
      </c>
      <c r="C728" s="75" t="s">
        <v>1495</v>
      </c>
      <c r="D728" s="76"/>
      <c r="E728" s="5">
        <v>11743000</v>
      </c>
      <c r="F728" s="76" t="s">
        <v>1487</v>
      </c>
    </row>
    <row r="729" spans="1:6" hidden="1" x14ac:dyDescent="0.3">
      <c r="A729" s="1"/>
      <c r="B729" s="4">
        <f>2250*12000</f>
        <v>27000000</v>
      </c>
      <c r="C729" s="75" t="s">
        <v>1432</v>
      </c>
      <c r="D729" s="76" t="s">
        <v>1494</v>
      </c>
      <c r="E729" s="5">
        <f>+'тура ака'!Q717</f>
        <v>1148863.0000000037</v>
      </c>
      <c r="F729" s="76" t="str">
        <f>+'тура ака'!E717</f>
        <v>267 мяхк т</v>
      </c>
    </row>
    <row r="730" spans="1:6" hidden="1" x14ac:dyDescent="0.3">
      <c r="A730" s="1"/>
      <c r="B730" s="4">
        <v>500000</v>
      </c>
      <c r="C730" s="75" t="s">
        <v>1423</v>
      </c>
      <c r="D730" s="76"/>
      <c r="E730" s="5">
        <f>+'тура ака'!Q718</f>
        <v>835396.00000000373</v>
      </c>
      <c r="F730" s="76" t="str">
        <f>+'тура ака'!E718</f>
        <v>403 бекобод т</v>
      </c>
    </row>
    <row r="731" spans="1:6" hidden="1" x14ac:dyDescent="0.3">
      <c r="A731" s="1"/>
      <c r="B731" s="4">
        <v>12000000</v>
      </c>
      <c r="C731" s="75" t="s">
        <v>1497</v>
      </c>
      <c r="D731" s="76"/>
      <c r="E731" s="5">
        <f>+'тура ака'!Q719</f>
        <v>1530785.6000000015</v>
      </c>
      <c r="F731" s="76" t="str">
        <f>+'тура ака'!E719</f>
        <v>886 бекобод т</v>
      </c>
    </row>
    <row r="732" spans="1:6" hidden="1" x14ac:dyDescent="0.3">
      <c r="A732" s="1"/>
      <c r="B732" s="171">
        <v>3600000</v>
      </c>
      <c r="C732" s="181" t="s">
        <v>1498</v>
      </c>
      <c r="D732" s="76"/>
      <c r="E732" s="5">
        <v>500000</v>
      </c>
      <c r="F732" s="76" t="s">
        <v>130</v>
      </c>
    </row>
    <row r="733" spans="1:6" hidden="1" x14ac:dyDescent="0.3">
      <c r="A733" s="1" t="s">
        <v>1499</v>
      </c>
      <c r="B733" s="4">
        <v>1200000</v>
      </c>
      <c r="C733" s="75" t="s">
        <v>154</v>
      </c>
      <c r="D733" s="76"/>
      <c r="E733" s="174"/>
      <c r="F733" s="175" t="s">
        <v>947</v>
      </c>
    </row>
    <row r="734" spans="1:6" hidden="1" x14ac:dyDescent="0.3">
      <c r="A734" s="1"/>
      <c r="B734" s="4">
        <v>600000</v>
      </c>
      <c r="C734" s="75" t="s">
        <v>111</v>
      </c>
      <c r="D734" s="76" t="s">
        <v>1499</v>
      </c>
      <c r="E734" s="5">
        <f>+'тура ака'!Q722</f>
        <v>1297632.5</v>
      </c>
      <c r="F734" s="76" t="str">
        <f>+'тура ака'!E722</f>
        <v>413 мяхк т</v>
      </c>
    </row>
    <row r="735" spans="1:6" hidden="1" x14ac:dyDescent="0.3">
      <c r="A735" s="1" t="s">
        <v>1507</v>
      </c>
      <c r="B735" s="4">
        <v>3600000</v>
      </c>
      <c r="C735" s="75" t="s">
        <v>1305</v>
      </c>
      <c r="D735" s="76"/>
      <c r="E735" s="5">
        <f>+'тура ака'!Q723</f>
        <v>580</v>
      </c>
      <c r="F735" s="76" t="str">
        <f>+'тура ака'!E723</f>
        <v>537 мяхк нав рахим</v>
      </c>
    </row>
    <row r="736" spans="1:6" hidden="1" x14ac:dyDescent="0.3">
      <c r="A736" s="1"/>
      <c r="B736" s="75">
        <v>200000</v>
      </c>
      <c r="C736" s="75" t="s">
        <v>191</v>
      </c>
      <c r="D736" s="76"/>
      <c r="E736" s="5">
        <f>+'тура ака'!Q724</f>
        <v>0</v>
      </c>
      <c r="F736" s="76" t="str">
        <f>+'тура ака'!E724</f>
        <v>377 мяхк нав рахим</v>
      </c>
    </row>
    <row r="737" spans="1:6" hidden="1" x14ac:dyDescent="0.3">
      <c r="A737" s="1"/>
      <c r="B737" s="4">
        <v>150000</v>
      </c>
      <c r="C737" s="75" t="s">
        <v>192</v>
      </c>
      <c r="D737" s="76"/>
      <c r="E737" s="5">
        <f>+'тура ака'!Q725</f>
        <v>2824682.25</v>
      </c>
      <c r="F737" s="76" t="str">
        <f>+'тура ака'!E725</f>
        <v>938 еко ой</v>
      </c>
    </row>
    <row r="738" spans="1:6" hidden="1" x14ac:dyDescent="0.3">
      <c r="A738" s="1"/>
      <c r="B738" s="4">
        <v>8000000</v>
      </c>
      <c r="C738" s="75" t="s">
        <v>1274</v>
      </c>
      <c r="D738" s="76"/>
      <c r="E738" s="5">
        <f>+'тура ака'!Q726</f>
        <v>525901.5</v>
      </c>
      <c r="F738" s="76" t="str">
        <f>+'тура ака'!E726</f>
        <v>037 еко сироч</v>
      </c>
    </row>
    <row r="739" spans="1:6" hidden="1" x14ac:dyDescent="0.3">
      <c r="A739" s="1"/>
      <c r="B739" s="4">
        <v>500000</v>
      </c>
      <c r="C739" s="75" t="s">
        <v>1282</v>
      </c>
      <c r="D739" s="76"/>
      <c r="E739" s="5">
        <v>1200000</v>
      </c>
      <c r="F739" s="76" t="s">
        <v>130</v>
      </c>
    </row>
    <row r="740" spans="1:6" hidden="1" x14ac:dyDescent="0.3">
      <c r="A740" s="1" t="s">
        <v>1513</v>
      </c>
      <c r="B740" s="4">
        <v>300000</v>
      </c>
      <c r="C740" s="75" t="s">
        <v>192</v>
      </c>
      <c r="D740" s="76"/>
      <c r="E740" s="5">
        <f>915*2900</f>
        <v>2653500</v>
      </c>
      <c r="F740" s="76" t="s">
        <v>730</v>
      </c>
    </row>
    <row r="741" spans="1:6" hidden="1" x14ac:dyDescent="0.3">
      <c r="A741" s="1"/>
      <c r="B741" s="4"/>
      <c r="C741" s="75"/>
      <c r="D741" s="76" t="s">
        <v>1507</v>
      </c>
      <c r="E741" s="5">
        <f>+'тура ака'!Q729</f>
        <v>1012580</v>
      </c>
      <c r="F741" s="76" t="str">
        <f>+'тура ака'!E729</f>
        <v>576 мяхки т</v>
      </c>
    </row>
    <row r="742" spans="1:6" hidden="1" x14ac:dyDescent="0.3">
      <c r="A742" s="1"/>
      <c r="B742" s="4"/>
      <c r="C742" s="75"/>
      <c r="D742" s="76"/>
      <c r="E742" s="5">
        <f>+'тура ака'!Q730</f>
        <v>0.25</v>
      </c>
      <c r="F742" s="76" t="str">
        <f>+'тура ака'!E730</f>
        <v>919  мяхки рахим</v>
      </c>
    </row>
    <row r="743" spans="1:6" hidden="1" x14ac:dyDescent="0.3">
      <c r="A743" s="1" t="s">
        <v>1517</v>
      </c>
      <c r="B743" s="4">
        <v>300000</v>
      </c>
      <c r="C743" s="75" t="s">
        <v>214</v>
      </c>
      <c r="D743" s="76"/>
      <c r="E743" s="5">
        <f>+'тура ака'!Q731</f>
        <v>0</v>
      </c>
      <c r="F743" s="76">
        <f>+'тура ака'!E731</f>
        <v>0</v>
      </c>
    </row>
    <row r="744" spans="1:6" hidden="1" x14ac:dyDescent="0.3">
      <c r="A744" s="1"/>
      <c r="B744" s="4">
        <v>600000</v>
      </c>
      <c r="C744" s="75" t="s">
        <v>1203</v>
      </c>
      <c r="D744" s="76" t="s">
        <v>1513</v>
      </c>
      <c r="E744" s="5">
        <f>+'тура ака'!Q732</f>
        <v>111547</v>
      </c>
      <c r="F744" s="76" t="str">
        <f>+'тура ака'!E732</f>
        <v>187 мяхк пешку б</v>
      </c>
    </row>
    <row r="745" spans="1:6" hidden="1" x14ac:dyDescent="0.3">
      <c r="A745" s="1"/>
      <c r="B745" s="4">
        <v>400000</v>
      </c>
      <c r="C745" s="75" t="s">
        <v>192</v>
      </c>
      <c r="D745" s="76"/>
      <c r="E745" s="5">
        <f>+'тура ака'!Q733</f>
        <v>1943940</v>
      </c>
      <c r="F745" s="76" t="str">
        <f>+'тура ака'!E733</f>
        <v>562 мяхк навои бобир</v>
      </c>
    </row>
    <row r="746" spans="1:6" hidden="1" x14ac:dyDescent="0.3">
      <c r="A746" s="1"/>
      <c r="B746" s="4">
        <v>12000000</v>
      </c>
      <c r="C746" s="75" t="s">
        <v>128</v>
      </c>
      <c r="D746" s="76"/>
      <c r="E746" s="5">
        <f>+'тура ака'!Q734</f>
        <v>458000</v>
      </c>
      <c r="F746" s="76" t="str">
        <f>+'тура ака'!E734</f>
        <v>532 мяхк т</v>
      </c>
    </row>
    <row r="747" spans="1:6" hidden="1" x14ac:dyDescent="0.3">
      <c r="A747" s="1" t="s">
        <v>1521</v>
      </c>
      <c r="B747" s="4">
        <v>3600000</v>
      </c>
      <c r="C747" s="75" t="s">
        <v>1523</v>
      </c>
      <c r="D747" s="76"/>
      <c r="E747" s="5"/>
      <c r="F747" s="76"/>
    </row>
    <row r="748" spans="1:6" hidden="1" x14ac:dyDescent="0.3">
      <c r="A748" s="1"/>
      <c r="B748" s="4">
        <v>2400000</v>
      </c>
      <c r="C748" s="75" t="s">
        <v>1524</v>
      </c>
      <c r="D748" s="76" t="s">
        <v>1517</v>
      </c>
      <c r="E748" s="5">
        <f>+'тура ака'!Q736</f>
        <v>1485720</v>
      </c>
      <c r="F748" s="76" t="str">
        <f>+'тура ака'!E736</f>
        <v>405 мяхк ислом</v>
      </c>
    </row>
    <row r="749" spans="1:6" hidden="1" x14ac:dyDescent="0.3">
      <c r="A749" s="1"/>
      <c r="B749" s="4">
        <v>2000000</v>
      </c>
      <c r="C749" s="75" t="s">
        <v>600</v>
      </c>
      <c r="D749" s="76"/>
      <c r="E749" s="5">
        <f>+'тура ака'!Q737</f>
        <v>1094787.1999999993</v>
      </c>
      <c r="F749" s="76" t="str">
        <f>+'тура ака'!E737</f>
        <v>530 бекобод ой</v>
      </c>
    </row>
    <row r="750" spans="1:6" hidden="1" x14ac:dyDescent="0.3">
      <c r="A750" s="1"/>
      <c r="B750" s="4"/>
      <c r="C750" s="75"/>
      <c r="D750" s="76"/>
      <c r="E750" s="5">
        <v>5000000</v>
      </c>
      <c r="F750" s="76" t="s">
        <v>129</v>
      </c>
    </row>
    <row r="751" spans="1:6" hidden="1" x14ac:dyDescent="0.3">
      <c r="A751" s="1"/>
      <c r="B751" s="4"/>
      <c r="C751" s="75"/>
      <c r="D751" s="76"/>
      <c r="E751" s="5">
        <v>477658</v>
      </c>
      <c r="F751" s="76" t="s">
        <v>1356</v>
      </c>
    </row>
    <row r="752" spans="1:6" hidden="1" x14ac:dyDescent="0.3">
      <c r="A752" s="1"/>
      <c r="B752" s="4"/>
      <c r="C752" s="75"/>
      <c r="D752" s="76" t="s">
        <v>1521</v>
      </c>
      <c r="E752" s="5">
        <v>15000000</v>
      </c>
      <c r="F752" s="76" t="s">
        <v>129</v>
      </c>
    </row>
    <row r="753" spans="1:6" hidden="1" x14ac:dyDescent="0.3">
      <c r="A753" s="1"/>
      <c r="B753" s="4"/>
      <c r="C753" s="75"/>
      <c r="D753" s="76"/>
      <c r="E753" s="5">
        <v>800000</v>
      </c>
      <c r="F753" s="76" t="s">
        <v>463</v>
      </c>
    </row>
    <row r="754" spans="1:6" hidden="1" x14ac:dyDescent="0.3">
      <c r="A754" s="1" t="s">
        <v>1526</v>
      </c>
      <c r="B754" s="4">
        <v>8400000</v>
      </c>
      <c r="C754" s="75" t="s">
        <v>1529</v>
      </c>
      <c r="D754" s="76"/>
      <c r="E754" s="5">
        <v>300000</v>
      </c>
      <c r="F754" s="76" t="s">
        <v>1525</v>
      </c>
    </row>
    <row r="755" spans="1:6" hidden="1" x14ac:dyDescent="0.3">
      <c r="A755" s="1"/>
      <c r="B755" s="4">
        <v>400000</v>
      </c>
      <c r="C755" s="75" t="s">
        <v>1530</v>
      </c>
      <c r="D755" s="76"/>
      <c r="E755" s="5">
        <v>1200000</v>
      </c>
      <c r="F755" s="76" t="s">
        <v>1350</v>
      </c>
    </row>
    <row r="756" spans="1:6" hidden="1" x14ac:dyDescent="0.3">
      <c r="A756" s="1"/>
      <c r="B756" s="4">
        <v>200000</v>
      </c>
      <c r="C756" s="75" t="s">
        <v>191</v>
      </c>
      <c r="D756" s="76"/>
      <c r="E756" s="5">
        <f>+'тура ака'!Q744</f>
        <v>0</v>
      </c>
      <c r="F756" s="76">
        <f>+'тура ака'!E744</f>
        <v>0</v>
      </c>
    </row>
    <row r="757" spans="1:6" hidden="1" x14ac:dyDescent="0.3">
      <c r="A757" s="1"/>
      <c r="B757" s="4">
        <v>400000</v>
      </c>
      <c r="C757" s="75" t="s">
        <v>1531</v>
      </c>
      <c r="D757" s="76" t="s">
        <v>1526</v>
      </c>
      <c r="E757" s="5">
        <v>500000</v>
      </c>
      <c r="F757" s="76" t="s">
        <v>129</v>
      </c>
    </row>
    <row r="758" spans="1:6" hidden="1" x14ac:dyDescent="0.3">
      <c r="A758" s="1"/>
      <c r="B758" s="4">
        <v>253120</v>
      </c>
      <c r="C758" s="75" t="s">
        <v>113</v>
      </c>
      <c r="D758" s="76"/>
      <c r="E758" s="5">
        <f>+'тура ака'!Q746</f>
        <v>1585148</v>
      </c>
      <c r="F758" s="76" t="str">
        <f>+'тура ака'!E746</f>
        <v>445 мяхк низ</v>
      </c>
    </row>
    <row r="759" spans="1:6" hidden="1" x14ac:dyDescent="0.3">
      <c r="A759" s="1" t="s">
        <v>1532</v>
      </c>
      <c r="B759" s="4">
        <v>1000000</v>
      </c>
      <c r="C759" s="75" t="s">
        <v>1533</v>
      </c>
      <c r="D759" s="76"/>
      <c r="E759" s="5">
        <f>+'тура ака'!Q747</f>
        <v>1223319.9999999963</v>
      </c>
      <c r="F759" s="76" t="str">
        <f>+'тура ака'!E747</f>
        <v>267 мяхк т</v>
      </c>
    </row>
    <row r="760" spans="1:6" hidden="1" x14ac:dyDescent="0.3">
      <c r="A760" s="1"/>
      <c r="B760" s="4">
        <v>3060000</v>
      </c>
      <c r="C760" s="75" t="s">
        <v>1537</v>
      </c>
      <c r="D760" s="76"/>
      <c r="E760" s="5">
        <f>+'тура ака'!Q748</f>
        <v>707184</v>
      </c>
      <c r="F760" s="76" t="str">
        <f>+'тура ака'!E748</f>
        <v>537 бек ш</v>
      </c>
    </row>
    <row r="761" spans="1:6" hidden="1" x14ac:dyDescent="0.3">
      <c r="A761" s="1"/>
      <c r="B761" s="4">
        <v>4000000</v>
      </c>
      <c r="C761" s="75" t="s">
        <v>1538</v>
      </c>
      <c r="D761" s="76"/>
      <c r="E761" s="5">
        <v>800000</v>
      </c>
      <c r="F761" s="76" t="s">
        <v>130</v>
      </c>
    </row>
    <row r="762" spans="1:6" hidden="1" x14ac:dyDescent="0.3">
      <c r="A762" s="1"/>
      <c r="B762" s="4">
        <v>200000</v>
      </c>
      <c r="C762" s="75" t="s">
        <v>1539</v>
      </c>
      <c r="D762" s="76"/>
      <c r="E762" s="5">
        <f>+'тура ака'!Q750</f>
        <v>1026523.1999999955</v>
      </c>
      <c r="F762" s="76" t="str">
        <f>+'тура ака'!E750</f>
        <v>413 бекобод т</v>
      </c>
    </row>
    <row r="763" spans="1:6" hidden="1" x14ac:dyDescent="0.3">
      <c r="A763" s="1"/>
      <c r="B763" s="4">
        <v>401030</v>
      </c>
      <c r="C763" s="75" t="s">
        <v>1540</v>
      </c>
      <c r="D763" s="76" t="s">
        <v>1532</v>
      </c>
      <c r="E763" s="5">
        <f>+'тура ака'!Q751</f>
        <v>992680</v>
      </c>
      <c r="F763" s="76" t="str">
        <f>+'тура ака'!E751</f>
        <v>530 мяхки 7 микр</v>
      </c>
    </row>
    <row r="764" spans="1:6" hidden="1" x14ac:dyDescent="0.3">
      <c r="A764" s="1" t="s">
        <v>1542</v>
      </c>
      <c r="B764" s="4">
        <v>2200000</v>
      </c>
      <c r="C764" s="75" t="s">
        <v>273</v>
      </c>
      <c r="D764" s="76"/>
      <c r="E764" s="5">
        <f>+'тура ака'!Q752</f>
        <v>1755000</v>
      </c>
      <c r="F764" s="76" t="str">
        <f>+'тура ака'!E752</f>
        <v>675 навои</v>
      </c>
    </row>
    <row r="765" spans="1:6" hidden="1" x14ac:dyDescent="0.3">
      <c r="A765" s="1"/>
      <c r="B765" s="4">
        <v>700000</v>
      </c>
      <c r="C765" s="75" t="s">
        <v>216</v>
      </c>
      <c r="D765" s="76"/>
      <c r="E765" s="5">
        <f>+'тура ака'!Q753</f>
        <v>432148</v>
      </c>
      <c r="F765" s="76" t="str">
        <f>+'тура ака'!E753</f>
        <v xml:space="preserve">812 МЯХКИ Т </v>
      </c>
    </row>
    <row r="766" spans="1:6" hidden="1" x14ac:dyDescent="0.3">
      <c r="A766" s="1"/>
      <c r="B766" s="4"/>
      <c r="C766" s="75"/>
      <c r="D766" s="76"/>
      <c r="E766" s="5">
        <f>+'тура ака'!Q754</f>
        <v>1881400</v>
      </c>
      <c r="F766" s="76" t="str">
        <f>+'тура ака'!E754</f>
        <v>377 мяхки ой</v>
      </c>
    </row>
    <row r="767" spans="1:6" hidden="1" x14ac:dyDescent="0.3">
      <c r="A767" s="1"/>
      <c r="B767" s="4"/>
      <c r="C767" s="75"/>
      <c r="D767" s="76"/>
      <c r="E767" s="174">
        <v>1000000</v>
      </c>
      <c r="F767" s="175" t="s">
        <v>1356</v>
      </c>
    </row>
    <row r="768" spans="1:6" hidden="1" x14ac:dyDescent="0.3">
      <c r="A768" s="1"/>
      <c r="B768" s="4"/>
      <c r="C768" s="75"/>
      <c r="D768" s="76" t="s">
        <v>1542</v>
      </c>
      <c r="E768" s="5">
        <f>+'тура ака'!Q756</f>
        <v>4327858</v>
      </c>
      <c r="F768" s="76" t="str">
        <f>+'тура ака'!E756</f>
        <v>919 мяхк т</v>
      </c>
    </row>
    <row r="769" spans="1:6" hidden="1" x14ac:dyDescent="0.3">
      <c r="A769" s="1"/>
      <c r="B769" s="4"/>
      <c r="C769" s="75"/>
      <c r="D769" s="76"/>
      <c r="E769" s="5">
        <f>+'тура ака'!Q757</f>
        <v>578720</v>
      </c>
      <c r="F769" s="76" t="str">
        <f>+'тура ака'!E757</f>
        <v>698 бекобод ислом</v>
      </c>
    </row>
    <row r="770" spans="1:6" hidden="1" x14ac:dyDescent="0.3">
      <c r="A770" s="1" t="s">
        <v>1547</v>
      </c>
      <c r="B770" s="4">
        <v>400000</v>
      </c>
      <c r="C770" s="75" t="s">
        <v>214</v>
      </c>
      <c r="D770" s="76"/>
      <c r="E770" s="5">
        <f>+'тура ака'!Q758</f>
        <v>961066</v>
      </c>
      <c r="F770" s="76" t="str">
        <f>+'тура ака'!E758</f>
        <v>620 мяхки т</v>
      </c>
    </row>
    <row r="771" spans="1:6" hidden="1" x14ac:dyDescent="0.3">
      <c r="A771" s="1"/>
      <c r="B771" s="4">
        <v>100000</v>
      </c>
      <c r="C771" s="75" t="s">
        <v>193</v>
      </c>
      <c r="D771" s="76"/>
      <c r="E771" s="5">
        <f>+'тура ака'!Q759</f>
        <v>492120</v>
      </c>
      <c r="F771" s="76" t="str">
        <f>+'тура ака'!E759</f>
        <v>562 чугун</v>
      </c>
    </row>
    <row r="772" spans="1:6" hidden="1" x14ac:dyDescent="0.3">
      <c r="A772" s="1"/>
      <c r="B772" s="4">
        <v>400000</v>
      </c>
      <c r="C772" s="75" t="s">
        <v>192</v>
      </c>
      <c r="D772" s="76"/>
      <c r="E772" s="5">
        <v>800000</v>
      </c>
      <c r="F772" s="76" t="s">
        <v>130</v>
      </c>
    </row>
    <row r="773" spans="1:6" hidden="1" x14ac:dyDescent="0.3">
      <c r="A773" s="1"/>
      <c r="B773" s="4">
        <v>600000</v>
      </c>
      <c r="C773" s="75" t="s">
        <v>209</v>
      </c>
      <c r="D773" s="76"/>
      <c r="E773" s="5">
        <v>222095</v>
      </c>
      <c r="F773" s="76" t="s">
        <v>1356</v>
      </c>
    </row>
    <row r="774" spans="1:6" hidden="1" x14ac:dyDescent="0.3">
      <c r="A774" s="1" t="s">
        <v>1551</v>
      </c>
      <c r="B774" s="4">
        <v>3600000</v>
      </c>
      <c r="C774" s="75" t="s">
        <v>1552</v>
      </c>
      <c r="D774" s="76" t="s">
        <v>1547</v>
      </c>
      <c r="E774" s="5">
        <f>+'тура ака'!Q762</f>
        <v>630740</v>
      </c>
      <c r="F774" s="76" t="str">
        <f>+'тура ака'!E762</f>
        <v>830 арматура</v>
      </c>
    </row>
    <row r="775" spans="1:6" hidden="1" x14ac:dyDescent="0.3">
      <c r="A775" s="1"/>
      <c r="B775" s="4">
        <v>2500000</v>
      </c>
      <c r="C775" s="75" t="s">
        <v>1555</v>
      </c>
      <c r="D775" s="76"/>
      <c r="E775" s="5">
        <f>+'тура ака'!Q763</f>
        <v>802407.5</v>
      </c>
      <c r="F775" s="76" t="str">
        <f>+'тура ака'!E763</f>
        <v>576 мяхки т</v>
      </c>
    </row>
    <row r="776" spans="1:6" hidden="1" x14ac:dyDescent="0.3">
      <c r="A776" s="1"/>
      <c r="B776" s="4">
        <v>500000</v>
      </c>
      <c r="C776" s="75" t="s">
        <v>1556</v>
      </c>
      <c r="D776" s="76"/>
      <c r="E776" s="5">
        <f>+'тура ака'!Q764</f>
        <v>0</v>
      </c>
      <c r="F776" s="76">
        <f>+'тура ака'!E764</f>
        <v>0</v>
      </c>
    </row>
    <row r="777" spans="1:6" hidden="1" x14ac:dyDescent="0.3">
      <c r="A777" s="1"/>
      <c r="B777" s="4">
        <v>12295</v>
      </c>
      <c r="C777" s="75"/>
      <c r="D777" s="76"/>
      <c r="E777" s="5">
        <f>+'тура ака'!Q765</f>
        <v>0</v>
      </c>
      <c r="F777" s="76">
        <f>+'тура ака'!E765</f>
        <v>0</v>
      </c>
    </row>
    <row r="778" spans="1:6" hidden="1" x14ac:dyDescent="0.3">
      <c r="A778" s="169" t="s">
        <v>1560</v>
      </c>
      <c r="B778" s="4">
        <v>13670000</v>
      </c>
      <c r="C778" s="115" t="s">
        <v>1564</v>
      </c>
      <c r="D778" s="76"/>
      <c r="E778" s="5">
        <f>+'тура ака'!Q766</f>
        <v>1582250</v>
      </c>
      <c r="F778" s="76" t="str">
        <f>+'тура ака'!E766</f>
        <v>377 мяхки еко</v>
      </c>
    </row>
    <row r="779" spans="1:6" hidden="1" x14ac:dyDescent="0.3">
      <c r="A779" s="169"/>
      <c r="B779" s="4">
        <v>12000000</v>
      </c>
      <c r="C779" s="115" t="s">
        <v>1565</v>
      </c>
      <c r="D779" s="76"/>
      <c r="E779" s="5">
        <f>+'тура ака'!Q767</f>
        <v>1164220</v>
      </c>
      <c r="F779" s="76" t="str">
        <f>+'тура ака'!E767</f>
        <v>562 мяхки феруз</v>
      </c>
    </row>
    <row r="780" spans="1:6" hidden="1" x14ac:dyDescent="0.3">
      <c r="A780" s="169"/>
      <c r="B780" s="4">
        <v>3000000</v>
      </c>
      <c r="C780" s="115" t="s">
        <v>1565</v>
      </c>
      <c r="D780" s="76"/>
      <c r="E780" s="5">
        <f>+'тура ака'!Q768</f>
        <v>709500</v>
      </c>
      <c r="F780" s="76" t="str">
        <f>+'тура ака'!E768</f>
        <v>292 лида</v>
      </c>
    </row>
    <row r="781" spans="1:6" hidden="1" x14ac:dyDescent="0.3">
      <c r="A781" s="169"/>
      <c r="B781" s="4">
        <v>1200000</v>
      </c>
      <c r="C781" s="115" t="s">
        <v>1555</v>
      </c>
      <c r="D781" s="76"/>
      <c r="E781" s="5">
        <f>+'тура ака'!Q769</f>
        <v>968965</v>
      </c>
      <c r="F781" s="76" t="str">
        <f>+'тура ака'!E769</f>
        <v>037  мяхк т</v>
      </c>
    </row>
    <row r="782" spans="1:6" hidden="1" x14ac:dyDescent="0.3">
      <c r="A782" s="1"/>
      <c r="B782" s="4">
        <v>1200000</v>
      </c>
      <c r="C782" s="75" t="s">
        <v>1567</v>
      </c>
      <c r="D782" s="76"/>
      <c r="E782" s="5">
        <f>+'тура ака'!Q770</f>
        <v>0</v>
      </c>
      <c r="F782" s="76">
        <f>+'тура ака'!E770</f>
        <v>0</v>
      </c>
    </row>
    <row r="783" spans="1:6" hidden="1" x14ac:dyDescent="0.3">
      <c r="A783" s="1"/>
      <c r="B783" s="4">
        <v>500000</v>
      </c>
      <c r="C783" s="75" t="s">
        <v>111</v>
      </c>
      <c r="D783" s="76"/>
      <c r="E783" s="5">
        <f>+'тура ака'!Q771</f>
        <v>709041.60000000149</v>
      </c>
      <c r="F783" s="76" t="str">
        <f>+'тура ака'!E771</f>
        <v>886 бекобод</v>
      </c>
    </row>
    <row r="784" spans="1:6" hidden="1" x14ac:dyDescent="0.3">
      <c r="A784" s="1" t="s">
        <v>1571</v>
      </c>
      <c r="B784" s="4">
        <v>500000</v>
      </c>
      <c r="C784" s="75" t="s">
        <v>1423</v>
      </c>
      <c r="D784" s="76"/>
      <c r="E784" s="5">
        <f>+'тура ака'!Q772</f>
        <v>2060260</v>
      </c>
      <c r="F784" s="76" t="str">
        <f>+'тура ака'!E772</f>
        <v>445 мяхк низ</v>
      </c>
    </row>
    <row r="785" spans="1:6" hidden="1" x14ac:dyDescent="0.3">
      <c r="A785" s="1"/>
      <c r="B785" s="4"/>
      <c r="C785" s="75"/>
      <c r="D785" s="76"/>
      <c r="E785" s="5">
        <f>+'тура ака'!Q773</f>
        <v>861790.39999999851</v>
      </c>
      <c r="F785" s="76" t="str">
        <f>+'тура ака'!E773</f>
        <v>668 бекобод т</v>
      </c>
    </row>
    <row r="786" spans="1:6" hidden="1" x14ac:dyDescent="0.3">
      <c r="A786" s="1" t="s">
        <v>1576</v>
      </c>
      <c r="B786" s="4">
        <v>500000</v>
      </c>
      <c r="C786" s="75" t="s">
        <v>812</v>
      </c>
      <c r="D786" s="76"/>
      <c r="E786" s="5">
        <v>5139000</v>
      </c>
      <c r="F786" s="76" t="s">
        <v>129</v>
      </c>
    </row>
    <row r="787" spans="1:6" hidden="1" x14ac:dyDescent="0.3">
      <c r="A787" s="1"/>
      <c r="B787" s="4">
        <v>2000000</v>
      </c>
      <c r="C787" s="75" t="s">
        <v>457</v>
      </c>
      <c r="D787" s="76" t="s">
        <v>1571</v>
      </c>
      <c r="E787" s="5">
        <f>+'тура ака'!Q775</f>
        <v>1302525</v>
      </c>
      <c r="F787" s="76" t="str">
        <f>+'тура ака'!E775</f>
        <v>537 чугун навои</v>
      </c>
    </row>
    <row r="788" spans="1:6" hidden="1" x14ac:dyDescent="0.3">
      <c r="A788" s="1"/>
      <c r="B788" s="4">
        <v>500000</v>
      </c>
      <c r="C788" s="75" t="s">
        <v>209</v>
      </c>
      <c r="D788" s="76"/>
      <c r="E788" s="5">
        <f>+'тура ака'!Q776</f>
        <v>524000</v>
      </c>
      <c r="F788" s="76" t="str">
        <f>+'тура ака'!E776</f>
        <v>521 чугун наво</v>
      </c>
    </row>
    <row r="789" spans="1:6" hidden="1" x14ac:dyDescent="0.3">
      <c r="A789" s="1"/>
      <c r="B789" s="4">
        <v>600000</v>
      </c>
      <c r="C789" s="75" t="s">
        <v>1202</v>
      </c>
      <c r="D789" s="76"/>
      <c r="E789" s="5">
        <f>+'тура ака'!Q777</f>
        <v>865970.5</v>
      </c>
      <c r="F789" s="76" t="str">
        <f>+'тура ака'!E777</f>
        <v>267 мяхк т</v>
      </c>
    </row>
    <row r="790" spans="1:6" hidden="1" x14ac:dyDescent="0.3">
      <c r="A790" s="1"/>
      <c r="B790" s="4">
        <v>300000</v>
      </c>
      <c r="C790" s="75" t="s">
        <v>192</v>
      </c>
      <c r="D790" s="76" t="s">
        <v>1576</v>
      </c>
      <c r="E790" s="174">
        <f>60965+32300</f>
        <v>93265</v>
      </c>
      <c r="F790" s="175" t="s">
        <v>1356</v>
      </c>
    </row>
    <row r="791" spans="1:6" hidden="1" x14ac:dyDescent="0.3">
      <c r="A791" s="1" t="s">
        <v>1583</v>
      </c>
      <c r="B791" s="4">
        <v>700000</v>
      </c>
      <c r="C791" s="75" t="s">
        <v>111</v>
      </c>
      <c r="D791" s="76"/>
      <c r="E791" s="5">
        <f>+'тура ака'!Q779</f>
        <v>-334264</v>
      </c>
      <c r="F791" s="76" t="str">
        <f>+'тура ака'!E779</f>
        <v>562 бекобод</v>
      </c>
    </row>
    <row r="792" spans="1:6" hidden="1" x14ac:dyDescent="0.3">
      <c r="A792" s="1" t="s">
        <v>1587</v>
      </c>
      <c r="B792" s="4">
        <v>18500000</v>
      </c>
      <c r="C792" s="75" t="s">
        <v>910</v>
      </c>
      <c r="D792" s="76"/>
      <c r="E792" s="5">
        <f>+'тура ака'!Q780</f>
        <v>1485989</v>
      </c>
      <c r="F792" s="76" t="str">
        <f>+'тура ака'!E780</f>
        <v>413 мяхк т</v>
      </c>
    </row>
    <row r="793" spans="1:6" hidden="1" x14ac:dyDescent="0.3">
      <c r="A793" s="1"/>
      <c r="B793" s="4">
        <v>1484600</v>
      </c>
      <c r="C793" s="75" t="s">
        <v>1589</v>
      </c>
      <c r="D793" s="76"/>
      <c r="E793" s="5">
        <v>191410</v>
      </c>
      <c r="F793" s="76">
        <f>+'тура ака'!E781</f>
        <v>0</v>
      </c>
    </row>
    <row r="794" spans="1:6" hidden="1" x14ac:dyDescent="0.3">
      <c r="A794" s="1"/>
      <c r="B794" s="4">
        <f>118940+287380</f>
        <v>406320</v>
      </c>
      <c r="C794" s="75" t="s">
        <v>1591</v>
      </c>
      <c r="D794" s="76" t="s">
        <v>1583</v>
      </c>
      <c r="E794" s="5">
        <f>+'тура ака'!Q782</f>
        <v>793798.39999999851</v>
      </c>
      <c r="F794" s="76" t="str">
        <f>+'тура ака'!E782</f>
        <v>812 бекобод т</v>
      </c>
    </row>
    <row r="795" spans="1:6" hidden="1" x14ac:dyDescent="0.3">
      <c r="A795" s="1"/>
      <c r="B795" s="4"/>
      <c r="C795" s="75"/>
      <c r="D795" s="76"/>
      <c r="E795" s="5">
        <f>+'тура ака'!Q783</f>
        <v>1363105</v>
      </c>
      <c r="F795" s="76" t="str">
        <f>+'тура ака'!E783</f>
        <v>576 мяхки т</v>
      </c>
    </row>
    <row r="796" spans="1:6" hidden="1" x14ac:dyDescent="0.3">
      <c r="A796" s="1"/>
      <c r="B796" s="4"/>
      <c r="C796" s="75"/>
      <c r="D796" s="76"/>
      <c r="E796" s="5">
        <f>+'тура ака'!Q784</f>
        <v>750185</v>
      </c>
      <c r="F796" s="76" t="str">
        <f>+'тура ака'!E784</f>
        <v>537 мяхк гулистон т</v>
      </c>
    </row>
    <row r="797" spans="1:6" hidden="1" x14ac:dyDescent="0.3">
      <c r="A797" s="1"/>
      <c r="B797" s="4"/>
      <c r="C797" s="75"/>
      <c r="D797" s="76"/>
      <c r="E797" s="5">
        <v>758593</v>
      </c>
      <c r="F797" s="76" t="s">
        <v>1586</v>
      </c>
    </row>
    <row r="798" spans="1:6" hidden="1" x14ac:dyDescent="0.3">
      <c r="A798" s="1" t="s">
        <v>1590</v>
      </c>
      <c r="B798" s="4">
        <v>1000000</v>
      </c>
      <c r="C798" s="75" t="s">
        <v>111</v>
      </c>
      <c r="D798" s="76" t="s">
        <v>1587</v>
      </c>
      <c r="E798" s="5">
        <v>800000</v>
      </c>
      <c r="F798" s="76" t="s">
        <v>130</v>
      </c>
    </row>
    <row r="799" spans="1:6" hidden="1" x14ac:dyDescent="0.3">
      <c r="A799" s="1"/>
      <c r="B799" s="4"/>
      <c r="C799" s="75"/>
      <c r="D799" s="76"/>
      <c r="E799" s="5">
        <v>12000000</v>
      </c>
      <c r="F799" s="76" t="s">
        <v>1588</v>
      </c>
    </row>
    <row r="800" spans="1:6" hidden="1" x14ac:dyDescent="0.3">
      <c r="A800" s="1"/>
      <c r="B800" s="4"/>
      <c r="C800" s="75"/>
      <c r="D800" s="76"/>
      <c r="E800" s="5">
        <f>+'тура ака'!Q788</f>
        <v>958372.79999999702</v>
      </c>
      <c r="F800" s="76" t="str">
        <f>+'тура ака'!E788</f>
        <v>886 бекобод т</v>
      </c>
    </row>
    <row r="801" spans="1:6" hidden="1" x14ac:dyDescent="0.3">
      <c r="A801" s="1" t="s">
        <v>1592</v>
      </c>
      <c r="B801" s="4">
        <v>2400000</v>
      </c>
      <c r="C801" s="75" t="s">
        <v>1508</v>
      </c>
      <c r="D801" s="76"/>
      <c r="E801" s="5">
        <f>+'тура ака'!Q789</f>
        <v>728557</v>
      </c>
      <c r="F801" s="76" t="str">
        <f>+'тура ака'!E789</f>
        <v>267 мяхк т</v>
      </c>
    </row>
    <row r="802" spans="1:6" hidden="1" x14ac:dyDescent="0.3">
      <c r="A802" s="1"/>
      <c r="B802" s="4">
        <v>2400000</v>
      </c>
      <c r="C802" s="75" t="s">
        <v>1458</v>
      </c>
      <c r="D802" s="76"/>
      <c r="E802" s="174">
        <v>540000</v>
      </c>
      <c r="F802" s="175" t="s">
        <v>1356</v>
      </c>
    </row>
    <row r="803" spans="1:6" hidden="1" x14ac:dyDescent="0.3">
      <c r="A803" s="1"/>
      <c r="B803" s="4">
        <v>575692</v>
      </c>
      <c r="C803" s="75" t="s">
        <v>111</v>
      </c>
      <c r="D803" s="76" t="s">
        <v>1592</v>
      </c>
      <c r="E803" s="5">
        <f>+'тура ака'!Q791</f>
        <v>408504</v>
      </c>
      <c r="F803" s="76" t="str">
        <f>+'тура ака'!E791</f>
        <v>696 мошин чирчик</v>
      </c>
    </row>
    <row r="804" spans="1:6" hidden="1" x14ac:dyDescent="0.3">
      <c r="A804" s="1"/>
      <c r="B804" s="4"/>
      <c r="C804" s="75"/>
      <c r="D804" s="76"/>
      <c r="E804" s="5">
        <f>+'тура ака'!Q792</f>
        <v>949944</v>
      </c>
      <c r="F804" s="76" t="str">
        <f>+'тура ака'!E792</f>
        <v>377 бекобод жамил</v>
      </c>
    </row>
    <row r="805" spans="1:6" hidden="1" x14ac:dyDescent="0.3">
      <c r="A805" s="1"/>
      <c r="B805" s="4">
        <v>64278</v>
      </c>
      <c r="C805" s="75" t="s">
        <v>600</v>
      </c>
      <c r="D805" s="76"/>
      <c r="E805" s="5">
        <f>+'тура ака'!Q793</f>
        <v>1318036</v>
      </c>
      <c r="F805" s="76" t="str">
        <f>+'тура ака'!E793</f>
        <v>413 мяхк т</v>
      </c>
    </row>
    <row r="806" spans="1:6" hidden="1" x14ac:dyDescent="0.3">
      <c r="A806" s="1" t="s">
        <v>1600</v>
      </c>
      <c r="B806" s="4">
        <v>300000</v>
      </c>
      <c r="C806" s="75" t="s">
        <v>738</v>
      </c>
      <c r="D806" s="76"/>
      <c r="E806" s="5">
        <f>+'тура ака'!Q794</f>
        <v>1002733</v>
      </c>
      <c r="F806" s="76" t="str">
        <f>+'тура ака'!E794</f>
        <v>562  мяхки гайрат</v>
      </c>
    </row>
    <row r="807" spans="1:6" hidden="1" x14ac:dyDescent="0.3">
      <c r="A807" s="1"/>
      <c r="B807" s="4">
        <v>600000</v>
      </c>
      <c r="C807" s="75" t="s">
        <v>113</v>
      </c>
      <c r="D807" s="76"/>
      <c r="E807" s="5">
        <v>135000</v>
      </c>
      <c r="F807" s="76">
        <f>+'тура ака'!E795</f>
        <v>0</v>
      </c>
    </row>
    <row r="808" spans="1:6" hidden="1" x14ac:dyDescent="0.3">
      <c r="A808" s="1"/>
      <c r="B808" s="4">
        <v>411378</v>
      </c>
      <c r="C808" s="75" t="s">
        <v>111</v>
      </c>
      <c r="D808" s="76" t="s">
        <v>1600</v>
      </c>
      <c r="E808" s="5">
        <f>+'тура ака'!Q796</f>
        <v>1471410</v>
      </c>
      <c r="F808" s="76" t="str">
        <f>+'тура ака'!E796</f>
        <v>037 мяхк арматура</v>
      </c>
    </row>
    <row r="809" spans="1:6" hidden="1" x14ac:dyDescent="0.3">
      <c r="A809" s="1" t="s">
        <v>1602</v>
      </c>
      <c r="B809" s="4">
        <v>1000000</v>
      </c>
      <c r="C809" s="75" t="s">
        <v>1604</v>
      </c>
      <c r="D809" s="76"/>
      <c r="E809" s="5">
        <f>+'тура ака'!Q797</f>
        <v>564160</v>
      </c>
      <c r="F809" s="76" t="str">
        <f>+'тура ака'!E797</f>
        <v xml:space="preserve">521 мяхки </v>
      </c>
    </row>
    <row r="810" spans="1:6" hidden="1" x14ac:dyDescent="0.3">
      <c r="A810" s="1"/>
      <c r="B810" s="4"/>
      <c r="C810" s="75"/>
      <c r="D810" s="76"/>
      <c r="E810" s="5">
        <v>5419000</v>
      </c>
      <c r="F810" s="76" t="s">
        <v>129</v>
      </c>
    </row>
    <row r="811" spans="1:6" hidden="1" x14ac:dyDescent="0.3">
      <c r="A811" s="1"/>
      <c r="B811" s="4">
        <v>420000</v>
      </c>
      <c r="C811" s="75" t="s">
        <v>1605</v>
      </c>
      <c r="D811" s="76" t="s">
        <v>1602</v>
      </c>
      <c r="E811" s="5">
        <f>+'тура ака'!Q799</f>
        <v>953336</v>
      </c>
      <c r="F811" s="76" t="str">
        <f>+'тура ака'!E799</f>
        <v>377 мяхки о</v>
      </c>
    </row>
    <row r="812" spans="1:6" hidden="1" x14ac:dyDescent="0.3">
      <c r="A812" s="1"/>
      <c r="B812" s="4">
        <v>8400000</v>
      </c>
      <c r="C812" s="75" t="s">
        <v>1607</v>
      </c>
      <c r="D812" s="76"/>
      <c r="E812" s="5">
        <f>+'тура ака'!Q800</f>
        <v>494054.39999999851</v>
      </c>
      <c r="F812" s="76" t="str">
        <f>+'тура ака'!E800</f>
        <v>445 бекобод низ</v>
      </c>
    </row>
    <row r="813" spans="1:6" hidden="1" x14ac:dyDescent="0.3">
      <c r="A813" s="1"/>
      <c r="B813" s="4">
        <v>2400000</v>
      </c>
      <c r="C813" s="75" t="s">
        <v>457</v>
      </c>
      <c r="D813" s="76"/>
      <c r="E813" s="5">
        <f>+'тура ака'!Q801</f>
        <v>0</v>
      </c>
      <c r="F813" s="76">
        <f>+'тура ака'!E801</f>
        <v>0</v>
      </c>
    </row>
    <row r="814" spans="1:6" hidden="1" x14ac:dyDescent="0.3">
      <c r="A814" s="1" t="s">
        <v>1608</v>
      </c>
      <c r="B814" s="4">
        <v>17860000</v>
      </c>
      <c r="C814" s="75" t="s">
        <v>1610</v>
      </c>
      <c r="D814" s="76" t="s">
        <v>1608</v>
      </c>
      <c r="E814" s="5">
        <f>+'тура ака'!Q802</f>
        <v>1047430.3999999985</v>
      </c>
      <c r="F814" s="76" t="str">
        <f>+'тура ака'!E802</f>
        <v>886 бекобод</v>
      </c>
    </row>
    <row r="815" spans="1:6" hidden="1" x14ac:dyDescent="0.3">
      <c r="A815" s="1"/>
      <c r="B815" s="4">
        <v>1200000</v>
      </c>
      <c r="C815" s="75" t="s">
        <v>111</v>
      </c>
      <c r="D815" s="76"/>
      <c r="E815" s="5">
        <f>+'тура ака'!Q803</f>
        <v>1040210</v>
      </c>
      <c r="F815" s="76" t="str">
        <f>+'тура ака'!E803</f>
        <v>919 мяхки т</v>
      </c>
    </row>
    <row r="816" spans="1:6" hidden="1" x14ac:dyDescent="0.3">
      <c r="A816" s="1" t="s">
        <v>1612</v>
      </c>
      <c r="B816" s="4">
        <v>200000</v>
      </c>
      <c r="C816" s="115" t="s">
        <v>496</v>
      </c>
      <c r="D816" s="76"/>
      <c r="E816" s="5">
        <v>1000000</v>
      </c>
      <c r="F816" s="76" t="s">
        <v>130</v>
      </c>
    </row>
    <row r="817" spans="1:6" hidden="1" x14ac:dyDescent="0.3">
      <c r="A817" s="1"/>
      <c r="B817" s="4">
        <v>700000</v>
      </c>
      <c r="C817" s="115" t="s">
        <v>1522</v>
      </c>
      <c r="D817" s="76"/>
      <c r="E817" s="174">
        <v>3986144</v>
      </c>
      <c r="F817" s="175" t="s">
        <v>1356</v>
      </c>
    </row>
    <row r="818" spans="1:6" hidden="1" x14ac:dyDescent="0.3">
      <c r="A818" s="1"/>
      <c r="B818" s="4">
        <v>2600000</v>
      </c>
      <c r="C818" s="115" t="s">
        <v>1620</v>
      </c>
      <c r="D818" s="76" t="s">
        <v>1612</v>
      </c>
      <c r="E818" s="76"/>
      <c r="F818" s="76"/>
    </row>
    <row r="819" spans="1:6" hidden="1" x14ac:dyDescent="0.3">
      <c r="A819" s="1"/>
      <c r="B819" s="4">
        <v>1900000</v>
      </c>
      <c r="C819" s="75" t="s">
        <v>553</v>
      </c>
      <c r="D819" s="76"/>
      <c r="E819" s="5">
        <f>+'тура ака'!Q807</f>
        <v>1185760</v>
      </c>
      <c r="F819" s="76" t="str">
        <f>+'тура ака'!E807</f>
        <v>267 мяхки т</v>
      </c>
    </row>
    <row r="820" spans="1:6" hidden="1" x14ac:dyDescent="0.3">
      <c r="A820" s="1"/>
      <c r="B820" s="4">
        <v>600000</v>
      </c>
      <c r="C820" s="75" t="s">
        <v>192</v>
      </c>
      <c r="D820" s="76"/>
      <c r="E820" s="5">
        <f>+'тура ака'!Q808</f>
        <v>1089810</v>
      </c>
      <c r="F820" s="76" t="str">
        <f>+'тура ака'!E808</f>
        <v>377 мяхки еко с</v>
      </c>
    </row>
    <row r="821" spans="1:6" hidden="1" x14ac:dyDescent="0.3">
      <c r="A821" s="1"/>
      <c r="B821" s="4"/>
      <c r="C821" s="75"/>
      <c r="D821" s="76"/>
      <c r="E821" s="5">
        <f>+'тура ака'!Q809</f>
        <v>970300</v>
      </c>
      <c r="F821" s="76" t="str">
        <f>+'тура ака'!E809</f>
        <v>530 арматура</v>
      </c>
    </row>
    <row r="822" spans="1:6" hidden="1" x14ac:dyDescent="0.3">
      <c r="A822" s="1" t="s">
        <v>1622</v>
      </c>
      <c r="B822" s="4">
        <v>1200000</v>
      </c>
      <c r="C822" s="75" t="s">
        <v>1508</v>
      </c>
      <c r="D822" s="76"/>
      <c r="E822" s="5">
        <f>+'тура ака'!Q810</f>
        <v>778985</v>
      </c>
      <c r="F822" s="76" t="str">
        <f>+'тура ака'!E810</f>
        <v>562 хаким хужа</v>
      </c>
    </row>
    <row r="823" spans="1:6" hidden="1" x14ac:dyDescent="0.3">
      <c r="A823" s="1"/>
      <c r="B823" s="4">
        <v>600000</v>
      </c>
      <c r="C823" s="75" t="s">
        <v>581</v>
      </c>
      <c r="D823" s="76"/>
      <c r="E823" s="5">
        <f>+'тура ака'!Q811</f>
        <v>-458160</v>
      </c>
      <c r="F823" s="76" t="str">
        <f>+'тура ака'!E811</f>
        <v>834 бекобод т</v>
      </c>
    </row>
    <row r="824" spans="1:6" hidden="1" x14ac:dyDescent="0.3">
      <c r="A824" s="1"/>
      <c r="B824" s="4">
        <f>1663*2950</f>
        <v>4905850</v>
      </c>
      <c r="C824" s="75" t="s">
        <v>730</v>
      </c>
      <c r="D824" s="76"/>
      <c r="E824" s="5">
        <v>4436</v>
      </c>
      <c r="F824" s="76">
        <f>+'тура ака'!E812</f>
        <v>0</v>
      </c>
    </row>
    <row r="825" spans="1:6" hidden="1" x14ac:dyDescent="0.3">
      <c r="A825" s="1"/>
      <c r="B825" s="4">
        <v>500000</v>
      </c>
      <c r="C825" s="75" t="s">
        <v>154</v>
      </c>
      <c r="D825" s="76" t="s">
        <v>1622</v>
      </c>
      <c r="E825" s="5">
        <f>+'тура ака'!Q813</f>
        <v>1501250</v>
      </c>
      <c r="F825" s="76" t="str">
        <f>+'тура ака'!E813</f>
        <v>264 мяхки т</v>
      </c>
    </row>
    <row r="826" spans="1:6" hidden="1" x14ac:dyDescent="0.3">
      <c r="A826" s="1"/>
      <c r="B826" s="4">
        <v>200000</v>
      </c>
      <c r="C826" s="75" t="s">
        <v>273</v>
      </c>
      <c r="D826" s="76"/>
      <c r="E826" s="5">
        <f>+'тура ака'!Q814</f>
        <v>1138033.6000000015</v>
      </c>
      <c r="F826" s="76" t="str">
        <f>+'тура ака'!E814</f>
        <v>963 бекобод шермат</v>
      </c>
    </row>
    <row r="827" spans="1:6" hidden="1" x14ac:dyDescent="0.3">
      <c r="A827" s="1" t="s">
        <v>1633</v>
      </c>
      <c r="B827" s="4">
        <v>500000</v>
      </c>
      <c r="C827" s="75" t="s">
        <v>1342</v>
      </c>
      <c r="D827" s="76"/>
      <c r="E827" s="5">
        <v>3900000</v>
      </c>
      <c r="F827" s="76" t="s">
        <v>1601</v>
      </c>
    </row>
    <row r="828" spans="1:6" hidden="1" x14ac:dyDescent="0.3">
      <c r="A828" s="1"/>
      <c r="B828" s="4">
        <v>172858</v>
      </c>
      <c r="C828" s="75" t="s">
        <v>111</v>
      </c>
      <c r="D828" s="76"/>
      <c r="E828" s="174">
        <v>9620000</v>
      </c>
      <c r="F828" s="76" t="s">
        <v>1632</v>
      </c>
    </row>
    <row r="829" spans="1:6" hidden="1" x14ac:dyDescent="0.3">
      <c r="A829" s="1" t="s">
        <v>1634</v>
      </c>
      <c r="B829" s="4">
        <v>2400000</v>
      </c>
      <c r="C829" s="75" t="s">
        <v>1508</v>
      </c>
      <c r="D829" s="76"/>
      <c r="E829" s="5">
        <v>1900000</v>
      </c>
      <c r="F829" s="76" t="s">
        <v>130</v>
      </c>
    </row>
    <row r="830" spans="1:6" hidden="1" x14ac:dyDescent="0.3">
      <c r="A830" s="1"/>
      <c r="B830" s="4">
        <v>2000000</v>
      </c>
      <c r="C830" s="75" t="s">
        <v>111</v>
      </c>
      <c r="D830" s="76"/>
      <c r="E830" s="5">
        <f>+'тура ака'!Q818</f>
        <v>0</v>
      </c>
      <c r="F830" s="76">
        <f>+'тура ака'!E818</f>
        <v>0</v>
      </c>
    </row>
    <row r="831" spans="1:6" hidden="1" x14ac:dyDescent="0.3">
      <c r="A831" s="1"/>
      <c r="B831" s="4">
        <v>5000000</v>
      </c>
      <c r="C831" s="75" t="s">
        <v>1423</v>
      </c>
      <c r="D831" s="76"/>
      <c r="E831" s="5">
        <f>+'тура ака'!Q819</f>
        <v>1029835.75</v>
      </c>
      <c r="F831" s="76" t="str">
        <f>+'тура ака'!E819</f>
        <v>210 мяхк т</v>
      </c>
    </row>
    <row r="832" spans="1:6" hidden="1" x14ac:dyDescent="0.3">
      <c r="A832" s="1" t="s">
        <v>1639</v>
      </c>
      <c r="B832" s="4">
        <f>1750*12000</f>
        <v>21000000</v>
      </c>
      <c r="C832" s="75" t="s">
        <v>1640</v>
      </c>
      <c r="D832" s="76"/>
      <c r="E832" s="5">
        <v>35422</v>
      </c>
      <c r="F832" s="76">
        <f>+'тура ака'!E820</f>
        <v>0</v>
      </c>
    </row>
    <row r="833" spans="1:6" hidden="1" x14ac:dyDescent="0.3">
      <c r="A833" s="1"/>
      <c r="B833" s="4">
        <v>2100000</v>
      </c>
      <c r="C833" s="75" t="s">
        <v>1202</v>
      </c>
      <c r="D833" s="76" t="s">
        <v>1634</v>
      </c>
      <c r="E833" s="5">
        <f>+'тура ака'!Q821</f>
        <v>946009</v>
      </c>
      <c r="F833" s="76" t="str">
        <f>+'тура ака'!E821</f>
        <v>377 мяхк пешку</v>
      </c>
    </row>
    <row r="834" spans="1:6" hidden="1" x14ac:dyDescent="0.3">
      <c r="A834" s="1"/>
      <c r="B834" s="4">
        <f>500*12000</f>
        <v>6000000</v>
      </c>
      <c r="C834" s="75" t="s">
        <v>1508</v>
      </c>
      <c r="D834" s="76"/>
      <c r="E834" s="5">
        <f>+'тура ака'!Q822</f>
        <v>833863.99999999627</v>
      </c>
      <c r="F834" s="76" t="str">
        <f>+'тура ака'!E822</f>
        <v>562 бекобод еко</v>
      </c>
    </row>
    <row r="835" spans="1:6" hidden="1" x14ac:dyDescent="0.3">
      <c r="A835" s="1"/>
      <c r="B835" s="4">
        <f>3000*2900</f>
        <v>8700000</v>
      </c>
      <c r="C835" s="75" t="s">
        <v>1359</v>
      </c>
      <c r="D835" s="76"/>
      <c r="E835" s="5">
        <f>+'тура ака'!Q823</f>
        <v>1520848</v>
      </c>
      <c r="F835" s="76" t="str">
        <f>+'тура ака'!E823</f>
        <v>037 бекобод ислом</v>
      </c>
    </row>
    <row r="836" spans="1:6" hidden="1" x14ac:dyDescent="0.3">
      <c r="A836" s="1"/>
      <c r="B836" s="4"/>
      <c r="C836" s="75"/>
      <c r="D836" s="76"/>
      <c r="E836" s="5">
        <f>+'тура ака'!Q824</f>
        <v>424840</v>
      </c>
      <c r="F836" s="76" t="str">
        <f>+'тура ака'!E824</f>
        <v>886 бекобод т</v>
      </c>
    </row>
    <row r="837" spans="1:6" hidden="1" x14ac:dyDescent="0.3">
      <c r="A837" s="1"/>
      <c r="B837" s="4"/>
      <c r="C837" s="75"/>
      <c r="D837" s="76"/>
      <c r="E837" s="5">
        <f>+'тура ака'!Q825</f>
        <v>2209470</v>
      </c>
      <c r="F837" s="76" t="str">
        <f>+'тура ака'!E825</f>
        <v>445  мяхк низом</v>
      </c>
    </row>
    <row r="838" spans="1:6" hidden="1" x14ac:dyDescent="0.3">
      <c r="A838" s="1"/>
      <c r="B838" s="4"/>
      <c r="C838" s="75"/>
      <c r="D838" s="76"/>
      <c r="E838" s="5">
        <v>5375000</v>
      </c>
      <c r="F838" s="76" t="s">
        <v>129</v>
      </c>
    </row>
    <row r="839" spans="1:6" hidden="1" x14ac:dyDescent="0.3">
      <c r="A839" s="1"/>
      <c r="B839" s="4"/>
      <c r="C839" s="75"/>
      <c r="D839" s="76"/>
      <c r="E839" s="174">
        <v>4700697</v>
      </c>
      <c r="F839" s="175" t="s">
        <v>1586</v>
      </c>
    </row>
    <row r="840" spans="1:6" hidden="1" x14ac:dyDescent="0.3">
      <c r="A840" s="1" t="s">
        <v>1642</v>
      </c>
      <c r="B840" s="4">
        <v>500000</v>
      </c>
      <c r="C840" s="75" t="s">
        <v>1282</v>
      </c>
      <c r="D840" s="76" t="s">
        <v>1639</v>
      </c>
      <c r="E840" s="5">
        <f>+'тура ака'!Q828</f>
        <v>118430</v>
      </c>
      <c r="F840" s="76" t="str">
        <f>+'тура ака'!E828</f>
        <v>267 мяхк т</v>
      </c>
    </row>
    <row r="841" spans="1:6" hidden="1" x14ac:dyDescent="0.3">
      <c r="A841" s="1"/>
      <c r="B841" s="4">
        <v>1750000</v>
      </c>
      <c r="C841" s="75" t="s">
        <v>600</v>
      </c>
      <c r="D841" s="76"/>
      <c r="E841" s="5">
        <v>1000000</v>
      </c>
      <c r="F841" s="76" t="s">
        <v>130</v>
      </c>
    </row>
    <row r="842" spans="1:6" hidden="1" x14ac:dyDescent="0.3">
      <c r="A842" s="1"/>
      <c r="B842" s="4">
        <v>730240</v>
      </c>
      <c r="C842" s="75"/>
      <c r="D842" s="76"/>
      <c r="E842" s="5">
        <v>289156</v>
      </c>
      <c r="F842" s="76" t="s">
        <v>1641</v>
      </c>
    </row>
    <row r="843" spans="1:6" hidden="1" x14ac:dyDescent="0.3">
      <c r="A843" s="1"/>
      <c r="B843" s="4"/>
      <c r="C843" s="75"/>
      <c r="D843" s="76" t="s">
        <v>1642</v>
      </c>
      <c r="E843" s="5">
        <f>+'тура ака'!Q831</f>
        <v>2735160</v>
      </c>
      <c r="F843" s="76" t="str">
        <f>+'тура ака'!E831</f>
        <v>377 мяхки ой</v>
      </c>
    </row>
    <row r="844" spans="1:6" hidden="1" x14ac:dyDescent="0.3">
      <c r="A844" s="1" t="s">
        <v>1643</v>
      </c>
      <c r="B844" s="4">
        <v>1150000</v>
      </c>
      <c r="C844" s="75" t="s">
        <v>111</v>
      </c>
      <c r="D844" s="76"/>
      <c r="E844" s="5">
        <v>750000</v>
      </c>
      <c r="F844" s="76" t="s">
        <v>1350</v>
      </c>
    </row>
    <row r="845" spans="1:6" hidden="1" x14ac:dyDescent="0.3">
      <c r="A845" s="1"/>
      <c r="B845" s="4">
        <v>1000000</v>
      </c>
      <c r="C845" s="75" t="s">
        <v>688</v>
      </c>
      <c r="D845" s="76" t="s">
        <v>1643</v>
      </c>
      <c r="E845" s="5">
        <f>+'тура ака'!Q833</f>
        <v>1175972</v>
      </c>
      <c r="F845" s="76" t="str">
        <f>+'тура ака'!E833</f>
        <v>773 мяхки т</v>
      </c>
    </row>
    <row r="846" spans="1:6" hidden="1" x14ac:dyDescent="0.3">
      <c r="A846" s="1" t="s">
        <v>1650</v>
      </c>
      <c r="B846" s="4">
        <f>3117*12060</f>
        <v>37591020</v>
      </c>
      <c r="C846" s="75" t="s">
        <v>239</v>
      </c>
      <c r="D846" s="76"/>
      <c r="E846" s="5">
        <f>+'тура ака'!Q834</f>
        <v>848260</v>
      </c>
      <c r="F846" s="76" t="str">
        <f>+'тура ака'!E834</f>
        <v>725 мяхк олот</v>
      </c>
    </row>
    <row r="847" spans="1:6" hidden="1" x14ac:dyDescent="0.3">
      <c r="A847" s="1"/>
      <c r="B847" s="75">
        <v>300000</v>
      </c>
      <c r="C847" s="75" t="s">
        <v>214</v>
      </c>
      <c r="D847" s="76"/>
      <c r="E847" s="5">
        <f>+'тура ака'!Q835</f>
        <v>747750</v>
      </c>
      <c r="F847" s="76" t="str">
        <f>+'тура ака'!E835</f>
        <v>388 шерка</v>
      </c>
    </row>
    <row r="848" spans="1:6" hidden="1" x14ac:dyDescent="0.3">
      <c r="A848" s="1"/>
      <c r="B848" s="4">
        <v>400000</v>
      </c>
      <c r="C848" s="75" t="s">
        <v>192</v>
      </c>
      <c r="D848" s="76"/>
      <c r="E848" s="5">
        <v>740000</v>
      </c>
      <c r="F848" s="76" t="s">
        <v>131</v>
      </c>
    </row>
    <row r="849" spans="1:6" hidden="1" x14ac:dyDescent="0.3">
      <c r="A849" s="1"/>
      <c r="B849" s="4">
        <v>200000</v>
      </c>
      <c r="C849" s="75" t="s">
        <v>191</v>
      </c>
      <c r="D849" s="76"/>
      <c r="E849" s="5">
        <v>900000</v>
      </c>
      <c r="F849" s="76" t="s">
        <v>130</v>
      </c>
    </row>
    <row r="850" spans="1:6" hidden="1" x14ac:dyDescent="0.3">
      <c r="A850" s="1"/>
      <c r="B850" s="4">
        <v>100000</v>
      </c>
      <c r="C850" s="75" t="s">
        <v>209</v>
      </c>
      <c r="D850" s="76"/>
      <c r="E850" s="5">
        <v>600000</v>
      </c>
      <c r="F850" s="76" t="s">
        <v>1649</v>
      </c>
    </row>
    <row r="851" spans="1:6" hidden="1" x14ac:dyDescent="0.3">
      <c r="A851" s="1"/>
      <c r="B851" s="4">
        <v>543060</v>
      </c>
      <c r="C851" s="75" t="s">
        <v>600</v>
      </c>
      <c r="D851" s="76"/>
      <c r="E851" s="5">
        <f>223738+94307</f>
        <v>318045</v>
      </c>
      <c r="F851" s="76" t="s">
        <v>1356</v>
      </c>
    </row>
    <row r="852" spans="1:6" hidden="1" x14ac:dyDescent="0.3">
      <c r="A852" s="1"/>
      <c r="B852" s="4"/>
      <c r="C852" s="75"/>
      <c r="D852" s="76" t="s">
        <v>1650</v>
      </c>
      <c r="E852" s="5">
        <f>+'тура ака'!Q840</f>
        <v>1218630</v>
      </c>
      <c r="F852" s="76" t="str">
        <f>+'тура ака'!E840</f>
        <v>210 арматура</v>
      </c>
    </row>
    <row r="853" spans="1:6" hidden="1" x14ac:dyDescent="0.3">
      <c r="A853" s="1"/>
      <c r="B853" s="4"/>
      <c r="C853" s="75"/>
      <c r="D853" s="76"/>
      <c r="E853" s="5">
        <f>+'тура ака'!Q841</f>
        <v>1347491.200000003</v>
      </c>
      <c r="F853" s="76" t="str">
        <f>+'тура ака'!E841</f>
        <v>886 бекобод т</v>
      </c>
    </row>
    <row r="854" spans="1:6" hidden="1" x14ac:dyDescent="0.3">
      <c r="A854" s="1"/>
      <c r="B854" s="4"/>
      <c r="C854" s="75"/>
      <c r="D854" s="76"/>
      <c r="E854" s="5">
        <f>+'тура ака'!Q842</f>
        <v>1082180.0000000037</v>
      </c>
      <c r="F854" s="76" t="str">
        <f>+'тура ака'!E842</f>
        <v>562 мяхк т</v>
      </c>
    </row>
    <row r="855" spans="1:6" hidden="1" x14ac:dyDescent="0.3">
      <c r="A855" s="1" t="s">
        <v>1654</v>
      </c>
      <c r="B855" s="4">
        <v>1400000</v>
      </c>
      <c r="C855" s="75" t="s">
        <v>111</v>
      </c>
      <c r="D855" s="76"/>
      <c r="E855" s="5">
        <v>1069513</v>
      </c>
      <c r="F855" s="76" t="s">
        <v>1356</v>
      </c>
    </row>
    <row r="856" spans="1:6" hidden="1" x14ac:dyDescent="0.3">
      <c r="A856" s="1"/>
      <c r="B856" s="4">
        <v>1500000</v>
      </c>
      <c r="C856" s="75" t="s">
        <v>1151</v>
      </c>
      <c r="D856" s="76" t="s">
        <v>1654</v>
      </c>
      <c r="E856" s="5">
        <v>452</v>
      </c>
      <c r="F856" s="76">
        <f>+'тура ака'!E844</f>
        <v>0</v>
      </c>
    </row>
    <row r="857" spans="1:6" hidden="1" x14ac:dyDescent="0.3">
      <c r="A857" s="1"/>
      <c r="B857" s="4">
        <v>1200000</v>
      </c>
      <c r="C857" s="75" t="s">
        <v>1508</v>
      </c>
      <c r="D857" s="76"/>
      <c r="E857" s="5">
        <f>+'тура ака'!Q845</f>
        <v>1080550</v>
      </c>
      <c r="F857" s="76" t="str">
        <f>+'тура ака'!E845</f>
        <v>963 мяхк навои</v>
      </c>
    </row>
    <row r="858" spans="1:6" hidden="1" x14ac:dyDescent="0.3">
      <c r="A858" s="1"/>
      <c r="B858" s="4">
        <v>200000</v>
      </c>
      <c r="C858" s="75" t="s">
        <v>294</v>
      </c>
      <c r="D858" s="76"/>
      <c r="E858" s="5">
        <v>600000</v>
      </c>
      <c r="F858" s="76" t="s">
        <v>130</v>
      </c>
    </row>
    <row r="859" spans="1:6" hidden="1" x14ac:dyDescent="0.3">
      <c r="A859" s="1"/>
      <c r="B859" s="4">
        <v>333935</v>
      </c>
      <c r="C859" s="75" t="s">
        <v>1658</v>
      </c>
      <c r="D859" s="76"/>
      <c r="E859" s="5">
        <v>350000</v>
      </c>
      <c r="F859" s="76" t="s">
        <v>160</v>
      </c>
    </row>
    <row r="860" spans="1:6" hidden="1" x14ac:dyDescent="0.3">
      <c r="A860" s="1"/>
      <c r="B860" s="4">
        <v>3000000</v>
      </c>
      <c r="C860" s="75" t="s">
        <v>1660</v>
      </c>
      <c r="D860" s="76"/>
      <c r="E860" s="5">
        <v>400000</v>
      </c>
      <c r="F860" s="76" t="s">
        <v>1657</v>
      </c>
    </row>
    <row r="861" spans="1:6" hidden="1" x14ac:dyDescent="0.3">
      <c r="A861" s="1"/>
      <c r="B861" s="4">
        <v>6000000</v>
      </c>
      <c r="C861" s="75" t="s">
        <v>1661</v>
      </c>
      <c r="D861" s="76"/>
      <c r="E861" s="5">
        <v>260000</v>
      </c>
      <c r="F861" s="76" t="s">
        <v>131</v>
      </c>
    </row>
    <row r="862" spans="1:6" hidden="1" x14ac:dyDescent="0.3">
      <c r="A862" s="1"/>
      <c r="B862" s="4">
        <v>18000000</v>
      </c>
      <c r="C862" s="75" t="s">
        <v>1662</v>
      </c>
      <c r="D862" s="76"/>
      <c r="E862" s="5">
        <v>91752000</v>
      </c>
      <c r="F862" s="76" t="s">
        <v>131</v>
      </c>
    </row>
    <row r="863" spans="1:6" hidden="1" x14ac:dyDescent="0.3">
      <c r="A863" s="1"/>
      <c r="B863" s="4"/>
      <c r="C863" s="75"/>
      <c r="D863" s="76"/>
      <c r="E863" s="5">
        <v>1500000</v>
      </c>
      <c r="F863" s="76" t="s">
        <v>1659</v>
      </c>
    </row>
    <row r="864" spans="1:6" hidden="1" x14ac:dyDescent="0.3">
      <c r="A864" s="1"/>
      <c r="B864" s="4"/>
      <c r="C864" s="75"/>
      <c r="D864" s="76"/>
      <c r="E864" s="5">
        <v>1327000</v>
      </c>
      <c r="F864" s="76" t="s">
        <v>1550</v>
      </c>
    </row>
    <row r="865" spans="1:6" hidden="1" x14ac:dyDescent="0.3">
      <c r="A865" s="1"/>
      <c r="B865" s="4"/>
      <c r="C865" s="75"/>
      <c r="D865" s="76"/>
      <c r="E865" s="5">
        <v>6000000</v>
      </c>
      <c r="F865" s="76" t="s">
        <v>1486</v>
      </c>
    </row>
    <row r="866" spans="1:6" hidden="1" x14ac:dyDescent="0.3">
      <c r="A866" s="1"/>
      <c r="B866" s="4"/>
      <c r="C866" s="75"/>
      <c r="D866" s="76"/>
      <c r="E866" s="5">
        <v>11500000</v>
      </c>
      <c r="F866" s="76" t="s">
        <v>1487</v>
      </c>
    </row>
    <row r="867" spans="1:6" hidden="1" x14ac:dyDescent="0.3">
      <c r="A867" s="1"/>
      <c r="B867" s="4"/>
      <c r="C867" s="75"/>
      <c r="D867" s="76"/>
      <c r="E867" s="5">
        <v>5000000</v>
      </c>
      <c r="F867" s="76" t="s">
        <v>130</v>
      </c>
    </row>
    <row r="868" spans="1:6" hidden="1" x14ac:dyDescent="0.3">
      <c r="A868" s="1"/>
      <c r="B868" s="4"/>
      <c r="C868" s="75"/>
      <c r="D868" s="76"/>
      <c r="E868" s="5">
        <v>4669000</v>
      </c>
      <c r="F868" s="76" t="s">
        <v>130</v>
      </c>
    </row>
    <row r="869" spans="1:6" hidden="1" x14ac:dyDescent="0.3">
      <c r="A869" s="1"/>
      <c r="B869" s="4"/>
      <c r="C869" s="75"/>
      <c r="D869" s="76"/>
      <c r="E869" s="5">
        <v>1000000</v>
      </c>
      <c r="F869" s="76" t="s">
        <v>1666</v>
      </c>
    </row>
    <row r="870" spans="1:6" hidden="1" x14ac:dyDescent="0.3">
      <c r="A870" s="1"/>
      <c r="B870" s="4"/>
      <c r="C870" s="75"/>
      <c r="D870" s="76"/>
      <c r="E870" s="5">
        <f>+'тура ака'!Q858</f>
        <v>0</v>
      </c>
      <c r="F870" s="76">
        <f>+'тура ака'!E858</f>
        <v>0</v>
      </c>
    </row>
    <row r="871" spans="1:6" hidden="1" x14ac:dyDescent="0.3">
      <c r="A871" s="1"/>
      <c r="B871" s="4"/>
      <c r="C871" s="75"/>
      <c r="D871" s="76"/>
      <c r="E871" s="5">
        <f>+'тура ака'!Q859</f>
        <v>0</v>
      </c>
      <c r="F871" s="76">
        <f>+'тура ака'!E859</f>
        <v>0</v>
      </c>
    </row>
    <row r="872" spans="1:6" hidden="1" x14ac:dyDescent="0.3">
      <c r="A872" s="1"/>
      <c r="B872" s="4"/>
      <c r="C872" s="75"/>
      <c r="D872" s="76"/>
      <c r="E872" s="5">
        <f>+'тура ака'!Q860</f>
        <v>0</v>
      </c>
      <c r="F872" s="76">
        <f>+'тура ака'!E860</f>
        <v>0</v>
      </c>
    </row>
    <row r="873" spans="1:6" hidden="1" x14ac:dyDescent="0.3">
      <c r="A873" s="1"/>
      <c r="B873" s="4"/>
      <c r="C873" s="75"/>
      <c r="D873" s="76"/>
      <c r="E873" s="5">
        <f>+'тура ака'!Q861</f>
        <v>0</v>
      </c>
      <c r="F873" s="76">
        <f>+'тура ака'!E861</f>
        <v>0</v>
      </c>
    </row>
    <row r="874" spans="1:6" hidden="1" x14ac:dyDescent="0.3">
      <c r="A874" s="1"/>
      <c r="B874" s="4"/>
      <c r="C874" s="75"/>
      <c r="D874" s="76"/>
      <c r="E874" s="5">
        <f>+'тура ака'!Q862</f>
        <v>0</v>
      </c>
      <c r="F874" s="76">
        <f>+'тура ака'!E862</f>
        <v>0</v>
      </c>
    </row>
    <row r="875" spans="1:6" hidden="1" x14ac:dyDescent="0.3">
      <c r="A875" s="1"/>
      <c r="B875" s="4"/>
      <c r="C875" s="75"/>
      <c r="D875" s="76"/>
      <c r="E875" s="5">
        <f>+'тура ака'!Q863</f>
        <v>0</v>
      </c>
      <c r="F875" s="76">
        <f>+'тура ака'!E863</f>
        <v>0</v>
      </c>
    </row>
    <row r="876" spans="1:6" hidden="1" x14ac:dyDescent="0.3">
      <c r="A876" s="1"/>
      <c r="B876" s="4"/>
      <c r="C876" s="75"/>
      <c r="D876" s="76"/>
      <c r="E876" s="5">
        <f>+'тура ака'!Q864</f>
        <v>0</v>
      </c>
      <c r="F876" s="76">
        <f>+'тура ака'!E864</f>
        <v>0</v>
      </c>
    </row>
    <row r="877" spans="1:6" hidden="1" x14ac:dyDescent="0.3">
      <c r="A877" s="1"/>
      <c r="B877" s="4"/>
      <c r="C877" s="75"/>
      <c r="D877" s="76"/>
      <c r="E877" s="5">
        <f>+'тура ака'!Q865</f>
        <v>0</v>
      </c>
      <c r="F877" s="76">
        <f>+'тура ака'!E865</f>
        <v>0</v>
      </c>
    </row>
    <row r="878" spans="1:6" hidden="1" x14ac:dyDescent="0.3">
      <c r="A878" s="1"/>
      <c r="B878" s="4"/>
      <c r="C878" s="75"/>
      <c r="D878" s="76"/>
      <c r="E878" s="5">
        <f>+'тура ака'!Q866</f>
        <v>0</v>
      </c>
      <c r="F878" s="76">
        <f>+'тура ака'!E866</f>
        <v>0</v>
      </c>
    </row>
    <row r="879" spans="1:6" hidden="1" x14ac:dyDescent="0.3">
      <c r="A879" s="1"/>
      <c r="B879" s="4"/>
      <c r="C879" s="75"/>
      <c r="D879" s="76"/>
      <c r="E879" s="5">
        <f>+'тура ака'!Q867</f>
        <v>0</v>
      </c>
      <c r="F879" s="76">
        <f>+'тура ака'!E867</f>
        <v>0</v>
      </c>
    </row>
    <row r="880" spans="1:6" hidden="1" x14ac:dyDescent="0.3">
      <c r="A880" s="1"/>
      <c r="B880" s="4"/>
      <c r="C880" s="75"/>
      <c r="D880" s="76"/>
      <c r="E880" s="5">
        <f>+'тура ака'!Q868</f>
        <v>0</v>
      </c>
      <c r="F880" s="76">
        <f>+'тура ака'!E868</f>
        <v>0</v>
      </c>
    </row>
    <row r="881" spans="1:6" x14ac:dyDescent="0.3">
      <c r="A881" s="1"/>
      <c r="B881" s="4"/>
      <c r="C881" s="75"/>
      <c r="D881" s="76"/>
      <c r="E881" s="5">
        <f>+'тура ака'!Q869</f>
        <v>0</v>
      </c>
      <c r="F881" s="76">
        <f>+'тура ака'!E869</f>
        <v>0</v>
      </c>
    </row>
    <row r="882" spans="1:6" x14ac:dyDescent="0.3">
      <c r="A882" s="76" t="s">
        <v>1683</v>
      </c>
      <c r="B882" s="4">
        <v>1800000</v>
      </c>
      <c r="C882" s="75" t="s">
        <v>600</v>
      </c>
      <c r="D882" s="76" t="s">
        <v>1683</v>
      </c>
      <c r="E882" s="5">
        <f>+'тура ака'!Q870</f>
        <v>1316310</v>
      </c>
      <c r="F882" s="76" t="str">
        <f>+'тура ака'!E870</f>
        <v>532 мях т</v>
      </c>
    </row>
    <row r="883" spans="1:6" x14ac:dyDescent="0.3">
      <c r="A883" s="1"/>
      <c r="B883" s="4"/>
      <c r="C883" s="75"/>
      <c r="D883" s="76"/>
      <c r="E883" s="5">
        <f>+'тура ака'!Q871</f>
        <v>427636</v>
      </c>
      <c r="F883" s="76" t="str">
        <f>+'тура ака'!E871</f>
        <v>972 олот</v>
      </c>
    </row>
    <row r="884" spans="1:6" x14ac:dyDescent="0.3">
      <c r="A884" s="1"/>
      <c r="B884" s="4">
        <f>8+105413</f>
        <v>105421</v>
      </c>
      <c r="C884" s="75"/>
      <c r="D884" s="76"/>
      <c r="E884" s="5">
        <f>+'тура ака'!Q872</f>
        <v>3758940</v>
      </c>
      <c r="F884" s="76" t="str">
        <f>+'тура ака'!E872</f>
        <v>377 мях о</v>
      </c>
    </row>
    <row r="885" spans="1:6" x14ac:dyDescent="0.3">
      <c r="A885" s="1" t="s">
        <v>1691</v>
      </c>
      <c r="B885" s="4">
        <v>2742000</v>
      </c>
      <c r="C885" s="75" t="s">
        <v>111</v>
      </c>
      <c r="D885" s="76" t="s">
        <v>1691</v>
      </c>
      <c r="E885" s="5">
        <v>5400000</v>
      </c>
      <c r="F885" s="76" t="s">
        <v>129</v>
      </c>
    </row>
    <row r="886" spans="1:6" x14ac:dyDescent="0.3">
      <c r="A886" s="1" t="s">
        <v>1696</v>
      </c>
      <c r="B886" s="4">
        <v>1000000</v>
      </c>
      <c r="C886" s="75" t="s">
        <v>600</v>
      </c>
      <c r="D886" s="76" t="s">
        <v>1696</v>
      </c>
      <c r="E886" s="5">
        <f>+'тура ака'!Q874</f>
        <v>1720456</v>
      </c>
      <c r="F886" s="76" t="str">
        <f>+'тура ака'!E874</f>
        <v>886 бекобод т</v>
      </c>
    </row>
    <row r="887" spans="1:6" x14ac:dyDescent="0.3">
      <c r="A887" s="1"/>
      <c r="B887" s="4"/>
      <c r="C887" s="75"/>
      <c r="D887" s="76"/>
      <c r="E887" s="5">
        <f>+'тура ака'!Q875</f>
        <v>314510</v>
      </c>
      <c r="F887" s="76" t="str">
        <f>+'тура ака'!E875</f>
        <v>408 олот</v>
      </c>
    </row>
    <row r="888" spans="1:6" x14ac:dyDescent="0.3">
      <c r="A888" s="1"/>
      <c r="B888" s="4"/>
      <c r="C888" s="75"/>
      <c r="D888" s="76"/>
      <c r="E888" s="5">
        <f>+'тура ака'!Q876</f>
        <v>560711</v>
      </c>
      <c r="F888" s="76" t="str">
        <f>+'тура ака'!E876</f>
        <v>210 мяхк т</v>
      </c>
    </row>
    <row r="889" spans="1:6" x14ac:dyDescent="0.3">
      <c r="A889" s="1"/>
      <c r="B889" s="4">
        <v>76596</v>
      </c>
      <c r="C889" s="75" t="s">
        <v>600</v>
      </c>
      <c r="D889" s="76"/>
      <c r="E889" s="5">
        <f>+'тура ака'!Q877</f>
        <v>963330</v>
      </c>
      <c r="F889" s="76" t="str">
        <f>+'тура ака'!E877</f>
        <v>725бекобод олот</v>
      </c>
    </row>
    <row r="890" spans="1:6" x14ac:dyDescent="0.3">
      <c r="A890" s="1" t="s">
        <v>1704</v>
      </c>
      <c r="B890" s="4">
        <v>400000</v>
      </c>
      <c r="C890" s="75" t="s">
        <v>111</v>
      </c>
      <c r="D890" s="76"/>
      <c r="E890" s="5">
        <f>+'тура ака'!Q878</f>
        <v>2611926</v>
      </c>
      <c r="F890" s="76" t="str">
        <f>+'тура ака'!E878</f>
        <v>445 мяхк низ</v>
      </c>
    </row>
    <row r="891" spans="1:6" x14ac:dyDescent="0.3">
      <c r="A891" s="1"/>
      <c r="B891" s="4">
        <v>600000</v>
      </c>
      <c r="C891" s="75" t="s">
        <v>1203</v>
      </c>
      <c r="D891" s="76"/>
      <c r="E891" s="5">
        <f>+'тура ака'!Q879</f>
        <v>0</v>
      </c>
      <c r="F891" s="76">
        <f>+'тура ака'!E879</f>
        <v>0</v>
      </c>
    </row>
    <row r="892" spans="1:6" x14ac:dyDescent="0.3">
      <c r="A892" s="1"/>
      <c r="B892" s="4">
        <v>100000</v>
      </c>
      <c r="C892" s="75" t="s">
        <v>1710</v>
      </c>
      <c r="D892" s="76"/>
      <c r="E892" s="174">
        <f>197920+500000+35000</f>
        <v>732920</v>
      </c>
      <c r="F892" s="175" t="s">
        <v>703</v>
      </c>
    </row>
    <row r="893" spans="1:6" x14ac:dyDescent="0.3">
      <c r="A893" s="1" t="s">
        <v>1711</v>
      </c>
      <c r="B893" s="4">
        <v>500000</v>
      </c>
      <c r="C893" s="75" t="s">
        <v>1712</v>
      </c>
      <c r="D893" s="76" t="s">
        <v>1704</v>
      </c>
      <c r="E893" s="5">
        <f>+'тура ака'!Q881</f>
        <v>743990</v>
      </c>
      <c r="F893" s="76" t="str">
        <f>+'тура ака'!E881</f>
        <v>377 мяхки хаким хужа</v>
      </c>
    </row>
    <row r="894" spans="1:6" x14ac:dyDescent="0.3">
      <c r="A894" s="1"/>
      <c r="B894" s="4">
        <f>69160+1181200</f>
        <v>1250360</v>
      </c>
      <c r="C894" s="75" t="s">
        <v>1508</v>
      </c>
      <c r="D894" s="76"/>
      <c r="E894" s="5">
        <f>+'тура ака'!Q882</f>
        <v>0</v>
      </c>
      <c r="F894" s="76" t="str">
        <f>+'тура ака'!E882</f>
        <v>037 мяхк  навои</v>
      </c>
    </row>
    <row r="895" spans="1:6" x14ac:dyDescent="0.3">
      <c r="A895" s="1"/>
      <c r="B895" s="4"/>
      <c r="C895" s="75"/>
      <c r="D895" s="76"/>
      <c r="E895" s="5">
        <f>+'тура ака'!Q883</f>
        <v>713064</v>
      </c>
      <c r="F895" s="76" t="str">
        <f>+'тура ака'!E883</f>
        <v>264 мяхки бекобод</v>
      </c>
    </row>
    <row r="896" spans="1:6" x14ac:dyDescent="0.3">
      <c r="A896" s="1"/>
      <c r="B896" s="4"/>
      <c r="C896" s="75"/>
      <c r="D896" s="76"/>
      <c r="E896" s="5">
        <f>+'тура ака'!Q884</f>
        <v>774238.00000000373</v>
      </c>
      <c r="F896" s="76" t="str">
        <f>+'тура ака'!E884</f>
        <v>267 мяхк т</v>
      </c>
    </row>
    <row r="897" spans="1:6" x14ac:dyDescent="0.3">
      <c r="A897" s="1"/>
      <c r="B897" s="4"/>
      <c r="C897" s="75"/>
      <c r="D897" s="76"/>
      <c r="E897" s="5">
        <f>+'тура ака'!Q885</f>
        <v>0</v>
      </c>
      <c r="F897" s="76" t="str">
        <f>+'тура ака'!E885</f>
        <v>919 мях навои</v>
      </c>
    </row>
    <row r="898" spans="1:6" x14ac:dyDescent="0.3">
      <c r="A898" s="1"/>
      <c r="B898" s="4"/>
      <c r="C898" s="75"/>
      <c r="D898" s="76"/>
      <c r="E898" s="5">
        <f>+'тура ака'!Q886</f>
        <v>0</v>
      </c>
      <c r="F898" s="76">
        <f>+'тура ака'!E886</f>
        <v>0</v>
      </c>
    </row>
    <row r="899" spans="1:6" x14ac:dyDescent="0.3">
      <c r="A899" s="1"/>
      <c r="B899" s="4"/>
      <c r="C899" s="75"/>
      <c r="D899" s="76"/>
      <c r="E899" s="5">
        <f>+'тура ака'!Q887</f>
        <v>0</v>
      </c>
      <c r="F899" s="76">
        <f>+'тура ака'!E887</f>
        <v>0</v>
      </c>
    </row>
    <row r="900" spans="1:6" x14ac:dyDescent="0.3">
      <c r="A900" s="1" t="s">
        <v>1716</v>
      </c>
      <c r="B900" s="4">
        <v>1800000</v>
      </c>
      <c r="C900" s="75" t="s">
        <v>111</v>
      </c>
      <c r="D900" s="76" t="s">
        <v>1716</v>
      </c>
      <c r="E900" s="5">
        <f>+'тура ака'!Q888</f>
        <v>338067.20000000298</v>
      </c>
      <c r="F900" s="76" t="str">
        <f>+'тура ака'!E888</f>
        <v>938 бекобод абду</v>
      </c>
    </row>
    <row r="901" spans="1:6" x14ac:dyDescent="0.3">
      <c r="A901" s="1"/>
      <c r="B901" s="4"/>
      <c r="C901" s="75"/>
      <c r="D901" s="76"/>
      <c r="E901" s="5">
        <f>+'тура ака'!Q889</f>
        <v>2714880</v>
      </c>
      <c r="F901" s="76" t="str">
        <f>+'тура ака'!E889</f>
        <v xml:space="preserve">023 мяхк </v>
      </c>
    </row>
    <row r="902" spans="1:6" x14ac:dyDescent="0.3">
      <c r="A902" s="1"/>
      <c r="B902" s="4"/>
      <c r="C902" s="75"/>
      <c r="D902" s="76"/>
      <c r="E902" s="5">
        <f>+'тура ака'!Q890</f>
        <v>230290</v>
      </c>
      <c r="F902" s="76" t="str">
        <f>+'тура ака'!E890</f>
        <v>099 мяхк т</v>
      </c>
    </row>
    <row r="903" spans="1:6" x14ac:dyDescent="0.3">
      <c r="A903" s="1"/>
      <c r="B903" s="4"/>
      <c r="C903" s="75"/>
      <c r="D903" s="76"/>
      <c r="E903" s="5">
        <f>+'тура ака'!Q891</f>
        <v>1013719.9999999963</v>
      </c>
      <c r="F903" s="76" t="str">
        <f>+'тура ака'!E891</f>
        <v>266 мяхк т</v>
      </c>
    </row>
    <row r="904" spans="1:6" x14ac:dyDescent="0.3">
      <c r="A904" s="1"/>
      <c r="B904" s="4"/>
      <c r="C904" s="75"/>
      <c r="D904" s="76"/>
      <c r="E904" s="5">
        <f>+'тура ака'!Q892</f>
        <v>0</v>
      </c>
      <c r="F904" s="76" t="str">
        <f>+'тура ака'!E892</f>
        <v>388 мяхк 80 %</v>
      </c>
    </row>
    <row r="905" spans="1:6" x14ac:dyDescent="0.3">
      <c r="A905" s="1"/>
      <c r="B905" s="4"/>
      <c r="C905" s="75"/>
      <c r="D905" s="76"/>
      <c r="E905" s="5">
        <f>+'тура ака'!Q893</f>
        <v>1687332.8000000045</v>
      </c>
      <c r="F905" s="76" t="str">
        <f>+'тура ака'!E893</f>
        <v>886 бекобод т</v>
      </c>
    </row>
    <row r="906" spans="1:6" x14ac:dyDescent="0.3">
      <c r="A906" s="1"/>
      <c r="B906" s="4"/>
      <c r="C906" s="75"/>
      <c r="D906" s="76"/>
      <c r="E906" s="5">
        <f>+'тура ака'!Q894</f>
        <v>492000</v>
      </c>
      <c r="F906" s="76" t="str">
        <f>+'тура ака'!E894</f>
        <v>210 мяхки гулистон</v>
      </c>
    </row>
    <row r="907" spans="1:6" x14ac:dyDescent="0.3">
      <c r="A907" s="1"/>
      <c r="B907" s="4"/>
      <c r="C907" s="75"/>
      <c r="D907" s="76"/>
      <c r="E907" s="5">
        <f>+'тура ака'!Q895</f>
        <v>0</v>
      </c>
      <c r="F907" s="76" t="str">
        <f>+'тура ака'!E895</f>
        <v>3880 бекобод</v>
      </c>
    </row>
    <row r="908" spans="1:6" x14ac:dyDescent="0.3">
      <c r="A908" s="1" t="s">
        <v>1724</v>
      </c>
      <c r="B908" s="4">
        <f>500000-456130</f>
        <v>43870</v>
      </c>
      <c r="C908" s="75" t="s">
        <v>1736</v>
      </c>
      <c r="D908" s="76" t="s">
        <v>1724</v>
      </c>
      <c r="E908" s="5">
        <v>2000000</v>
      </c>
      <c r="F908" s="76" t="s">
        <v>131</v>
      </c>
    </row>
    <row r="909" spans="1:6" x14ac:dyDescent="0.3">
      <c r="A909" s="1"/>
      <c r="B909" s="4">
        <v>200000</v>
      </c>
      <c r="C909" s="75" t="s">
        <v>1737</v>
      </c>
      <c r="D909" s="76"/>
      <c r="E909" s="5">
        <f>+'тура ака'!Q897</f>
        <v>1490200</v>
      </c>
      <c r="F909" s="76" t="str">
        <f>+'тура ака'!E897</f>
        <v>377 мяхки еко нодир</v>
      </c>
    </row>
    <row r="910" spans="1:6" x14ac:dyDescent="0.3">
      <c r="A910" s="1"/>
      <c r="B910" s="4">
        <v>300000</v>
      </c>
      <c r="C910" s="75" t="s">
        <v>600</v>
      </c>
      <c r="D910" s="76"/>
      <c r="E910" s="5">
        <f>+'тура ака'!Q898</f>
        <v>200</v>
      </c>
      <c r="F910" s="76" t="str">
        <f>+'тура ака'!E898</f>
        <v>037 мяхк рахим навои</v>
      </c>
    </row>
    <row r="911" spans="1:6" x14ac:dyDescent="0.3">
      <c r="A911" s="1"/>
      <c r="B911" s="4">
        <v>228962</v>
      </c>
      <c r="C911" s="75" t="s">
        <v>600</v>
      </c>
      <c r="D911" s="76"/>
      <c r="E911" s="5">
        <f>+'тура ака'!Q899</f>
        <v>290581</v>
      </c>
      <c r="F911" s="76" t="str">
        <f>+'тура ака'!E899</f>
        <v>304 мяхки до</v>
      </c>
    </row>
    <row r="912" spans="1:6" x14ac:dyDescent="0.3">
      <c r="A912" s="1" t="s">
        <v>1738</v>
      </c>
      <c r="B912" s="4">
        <v>1350222</v>
      </c>
      <c r="C912" s="75" t="s">
        <v>600</v>
      </c>
      <c r="D912" s="76"/>
      <c r="E912" s="5">
        <f>+'тура ака'!Q900</f>
        <v>1170140</v>
      </c>
      <c r="F912" s="76" t="str">
        <f>+'тура ака'!E900</f>
        <v>714 бекобод шамсилло</v>
      </c>
    </row>
    <row r="913" spans="1:6" x14ac:dyDescent="0.3">
      <c r="A913" s="1" t="s">
        <v>1746</v>
      </c>
      <c r="B913" s="4">
        <v>2200000</v>
      </c>
      <c r="C913" s="75" t="s">
        <v>273</v>
      </c>
      <c r="D913" s="76"/>
      <c r="E913" s="5">
        <v>480000</v>
      </c>
      <c r="F913" s="76" t="s">
        <v>1735</v>
      </c>
    </row>
    <row r="914" spans="1:6" x14ac:dyDescent="0.3">
      <c r="A914" s="1"/>
      <c r="B914" s="4">
        <v>1400000</v>
      </c>
      <c r="C914" s="75" t="s">
        <v>111</v>
      </c>
      <c r="D914" s="76"/>
      <c r="E914" s="5">
        <v>1500000</v>
      </c>
      <c r="F914" s="76" t="s">
        <v>130</v>
      </c>
    </row>
    <row r="915" spans="1:6" x14ac:dyDescent="0.3">
      <c r="A915" s="1"/>
      <c r="B915" s="4">
        <v>538660</v>
      </c>
      <c r="C915" s="75" t="s">
        <v>600</v>
      </c>
      <c r="D915" s="76"/>
      <c r="E915" s="5">
        <v>676000</v>
      </c>
      <c r="F915" s="76" t="s">
        <v>1356</v>
      </c>
    </row>
    <row r="916" spans="1:6" x14ac:dyDescent="0.3">
      <c r="A916" s="1"/>
      <c r="B916" s="4"/>
      <c r="C916" s="75"/>
      <c r="D916" s="76" t="s">
        <v>1738</v>
      </c>
      <c r="E916" s="5">
        <f>+'тура ака'!Q904</f>
        <v>490880</v>
      </c>
      <c r="F916" s="76" t="str">
        <f>+'тура ака'!E904</f>
        <v>532 мяхк т</v>
      </c>
    </row>
    <row r="917" spans="1:6" x14ac:dyDescent="0.3">
      <c r="A917" s="1"/>
      <c r="B917" s="4"/>
      <c r="C917" s="75"/>
      <c r="D917" s="76"/>
      <c r="E917" s="5">
        <f>+'тура ака'!Q905</f>
        <v>0</v>
      </c>
      <c r="F917" s="76" t="str">
        <f>+'тура ака'!E905</f>
        <v>773 мяхк</v>
      </c>
    </row>
    <row r="918" spans="1:6" x14ac:dyDescent="0.3">
      <c r="A918" s="1"/>
      <c r="B918" s="4"/>
      <c r="C918" s="75"/>
      <c r="D918" s="76"/>
      <c r="E918" s="5">
        <f>3660+1464000</f>
        <v>1467660</v>
      </c>
      <c r="F918" s="76">
        <f>+'тура ака'!E906</f>
        <v>0</v>
      </c>
    </row>
    <row r="919" spans="1:6" x14ac:dyDescent="0.3">
      <c r="A919" s="1"/>
      <c r="B919" s="4"/>
      <c r="C919" s="75"/>
      <c r="D919" s="76" t="s">
        <v>1741</v>
      </c>
      <c r="E919" s="5">
        <f>+'тура ака'!Q907</f>
        <v>2163600</v>
      </c>
      <c r="F919" s="76" t="str">
        <f>+'тура ака'!E907</f>
        <v>445 мяхк низ</v>
      </c>
    </row>
    <row r="920" spans="1:6" x14ac:dyDescent="0.3">
      <c r="A920" s="1"/>
      <c r="B920" s="4"/>
      <c r="C920" s="75"/>
      <c r="D920" s="76"/>
      <c r="E920" s="5">
        <f>+'тура ака'!Q908</f>
        <v>2160260</v>
      </c>
      <c r="F920" s="76" t="str">
        <f>+'тура ака'!E908</f>
        <v>537 мяхк  фармон</v>
      </c>
    </row>
    <row r="921" spans="1:6" x14ac:dyDescent="0.3">
      <c r="A921" s="1"/>
      <c r="B921" s="4"/>
      <c r="C921" s="75"/>
      <c r="D921" s="76"/>
      <c r="E921" s="5">
        <f>+'тура ака'!Q909</f>
        <v>942089.00000000373</v>
      </c>
      <c r="F921" s="76" t="str">
        <f>+'тура ака'!E909</f>
        <v>267 мяхки т</v>
      </c>
    </row>
    <row r="922" spans="1:6" x14ac:dyDescent="0.3">
      <c r="A922" s="1"/>
      <c r="B922" s="4"/>
      <c r="C922" s="75"/>
      <c r="D922" s="76"/>
      <c r="E922" s="5">
        <v>0</v>
      </c>
      <c r="F922" s="76" t="s">
        <v>1744</v>
      </c>
    </row>
    <row r="923" spans="1:6" x14ac:dyDescent="0.3">
      <c r="A923" s="1"/>
      <c r="B923" s="4"/>
      <c r="C923" s="75"/>
      <c r="D923" s="76"/>
      <c r="E923" s="5">
        <v>5300000</v>
      </c>
      <c r="F923" s="76" t="s">
        <v>947</v>
      </c>
    </row>
    <row r="924" spans="1:6" x14ac:dyDescent="0.3">
      <c r="A924" s="1"/>
      <c r="B924" s="4"/>
      <c r="C924" s="75"/>
      <c r="D924" s="76"/>
      <c r="E924" s="5">
        <v>10000000</v>
      </c>
      <c r="F924" s="76" t="s">
        <v>947</v>
      </c>
    </row>
    <row r="925" spans="1:6" x14ac:dyDescent="0.3">
      <c r="A925" s="1" t="s">
        <v>1745</v>
      </c>
      <c r="B925" s="4">
        <v>3600000</v>
      </c>
      <c r="C925" s="75" t="s">
        <v>1303</v>
      </c>
      <c r="D925" s="76" t="s">
        <v>1745</v>
      </c>
      <c r="E925" s="5">
        <f>+'тура ака'!Q913</f>
        <v>1370853</v>
      </c>
      <c r="F925" s="76" t="str">
        <f>+'тура ака'!E913</f>
        <v>187 мяхки нов</v>
      </c>
    </row>
    <row r="926" spans="1:6" x14ac:dyDescent="0.3">
      <c r="A926" s="1"/>
      <c r="B926" s="4">
        <v>1000000</v>
      </c>
      <c r="C926" s="75" t="s">
        <v>1756</v>
      </c>
      <c r="D926" s="76"/>
      <c r="E926" s="5">
        <f>+'тура ака'!Q914</f>
        <v>0</v>
      </c>
      <c r="F926" s="76">
        <f>+'тура ака'!E914</f>
        <v>0</v>
      </c>
    </row>
    <row r="927" spans="1:6" x14ac:dyDescent="0.3">
      <c r="A927" s="1"/>
      <c r="B927" s="4">
        <v>2800000</v>
      </c>
      <c r="C927" s="75" t="s">
        <v>111</v>
      </c>
      <c r="D927" s="76"/>
      <c r="E927" s="5">
        <f>+'тура ака'!Q915</f>
        <v>495812</v>
      </c>
      <c r="F927" s="76" t="str">
        <f>+'тура ака'!E915</f>
        <v>919 мяхки т</v>
      </c>
    </row>
    <row r="928" spans="1:6" x14ac:dyDescent="0.3">
      <c r="A928" s="1"/>
      <c r="B928" s="4">
        <v>450000</v>
      </c>
      <c r="C928" s="75" t="s">
        <v>1735</v>
      </c>
      <c r="D928" s="76"/>
      <c r="E928" s="5">
        <f>+'тура ака'!Q916</f>
        <v>650832</v>
      </c>
      <c r="F928" s="76" t="str">
        <f>+'тура ака'!E916</f>
        <v>264 бекбод низом</v>
      </c>
    </row>
    <row r="929" spans="1:6" x14ac:dyDescent="0.3">
      <c r="A929" s="1"/>
      <c r="B929" s="4"/>
      <c r="C929" s="75"/>
      <c r="D929" s="76"/>
      <c r="E929" s="5">
        <f>+'тура ака'!Q917</f>
        <v>339798.79999999702</v>
      </c>
      <c r="F929" s="76" t="str">
        <f>+'тура ака'!E917</f>
        <v>277 мяхки чермет</v>
      </c>
    </row>
    <row r="930" spans="1:6" x14ac:dyDescent="0.3">
      <c r="A930" s="1"/>
      <c r="B930" s="4"/>
      <c r="C930" s="75"/>
      <c r="D930" s="76"/>
      <c r="E930" s="5">
        <v>1325000</v>
      </c>
      <c r="F930" s="76" t="s">
        <v>1755</v>
      </c>
    </row>
    <row r="931" spans="1:6" x14ac:dyDescent="0.3">
      <c r="A931" s="1"/>
      <c r="B931" s="4"/>
      <c r="C931" s="75"/>
      <c r="D931" s="76"/>
      <c r="E931" s="5">
        <v>1000000</v>
      </c>
      <c r="F931" s="76" t="s">
        <v>130</v>
      </c>
    </row>
    <row r="932" spans="1:6" x14ac:dyDescent="0.3">
      <c r="A932" s="1"/>
      <c r="B932" s="4"/>
      <c r="C932" s="75"/>
      <c r="D932" s="76"/>
      <c r="E932" s="174">
        <v>600000</v>
      </c>
      <c r="F932" s="175" t="s">
        <v>1356</v>
      </c>
    </row>
    <row r="933" spans="1:6" x14ac:dyDescent="0.3">
      <c r="A933" s="1" t="s">
        <v>1757</v>
      </c>
      <c r="B933" s="4">
        <v>1400000</v>
      </c>
      <c r="C933" s="75" t="s">
        <v>111</v>
      </c>
      <c r="D933" s="76" t="s">
        <v>1757</v>
      </c>
      <c r="E933" s="5">
        <f>+'тура ака'!Q921</f>
        <v>314806.39999999851</v>
      </c>
      <c r="F933" s="76" t="str">
        <f>+'тура ака'!E921</f>
        <v>408 бекобод ис</v>
      </c>
    </row>
    <row r="934" spans="1:6" x14ac:dyDescent="0.3">
      <c r="A934" s="1"/>
      <c r="B934" s="4">
        <v>1000000</v>
      </c>
      <c r="C934" s="75" t="s">
        <v>600</v>
      </c>
      <c r="D934" s="76"/>
      <c r="E934" s="5">
        <f>+'тура ака'!Q922</f>
        <v>753153</v>
      </c>
      <c r="F934" s="76" t="str">
        <f>+'тура ака'!E922</f>
        <v>210 мяхки т</v>
      </c>
    </row>
    <row r="935" spans="1:6" x14ac:dyDescent="0.3">
      <c r="A935" s="1"/>
      <c r="B935" s="4">
        <v>442851</v>
      </c>
      <c r="C935" s="75" t="s">
        <v>600</v>
      </c>
      <c r="D935" s="76"/>
      <c r="E935" s="5">
        <f>+'тура ака'!Q923</f>
        <v>470328</v>
      </c>
      <c r="F935" s="76" t="str">
        <f>+'тура ака'!E923</f>
        <v>377 бозор мяхки</v>
      </c>
    </row>
    <row r="936" spans="1:6" x14ac:dyDescent="0.3">
      <c r="A936" s="1" t="s">
        <v>1761</v>
      </c>
      <c r="B936" s="4">
        <v>650000</v>
      </c>
      <c r="C936" s="75" t="s">
        <v>1387</v>
      </c>
      <c r="D936" s="76"/>
      <c r="E936" s="5">
        <f>+'тура ака'!Q924</f>
        <v>1682240</v>
      </c>
      <c r="F936" s="76" t="str">
        <f>+'тура ака'!E924</f>
        <v>886 бекобод т</v>
      </c>
    </row>
    <row r="937" spans="1:6" x14ac:dyDescent="0.3">
      <c r="A937" s="1"/>
      <c r="B937" s="4">
        <v>3000000</v>
      </c>
      <c r="C937" s="75" t="s">
        <v>111</v>
      </c>
      <c r="D937" s="76"/>
      <c r="E937" s="5">
        <v>700000</v>
      </c>
      <c r="F937" s="76" t="s">
        <v>463</v>
      </c>
    </row>
    <row r="938" spans="1:6" x14ac:dyDescent="0.3">
      <c r="A938" s="1" t="s">
        <v>1767</v>
      </c>
      <c r="B938" s="4">
        <v>1200000</v>
      </c>
      <c r="C938" s="75" t="s">
        <v>111</v>
      </c>
      <c r="D938" s="76" t="s">
        <v>1761</v>
      </c>
      <c r="E938" s="5">
        <f>+'тура ака'!Q926</f>
        <v>3091104</v>
      </c>
      <c r="F938" s="76" t="str">
        <f>+'тура ака'!E926</f>
        <v>413 мяхки о</v>
      </c>
    </row>
    <row r="939" spans="1:6" x14ac:dyDescent="0.3">
      <c r="A939" s="1"/>
      <c r="B939" s="4">
        <v>207361</v>
      </c>
      <c r="C939" s="75" t="s">
        <v>1780</v>
      </c>
      <c r="D939" s="76"/>
      <c r="E939" s="5">
        <f>+'тура ака'!Q927</f>
        <v>1403116</v>
      </c>
      <c r="F939" s="76" t="str">
        <f>+'тура ака'!E927</f>
        <v xml:space="preserve">388 бекобод </v>
      </c>
    </row>
    <row r="940" spans="1:6" x14ac:dyDescent="0.3">
      <c r="A940" s="1" t="s">
        <v>1776</v>
      </c>
      <c r="B940" s="4">
        <v>1200000</v>
      </c>
      <c r="C940" s="75" t="s">
        <v>600</v>
      </c>
      <c r="D940" s="76"/>
      <c r="E940" s="5">
        <f>+'тура ака'!Q928</f>
        <v>0</v>
      </c>
      <c r="F940" s="76">
        <f>+'тура ака'!E928</f>
        <v>0</v>
      </c>
    </row>
    <row r="941" spans="1:6" x14ac:dyDescent="0.3">
      <c r="A941" s="1"/>
      <c r="B941" s="4"/>
      <c r="C941" s="75"/>
      <c r="D941" s="76" t="s">
        <v>1767</v>
      </c>
      <c r="E941" s="5">
        <f>+'тура ака'!Q929</f>
        <v>940987.5</v>
      </c>
      <c r="F941" s="76" t="str">
        <f>+'тура ака'!E929</f>
        <v>607 МЯХК ЕКО М</v>
      </c>
    </row>
    <row r="942" spans="1:6" x14ac:dyDescent="0.3">
      <c r="A942" s="1"/>
      <c r="B942" s="4"/>
      <c r="C942" s="75"/>
      <c r="D942" s="76"/>
      <c r="E942" s="5">
        <f>+'тура ака'!Q930</f>
        <v>431662.5</v>
      </c>
      <c r="F942" s="76" t="str">
        <f>+'тура ака'!E930</f>
        <v>074 МЯХК НОВ</v>
      </c>
    </row>
    <row r="943" spans="1:6" x14ac:dyDescent="0.3">
      <c r="A943" s="1"/>
      <c r="B943" s="4"/>
      <c r="C943" s="75"/>
      <c r="D943" s="76"/>
      <c r="E943" s="5">
        <f>+'тура ака'!Q931</f>
        <v>908975</v>
      </c>
      <c r="F943" s="76" t="str">
        <f>+'тура ака'!E931</f>
        <v>037 МЯХКИ ЛИСТ</v>
      </c>
    </row>
    <row r="944" spans="1:6" x14ac:dyDescent="0.3">
      <c r="A944" s="1"/>
      <c r="B944" s="4"/>
      <c r="C944" s="75"/>
      <c r="D944" s="76"/>
      <c r="E944" s="5">
        <f>+'тура ака'!Q932</f>
        <v>1051340</v>
      </c>
      <c r="F944" s="76" t="str">
        <f>+'тура ака'!E932</f>
        <v>267 МЯХКИ Т</v>
      </c>
    </row>
    <row r="945" spans="1:6" x14ac:dyDescent="0.3">
      <c r="A945" s="1"/>
      <c r="B945" s="4"/>
      <c r="C945" s="75"/>
      <c r="D945" s="76"/>
      <c r="E945" s="5">
        <v>2400000</v>
      </c>
      <c r="F945" s="76" t="s">
        <v>131</v>
      </c>
    </row>
    <row r="946" spans="1:6" x14ac:dyDescent="0.3">
      <c r="A946" s="1"/>
      <c r="B946" s="4"/>
      <c r="C946" s="75"/>
      <c r="D946" s="76"/>
      <c r="E946" s="5">
        <v>700000</v>
      </c>
      <c r="F946" s="76" t="s">
        <v>130</v>
      </c>
    </row>
    <row r="947" spans="1:6" x14ac:dyDescent="0.3">
      <c r="A947" s="1"/>
      <c r="B947" s="4"/>
      <c r="C947" s="75"/>
      <c r="D947" s="76"/>
      <c r="E947" s="218">
        <f>953550+79550</f>
        <v>1033100</v>
      </c>
      <c r="F947" s="219" t="s">
        <v>1356</v>
      </c>
    </row>
    <row r="948" spans="1:6" x14ac:dyDescent="0.3">
      <c r="A948" s="1"/>
      <c r="B948" s="4"/>
      <c r="C948" s="75"/>
      <c r="D948" s="76"/>
      <c r="E948" s="5">
        <f>+'тура ака'!Q936</f>
        <v>1235320</v>
      </c>
      <c r="F948" s="76" t="str">
        <f>+'тура ака'!E936</f>
        <v>889 достон</v>
      </c>
    </row>
    <row r="949" spans="1:6" x14ac:dyDescent="0.3">
      <c r="A949" s="1"/>
      <c r="B949" s="4"/>
      <c r="C949" s="75"/>
      <c r="D949" s="76" t="s">
        <v>1776</v>
      </c>
      <c r="E949" s="5">
        <f>+'тура ака'!Q937</f>
        <v>299685</v>
      </c>
      <c r="F949" s="76" t="str">
        <f>+'тура ака'!E937</f>
        <v>889 достон</v>
      </c>
    </row>
    <row r="950" spans="1:6" x14ac:dyDescent="0.3">
      <c r="A950" s="1"/>
      <c r="B950" s="4"/>
      <c r="C950" s="75"/>
      <c r="D950" s="76"/>
      <c r="E950" s="5">
        <f>+'тура ака'!Q938</f>
        <v>1662200</v>
      </c>
      <c r="F950" s="76" t="str">
        <f>+'тура ака'!E938</f>
        <v>388 мяхки ром</v>
      </c>
    </row>
    <row r="951" spans="1:6" x14ac:dyDescent="0.3">
      <c r="A951" s="1"/>
      <c r="B951" s="4"/>
      <c r="C951" s="75"/>
      <c r="D951" s="76"/>
      <c r="E951" s="5">
        <f>+'тура ака'!Q939</f>
        <v>1439056</v>
      </c>
      <c r="F951" s="76" t="str">
        <f>+'тура ака'!E939</f>
        <v>365 мяхк жондор т</v>
      </c>
    </row>
    <row r="952" spans="1:6" x14ac:dyDescent="0.3">
      <c r="A952" s="1"/>
      <c r="B952" s="4"/>
      <c r="C952" s="75"/>
      <c r="D952" s="76"/>
      <c r="E952" s="5">
        <f>+'тура ака'!Q940</f>
        <v>770108</v>
      </c>
      <c r="F952" s="76" t="str">
        <f>+'тура ака'!E940</f>
        <v>445 мяхк низ</v>
      </c>
    </row>
    <row r="953" spans="1:6" x14ac:dyDescent="0.3">
      <c r="A953" s="1" t="s">
        <v>1781</v>
      </c>
      <c r="B953" s="4">
        <f>1200000+120285</f>
        <v>1320285</v>
      </c>
      <c r="C953" s="75" t="s">
        <v>600</v>
      </c>
      <c r="D953" s="76"/>
      <c r="E953" s="5">
        <v>730250</v>
      </c>
      <c r="F953" s="76"/>
    </row>
    <row r="954" spans="1:6" x14ac:dyDescent="0.3">
      <c r="A954" s="1"/>
      <c r="B954" s="4">
        <f>700*12000</f>
        <v>8400000</v>
      </c>
      <c r="C954" s="75" t="s">
        <v>600</v>
      </c>
      <c r="D954" s="76" t="s">
        <v>1781</v>
      </c>
      <c r="E954" s="5">
        <f>+'тура ака'!Q942</f>
        <v>933930</v>
      </c>
      <c r="F954" s="76" t="str">
        <f>+'тура ака'!E942</f>
        <v>521 мяхки т</v>
      </c>
    </row>
    <row r="955" spans="1:6" x14ac:dyDescent="0.3">
      <c r="A955" s="1"/>
      <c r="B955" s="4"/>
      <c r="C955" s="75"/>
      <c r="D955" s="76"/>
      <c r="E955" s="5">
        <f>+'тура ака'!Q943</f>
        <v>1108160</v>
      </c>
      <c r="F955" s="76" t="str">
        <f>+'тура ака'!E943</f>
        <v>886 бекобод т</v>
      </c>
    </row>
    <row r="956" spans="1:6" x14ac:dyDescent="0.3">
      <c r="A956" s="1" t="s">
        <v>1791</v>
      </c>
      <c r="B956" s="4">
        <v>670000</v>
      </c>
      <c r="C956" s="75" t="s">
        <v>1795</v>
      </c>
      <c r="D956" s="76"/>
      <c r="E956" s="5">
        <f>+'тура ака'!Q944</f>
        <v>879027.5</v>
      </c>
      <c r="F956" s="76" t="str">
        <f>+'тура ака'!E944</f>
        <v>210 мяхк т гулистон</v>
      </c>
    </row>
    <row r="957" spans="1:6" x14ac:dyDescent="0.3">
      <c r="A957" s="1"/>
      <c r="B957" s="4">
        <v>2500000</v>
      </c>
      <c r="C957" s="75" t="s">
        <v>111</v>
      </c>
      <c r="D957" s="76"/>
      <c r="E957" s="5">
        <v>350000</v>
      </c>
      <c r="F957" s="76" t="s">
        <v>1038</v>
      </c>
    </row>
    <row r="958" spans="1:6" x14ac:dyDescent="0.3">
      <c r="A958" s="1"/>
      <c r="B958" s="4"/>
      <c r="C958" s="75"/>
      <c r="D958" s="76"/>
      <c r="E958" s="5">
        <v>12800</v>
      </c>
      <c r="F958" s="76">
        <f>+'тура ака'!E946</f>
        <v>0</v>
      </c>
    </row>
    <row r="959" spans="1:6" x14ac:dyDescent="0.3">
      <c r="A959" s="1"/>
      <c r="B959" s="4"/>
      <c r="C959" s="75"/>
      <c r="D959" s="76" t="s">
        <v>1794</v>
      </c>
      <c r="E959" s="5">
        <f>+'тура ака'!Q947</f>
        <v>1047843.75</v>
      </c>
      <c r="F959" s="76" t="str">
        <f>+'тура ака'!E947</f>
        <v>516 мяхк т</v>
      </c>
    </row>
    <row r="960" spans="1:6" x14ac:dyDescent="0.3">
      <c r="A960" s="1"/>
      <c r="B960" s="4"/>
      <c r="C960" s="75"/>
      <c r="D960" s="76"/>
      <c r="E960" s="5">
        <f>+'тура ака'!Q948</f>
        <v>1039700</v>
      </c>
      <c r="F960" s="76" t="str">
        <f>+'тура ака'!E948</f>
        <v>521 бекобод т</v>
      </c>
    </row>
    <row r="961" spans="1:6" x14ac:dyDescent="0.3">
      <c r="A961" s="1"/>
      <c r="B961" s="4"/>
      <c r="C961" s="75"/>
      <c r="D961" s="76"/>
      <c r="E961" s="5">
        <f>+'тура ака'!Q949</f>
        <v>1467959</v>
      </c>
      <c r="F961" s="76" t="str">
        <f>+'тура ака'!E949</f>
        <v>377 мяхк о</v>
      </c>
    </row>
    <row r="962" spans="1:6" x14ac:dyDescent="0.3">
      <c r="A962" s="1"/>
      <c r="B962" s="4">
        <v>376968</v>
      </c>
      <c r="C962" s="75" t="s">
        <v>600</v>
      </c>
      <c r="D962" s="76"/>
      <c r="E962" s="5">
        <f>+'тура ака'!Q950</f>
        <v>1156959</v>
      </c>
      <c r="F962" s="76" t="str">
        <f>+'тура ака'!E950</f>
        <v>537 мяхк еко</v>
      </c>
    </row>
    <row r="963" spans="1:6" x14ac:dyDescent="0.3">
      <c r="A963" s="1" t="s">
        <v>1796</v>
      </c>
      <c r="B963" s="4">
        <v>1300000</v>
      </c>
      <c r="C963" s="75" t="s">
        <v>111</v>
      </c>
      <c r="D963" s="76"/>
      <c r="E963" s="5">
        <f>+'тура ака'!Q951</f>
        <v>569555</v>
      </c>
      <c r="F963" s="76" t="str">
        <f>+'тура ака'!E951</f>
        <v>562 мяхки фармон</v>
      </c>
    </row>
    <row r="964" spans="1:6" x14ac:dyDescent="0.3">
      <c r="A964" s="1"/>
      <c r="B964" s="4">
        <v>1400000</v>
      </c>
      <c r="C964" s="75" t="s">
        <v>1799</v>
      </c>
      <c r="D964" s="76"/>
      <c r="E964" s="5">
        <f>+'тура ака'!Q952</f>
        <v>1216869.9999999963</v>
      </c>
      <c r="F964" s="76" t="str">
        <f>+'тура ака'!E952</f>
        <v>267 мяхк т</v>
      </c>
    </row>
    <row r="965" spans="1:6" x14ac:dyDescent="0.3">
      <c r="A965" s="1"/>
      <c r="B965" s="4">
        <v>2900000</v>
      </c>
      <c r="C965" s="75" t="s">
        <v>1800</v>
      </c>
      <c r="D965" s="76"/>
      <c r="E965" s="5">
        <f>+'тура ака'!Q953</f>
        <v>1238912</v>
      </c>
      <c r="F965" s="76" t="str">
        <f>+'тура ака'!E953</f>
        <v>463 мяхк когон</v>
      </c>
    </row>
    <row r="966" spans="1:6" x14ac:dyDescent="0.3">
      <c r="A966" s="1"/>
      <c r="B966" s="4">
        <v>600000</v>
      </c>
      <c r="C966" s="75" t="s">
        <v>1801</v>
      </c>
      <c r="D966" s="76"/>
      <c r="E966" s="5">
        <v>3500000</v>
      </c>
      <c r="F966" s="76" t="s">
        <v>129</v>
      </c>
    </row>
    <row r="967" spans="1:6" x14ac:dyDescent="0.3">
      <c r="A967" s="1"/>
      <c r="B967" s="4">
        <v>263069</v>
      </c>
      <c r="C967" s="75" t="s">
        <v>192</v>
      </c>
      <c r="D967" s="76" t="s">
        <v>1796</v>
      </c>
      <c r="E967" s="5">
        <v>1100000</v>
      </c>
      <c r="F967" s="76" t="s">
        <v>160</v>
      </c>
    </row>
    <row r="968" spans="1:6" x14ac:dyDescent="0.3">
      <c r="A968" s="1"/>
      <c r="B968" s="4">
        <v>1000000</v>
      </c>
      <c r="C968" s="75" t="s">
        <v>1802</v>
      </c>
      <c r="D968" s="76"/>
      <c r="E968" s="5">
        <f>+'тура ака'!Q956</f>
        <v>2243540</v>
      </c>
      <c r="F968" s="76" t="str">
        <f>+'тура ака'!E956</f>
        <v>210 мяхки т</v>
      </c>
    </row>
    <row r="969" spans="1:6" x14ac:dyDescent="0.3">
      <c r="A969" s="1" t="s">
        <v>1804</v>
      </c>
      <c r="B969" s="4">
        <v>2400000</v>
      </c>
      <c r="C969" s="75" t="s">
        <v>113</v>
      </c>
      <c r="D969" s="76"/>
      <c r="E969" s="5">
        <f>+'тура ака'!Q957</f>
        <v>0</v>
      </c>
      <c r="F969" s="76">
        <f>+'тура ака'!E957</f>
        <v>0</v>
      </c>
    </row>
    <row r="970" spans="1:6" x14ac:dyDescent="0.3">
      <c r="A970" s="1"/>
      <c r="B970" s="4">
        <v>1000000</v>
      </c>
      <c r="C970" s="75" t="s">
        <v>1808</v>
      </c>
      <c r="D970" s="76"/>
      <c r="E970" s="5">
        <f>+'тура ака'!Q958</f>
        <v>247299.19999999925</v>
      </c>
      <c r="F970" s="76" t="str">
        <f>+'тура ака'!E958</f>
        <v>725 бекобод олот</v>
      </c>
    </row>
    <row r="971" spans="1:6" x14ac:dyDescent="0.3">
      <c r="A971" s="1"/>
      <c r="B971" s="4">
        <v>1200000</v>
      </c>
      <c r="C971" s="75" t="s">
        <v>600</v>
      </c>
      <c r="D971" s="76"/>
      <c r="E971" s="5">
        <f>+'тура ака'!Q959</f>
        <v>1395650</v>
      </c>
      <c r="F971" s="76" t="str">
        <f>+'тура ака'!E959</f>
        <v>521 мяхки т</v>
      </c>
    </row>
    <row r="972" spans="1:6" x14ac:dyDescent="0.3">
      <c r="A972" s="1"/>
      <c r="B972" s="4">
        <v>3031868</v>
      </c>
      <c r="C972" s="75" t="s">
        <v>600</v>
      </c>
      <c r="D972" s="76"/>
      <c r="E972" s="5">
        <f>+'тура ака'!Q960</f>
        <v>1759616</v>
      </c>
      <c r="F972" s="76" t="str">
        <f>+'тура ака'!E960</f>
        <v>377 мяхк ром</v>
      </c>
    </row>
    <row r="973" spans="1:6" x14ac:dyDescent="0.3">
      <c r="A973" s="1"/>
      <c r="B973" s="4">
        <v>100000</v>
      </c>
      <c r="C973" s="75" t="s">
        <v>273</v>
      </c>
      <c r="D973" s="76"/>
      <c r="E973" s="5">
        <f>+'тура ака'!Q961</f>
        <v>-74412.5</v>
      </c>
      <c r="F973" s="76" t="str">
        <f>+'тура ака'!E961</f>
        <v>830 мяхк бех</v>
      </c>
    </row>
    <row r="974" spans="1:6" x14ac:dyDescent="0.3">
      <c r="A974" s="1" t="s">
        <v>1811</v>
      </c>
      <c r="B974" s="4">
        <v>200000</v>
      </c>
      <c r="C974" s="75" t="s">
        <v>1019</v>
      </c>
      <c r="D974" s="76"/>
      <c r="E974" s="5">
        <f>+'тура ака'!Q962</f>
        <v>202316.80000000075</v>
      </c>
      <c r="F974" s="76" t="str">
        <f>+'тура ака'!E962</f>
        <v>532 бекобод</v>
      </c>
    </row>
    <row r="975" spans="1:6" x14ac:dyDescent="0.3">
      <c r="A975" s="1"/>
      <c r="B975" s="4">
        <v>1100000</v>
      </c>
      <c r="C975" s="75" t="s">
        <v>160</v>
      </c>
      <c r="D975" s="76"/>
      <c r="E975" s="5">
        <v>82373</v>
      </c>
      <c r="F975" s="76">
        <f>+'тура ака'!E963</f>
        <v>0</v>
      </c>
    </row>
    <row r="976" spans="1:6" x14ac:dyDescent="0.3">
      <c r="A976" s="1"/>
      <c r="B976" s="4">
        <v>400000</v>
      </c>
      <c r="C976" s="75" t="s">
        <v>1814</v>
      </c>
      <c r="D976" s="76" t="s">
        <v>1811</v>
      </c>
      <c r="E976" s="5">
        <f>+'тура ака'!Q964</f>
        <v>1312232</v>
      </c>
      <c r="F976" s="76" t="str">
        <f>+'тура ака'!E964</f>
        <v>886 бекобод т</v>
      </c>
    </row>
    <row r="977" spans="1:6" x14ac:dyDescent="0.3">
      <c r="A977" s="1"/>
      <c r="B977" s="4">
        <v>200000</v>
      </c>
      <c r="C977" s="75" t="s">
        <v>1815</v>
      </c>
      <c r="D977" s="76"/>
      <c r="E977" s="5">
        <f>+'тура ака'!Q965</f>
        <v>1537225</v>
      </c>
      <c r="F977" s="76" t="str">
        <f>+'тура ака'!E965</f>
        <v>834 мяхки  нов</v>
      </c>
    </row>
    <row r="978" spans="1:6" x14ac:dyDescent="0.3">
      <c r="A978" s="1"/>
      <c r="B978" s="4">
        <v>42350</v>
      </c>
      <c r="C978" s="75" t="s">
        <v>1780</v>
      </c>
      <c r="D978" s="76"/>
      <c r="E978" s="5">
        <v>2600000</v>
      </c>
      <c r="F978" s="76" t="s">
        <v>129</v>
      </c>
    </row>
    <row r="979" spans="1:6" x14ac:dyDescent="0.3">
      <c r="A979" s="1" t="s">
        <v>1816</v>
      </c>
      <c r="B979" s="4">
        <v>800000</v>
      </c>
      <c r="C979" s="75" t="s">
        <v>600</v>
      </c>
      <c r="D979" s="76" t="s">
        <v>1816</v>
      </c>
      <c r="E979" s="5">
        <f>+'тура ака'!Q967</f>
        <v>1802896</v>
      </c>
      <c r="F979" s="76" t="str">
        <f>+'тура ака'!E967</f>
        <v>463 бек ром дос</v>
      </c>
    </row>
    <row r="980" spans="1:6" x14ac:dyDescent="0.3">
      <c r="A980" s="1"/>
      <c r="B980" s="4"/>
      <c r="C980" s="75"/>
      <c r="D980" s="76"/>
      <c r="E980" s="5">
        <f>+'тура ака'!Q968</f>
        <v>3573640</v>
      </c>
      <c r="F980" s="76" t="str">
        <f>+'тура ака'!E968</f>
        <v>574 мяхки т</v>
      </c>
    </row>
    <row r="981" spans="1:6" x14ac:dyDescent="0.3">
      <c r="A981" s="1"/>
      <c r="B981" s="4"/>
      <c r="C981" s="75"/>
      <c r="D981" s="76"/>
      <c r="E981" s="5">
        <f>+'тура ака'!Q969</f>
        <v>692738</v>
      </c>
      <c r="F981" s="76" t="str">
        <f>+'тура ака'!E969</f>
        <v>210 мяхки т</v>
      </c>
    </row>
    <row r="982" spans="1:6" x14ac:dyDescent="0.3">
      <c r="A982" s="1"/>
      <c r="B982" s="4"/>
      <c r="C982" s="75"/>
      <c r="D982" s="76"/>
      <c r="E982" s="5">
        <f>+'тура ака'!Q970</f>
        <v>1413568</v>
      </c>
      <c r="F982" s="76" t="str">
        <f>+'тура ака'!E970</f>
        <v>267 мяхки бл</v>
      </c>
    </row>
    <row r="983" spans="1:6" x14ac:dyDescent="0.3">
      <c r="A983" s="1"/>
      <c r="B983" s="4"/>
      <c r="C983" s="75"/>
      <c r="D983" s="76"/>
      <c r="E983" s="5">
        <v>1600000</v>
      </c>
      <c r="F983" s="76" t="s">
        <v>130</v>
      </c>
    </row>
    <row r="984" spans="1:6" x14ac:dyDescent="0.3">
      <c r="A984" s="1" t="s">
        <v>1822</v>
      </c>
      <c r="B984" s="4">
        <v>531607</v>
      </c>
      <c r="C984" s="75" t="s">
        <v>111</v>
      </c>
      <c r="D984" s="76" t="s">
        <v>1822</v>
      </c>
      <c r="E984" s="174">
        <v>2000000</v>
      </c>
      <c r="F984" s="175" t="s">
        <v>1836</v>
      </c>
    </row>
    <row r="985" spans="1:6" x14ac:dyDescent="0.3">
      <c r="A985" s="1"/>
      <c r="B985" s="4">
        <v>1092000</v>
      </c>
      <c r="C985" s="75" t="s">
        <v>600</v>
      </c>
      <c r="D985" s="76"/>
      <c r="E985" s="5">
        <f>+'тура ака'!Q973</f>
        <v>624765</v>
      </c>
      <c r="F985" s="76" t="str">
        <f>+'тура ака'!E973</f>
        <v>099 азик</v>
      </c>
    </row>
    <row r="986" spans="1:6" x14ac:dyDescent="0.3">
      <c r="A986" s="1"/>
      <c r="B986" s="4"/>
      <c r="C986" s="75"/>
      <c r="D986" s="76"/>
      <c r="E986" s="5">
        <f>+'тура ака'!Q974</f>
        <v>3283787.5</v>
      </c>
      <c r="F986" s="76" t="str">
        <f>+'тура ака'!E974</f>
        <v>445 мяхки низ</v>
      </c>
    </row>
    <row r="987" spans="1:6" x14ac:dyDescent="0.3">
      <c r="A987" s="1"/>
      <c r="B987" s="4"/>
      <c r="C987" s="75"/>
      <c r="D987" s="76"/>
      <c r="E987" s="5">
        <f>+'тура ака'!Q975</f>
        <v>-255829.99999999627</v>
      </c>
      <c r="F987" s="76" t="str">
        <f>+'тура ака'!E975</f>
        <v>103 мяхки олот</v>
      </c>
    </row>
    <row r="988" spans="1:6" x14ac:dyDescent="0.3">
      <c r="A988" s="1"/>
      <c r="B988" s="4"/>
      <c r="C988" s="75"/>
      <c r="D988" s="76"/>
      <c r="E988" s="5">
        <f>+'тура ака'!Q976</f>
        <v>1552576</v>
      </c>
      <c r="F988" s="76" t="str">
        <f>+'тура ака'!E976</f>
        <v>011 мяхки хасан</v>
      </c>
    </row>
    <row r="989" spans="1:6" x14ac:dyDescent="0.3">
      <c r="A989" s="1"/>
      <c r="B989" s="4"/>
      <c r="C989" s="75"/>
      <c r="D989" s="76"/>
      <c r="E989" s="5">
        <f>+'тура ака'!Q977</f>
        <v>1672260</v>
      </c>
      <c r="F989" s="76" t="str">
        <f>+'тура ака'!E977</f>
        <v>562 мяхки арматур</v>
      </c>
    </row>
    <row r="990" spans="1:6" x14ac:dyDescent="0.3">
      <c r="A990" s="1"/>
      <c r="B990" s="4"/>
      <c r="C990" s="75"/>
      <c r="D990" s="76"/>
      <c r="E990" s="5">
        <f>+'тура ака'!Q978</f>
        <v>1004000</v>
      </c>
      <c r="F990" s="76" t="str">
        <f>+'тура ака'!E978</f>
        <v>377 мяхки навои</v>
      </c>
    </row>
    <row r="991" spans="1:6" x14ac:dyDescent="0.3">
      <c r="A991" s="1"/>
      <c r="B991" s="4"/>
      <c r="C991" s="75"/>
      <c r="D991" s="76"/>
      <c r="E991" s="5">
        <f>+'тура ака'!Q979</f>
        <v>1564795</v>
      </c>
      <c r="F991" s="76" t="str">
        <f>+'тура ака'!E979</f>
        <v>226 мяхки асли</v>
      </c>
    </row>
    <row r="992" spans="1:6" x14ac:dyDescent="0.3">
      <c r="A992" s="1"/>
      <c r="B992" s="4"/>
      <c r="C992" s="75"/>
      <c r="D992" s="76"/>
      <c r="E992" s="5">
        <f>+'тура ака'!Q980</f>
        <v>1661590</v>
      </c>
      <c r="F992" s="76" t="str">
        <f>+'тура ака'!E980</f>
        <v>834 мяхки т</v>
      </c>
    </row>
    <row r="993" spans="1:6" x14ac:dyDescent="0.3">
      <c r="A993" s="1"/>
      <c r="B993" s="4"/>
      <c r="C993" s="75"/>
      <c r="D993" s="76"/>
      <c r="E993" s="5">
        <f>+'тура ака'!Q981</f>
        <v>991000</v>
      </c>
      <c r="F993" s="76" t="str">
        <f>+'тура ака'!E981</f>
        <v>521 мяхки арматура</v>
      </c>
    </row>
    <row r="994" spans="1:6" x14ac:dyDescent="0.3">
      <c r="A994" s="1"/>
      <c r="B994" s="4"/>
      <c r="C994" s="75"/>
      <c r="D994" s="76"/>
      <c r="E994" s="5">
        <v>6600000</v>
      </c>
      <c r="F994" s="76" t="s">
        <v>129</v>
      </c>
    </row>
    <row r="995" spans="1:6" x14ac:dyDescent="0.3">
      <c r="A995" s="1" t="s">
        <v>1840</v>
      </c>
      <c r="B995" s="4">
        <v>10665000</v>
      </c>
      <c r="C995" s="75" t="s">
        <v>1854</v>
      </c>
      <c r="D995" s="76"/>
      <c r="E995" s="5">
        <v>1700000</v>
      </c>
      <c r="F995" s="76" t="s">
        <v>1836</v>
      </c>
    </row>
    <row r="996" spans="1:6" x14ac:dyDescent="0.3">
      <c r="A996" s="1"/>
      <c r="B996" s="171">
        <v>1200000</v>
      </c>
      <c r="C996" s="181" t="s">
        <v>738</v>
      </c>
      <c r="D996" s="76" t="s">
        <v>1840</v>
      </c>
      <c r="E996" s="5">
        <f>+'тура ака'!Q984</f>
        <v>2503680</v>
      </c>
      <c r="F996" s="76" t="str">
        <f>+'тура ака'!E984</f>
        <v>463 мяхк арматура н</v>
      </c>
    </row>
    <row r="997" spans="1:6" x14ac:dyDescent="0.3">
      <c r="A997" s="1"/>
      <c r="B997" s="4">
        <v>300000</v>
      </c>
      <c r="C997" s="75" t="s">
        <v>214</v>
      </c>
      <c r="D997" s="76"/>
      <c r="E997" s="5">
        <f>+'тура ака'!Q985</f>
        <v>2807340</v>
      </c>
      <c r="F997" s="76" t="str">
        <f>+'тура ака'!E985</f>
        <v>421 мяхк арматура н</v>
      </c>
    </row>
    <row r="998" spans="1:6" x14ac:dyDescent="0.3">
      <c r="A998" s="1"/>
      <c r="B998" s="4">
        <v>1000000</v>
      </c>
      <c r="C998" s="75" t="s">
        <v>111</v>
      </c>
      <c r="D998" s="76"/>
      <c r="E998" s="5">
        <f>+'тура ака'!Q986</f>
        <v>1486397.5</v>
      </c>
      <c r="F998" s="76" t="str">
        <f>+'тура ака'!E986</f>
        <v>545 мяхки</v>
      </c>
    </row>
    <row r="999" spans="1:6" x14ac:dyDescent="0.3">
      <c r="A999" s="1"/>
      <c r="B999" s="4"/>
      <c r="C999" s="75"/>
      <c r="D999" s="76"/>
      <c r="E999" s="5">
        <f>+'тура ака'!Q987</f>
        <v>1163640</v>
      </c>
      <c r="F999" s="76" t="str">
        <f>+'тура ака'!E987</f>
        <v>725 мяхк 0</v>
      </c>
    </row>
    <row r="1000" spans="1:6" x14ac:dyDescent="0.3">
      <c r="A1000" s="1"/>
      <c r="B1000" s="4"/>
      <c r="C1000" s="75"/>
      <c r="D1000" s="76"/>
      <c r="E1000" s="5">
        <f>+'тура ака'!Q988</f>
        <v>1732280</v>
      </c>
      <c r="F1000" s="76" t="str">
        <f>+'тура ака'!E988</f>
        <v>806 мяхк сан мав</v>
      </c>
    </row>
    <row r="1001" spans="1:6" x14ac:dyDescent="0.3">
      <c r="A1001" s="1"/>
      <c r="B1001" s="4"/>
      <c r="C1001" s="75"/>
      <c r="D1001" s="76"/>
      <c r="E1001" s="5">
        <f>+'тура ака'!Q989</f>
        <v>1090800</v>
      </c>
      <c r="F1001" s="76" t="str">
        <f>+'тура ака'!E989</f>
        <v>124 чугун голиб</v>
      </c>
    </row>
    <row r="1002" spans="1:6" x14ac:dyDescent="0.3">
      <c r="A1002" s="1"/>
      <c r="B1002" s="4"/>
      <c r="C1002" s="75"/>
      <c r="D1002" s="76"/>
      <c r="E1002" s="174">
        <v>1050000</v>
      </c>
      <c r="F1002" s="175" t="s">
        <v>1356</v>
      </c>
    </row>
    <row r="1003" spans="1:6" x14ac:dyDescent="0.3">
      <c r="A1003" s="1" t="s">
        <v>1853</v>
      </c>
      <c r="B1003" s="4">
        <v>300000</v>
      </c>
      <c r="C1003" s="75" t="s">
        <v>160</v>
      </c>
      <c r="D1003" s="76" t="s">
        <v>1853</v>
      </c>
      <c r="E1003" s="5">
        <f>+'тура ака'!Q991</f>
        <v>0</v>
      </c>
      <c r="F1003" s="76">
        <f>+'тура ака'!E991</f>
        <v>0</v>
      </c>
    </row>
    <row r="1004" spans="1:6" x14ac:dyDescent="0.3">
      <c r="A1004" s="1"/>
      <c r="B1004" s="4">
        <v>200000</v>
      </c>
      <c r="C1004" s="75" t="s">
        <v>1019</v>
      </c>
      <c r="D1004" s="76"/>
      <c r="E1004" s="5">
        <f>+'тура ака'!Q992</f>
        <v>-158408</v>
      </c>
      <c r="F1004" s="76" t="str">
        <f>+'тура ака'!E992</f>
        <v xml:space="preserve">  886 бекобод т</v>
      </c>
    </row>
    <row r="1005" spans="1:6" x14ac:dyDescent="0.3">
      <c r="A1005" s="1"/>
      <c r="B1005" s="4">
        <v>300000</v>
      </c>
      <c r="C1005" s="75" t="s">
        <v>193</v>
      </c>
      <c r="D1005" s="76"/>
      <c r="E1005" s="5">
        <f>+'тура ака'!Q993</f>
        <v>805389.89999999851</v>
      </c>
      <c r="F1005" s="76" t="str">
        <f>+'тура ака'!E993</f>
        <v>532 мяхки</v>
      </c>
    </row>
    <row r="1006" spans="1:6" x14ac:dyDescent="0.3">
      <c r="A1006" s="1"/>
      <c r="B1006" s="4">
        <v>300000</v>
      </c>
      <c r="C1006" s="75" t="s">
        <v>191</v>
      </c>
      <c r="D1006" s="76"/>
      <c r="E1006" s="5">
        <f>+'тура ака'!Q994</f>
        <v>1644006.6000000015</v>
      </c>
      <c r="F1006" s="76" t="str">
        <f>+'тура ака'!E994</f>
        <v>074 мяхк   мав сир</v>
      </c>
    </row>
    <row r="1007" spans="1:6" x14ac:dyDescent="0.3">
      <c r="A1007" s="1"/>
      <c r="B1007" s="4">
        <v>200000</v>
      </c>
      <c r="C1007" s="75" t="s">
        <v>1808</v>
      </c>
      <c r="D1007" s="76"/>
      <c r="E1007" s="5">
        <f>+'тура ака'!Q995</f>
        <v>-22617.5</v>
      </c>
      <c r="F1007" s="76" t="str">
        <f>+'тура ака'!E995</f>
        <v>130 мяхк нов</v>
      </c>
    </row>
    <row r="1008" spans="1:6" x14ac:dyDescent="0.3">
      <c r="A1008" s="1"/>
      <c r="B1008" s="4">
        <v>400000</v>
      </c>
      <c r="C1008" s="75" t="s">
        <v>134</v>
      </c>
      <c r="D1008" s="76"/>
      <c r="E1008" s="5">
        <f>+'тура ака'!Q996</f>
        <v>1628080</v>
      </c>
      <c r="F1008" s="76" t="str">
        <f>+'тура ака'!E996</f>
        <v>377 чугун</v>
      </c>
    </row>
    <row r="1009" spans="1:6" x14ac:dyDescent="0.3">
      <c r="A1009" s="1"/>
      <c r="B1009" s="227">
        <f>116*3000</f>
        <v>348000</v>
      </c>
      <c r="C1009" s="228" t="s">
        <v>1867</v>
      </c>
      <c r="D1009" s="76"/>
      <c r="E1009" s="5">
        <v>1200000</v>
      </c>
      <c r="F1009" s="76" t="s">
        <v>160</v>
      </c>
    </row>
    <row r="1010" spans="1:6" x14ac:dyDescent="0.3">
      <c r="A1010" s="1"/>
      <c r="B1010" s="4">
        <v>246858</v>
      </c>
      <c r="C1010" s="75" t="s">
        <v>600</v>
      </c>
      <c r="D1010" s="76"/>
      <c r="E1010" s="5">
        <v>1300000</v>
      </c>
      <c r="F1010" s="76" t="s">
        <v>1864</v>
      </c>
    </row>
    <row r="1011" spans="1:6" x14ac:dyDescent="0.3">
      <c r="A1011" s="1" t="s">
        <v>1869</v>
      </c>
      <c r="B1011" s="4">
        <v>300000</v>
      </c>
      <c r="C1011" s="75" t="s">
        <v>593</v>
      </c>
      <c r="D1011" s="76" t="s">
        <v>1869</v>
      </c>
      <c r="E1011" s="5">
        <v>54250</v>
      </c>
      <c r="F1011" s="76">
        <f>+'тура ака'!E999</f>
        <v>0</v>
      </c>
    </row>
    <row r="1012" spans="1:6" x14ac:dyDescent="0.3">
      <c r="A1012" s="1"/>
      <c r="B1012" s="4">
        <v>500000</v>
      </c>
      <c r="C1012" s="75" t="s">
        <v>371</v>
      </c>
      <c r="D1012" s="76"/>
      <c r="E1012" s="5">
        <f>+'тура ака'!Q1000</f>
        <v>3139150</v>
      </c>
      <c r="F1012" s="76" t="str">
        <f>+'тура ака'!E1000</f>
        <v>037 мяхк н</v>
      </c>
    </row>
    <row r="1013" spans="1:6" x14ac:dyDescent="0.3">
      <c r="A1013" s="1"/>
      <c r="B1013" s="4">
        <f>1750*11850</f>
        <v>20737500</v>
      </c>
      <c r="C1013" s="75" t="s">
        <v>1489</v>
      </c>
      <c r="D1013" s="76"/>
      <c r="E1013" s="5">
        <f>+'тура ака'!Q1001</f>
        <v>193719.99999999627</v>
      </c>
      <c r="F1013" s="76" t="str">
        <f>+'тура ака'!E1001</f>
        <v>099 чугун</v>
      </c>
    </row>
    <row r="1014" spans="1:6" x14ac:dyDescent="0.3">
      <c r="A1014" s="1"/>
      <c r="B1014" s="4">
        <v>677739</v>
      </c>
      <c r="C1014" s="75" t="s">
        <v>600</v>
      </c>
      <c r="D1014" s="76"/>
      <c r="E1014" s="5">
        <f>+'тура ака'!Q1002</f>
        <v>1813860</v>
      </c>
      <c r="F1014" s="76" t="str">
        <f>+'тура ака'!E1002</f>
        <v>870 арматура</v>
      </c>
    </row>
    <row r="1015" spans="1:6" x14ac:dyDescent="0.3">
      <c r="A1015" s="1" t="s">
        <v>1880</v>
      </c>
      <c r="B1015" s="4">
        <v>2000000</v>
      </c>
      <c r="C1015" s="75" t="s">
        <v>1886</v>
      </c>
      <c r="D1015" s="76"/>
      <c r="E1015" s="5">
        <f>+'тура ака'!Q1003</f>
        <v>1047520</v>
      </c>
      <c r="F1015" s="76" t="str">
        <f>+'тура ака'!E1003</f>
        <v xml:space="preserve">834 мяхки т </v>
      </c>
    </row>
    <row r="1016" spans="1:6" x14ac:dyDescent="0.3">
      <c r="A1016" s="1"/>
      <c r="B1016" s="4">
        <v>4400000</v>
      </c>
      <c r="C1016" s="75" t="s">
        <v>1888</v>
      </c>
      <c r="D1016" s="76"/>
      <c r="E1016" s="5">
        <f>+'тура ака'!Q1004</f>
        <v>0</v>
      </c>
      <c r="F1016" s="76" t="str">
        <f>+'тура ака'!E1004</f>
        <v>521 мяхк нов</v>
      </c>
    </row>
    <row r="1017" spans="1:6" x14ac:dyDescent="0.3">
      <c r="A1017" s="1"/>
      <c r="B1017" s="4">
        <v>800000</v>
      </c>
      <c r="C1017" s="75" t="s">
        <v>154</v>
      </c>
      <c r="D1017" s="76" t="s">
        <v>1880</v>
      </c>
      <c r="E1017" s="5">
        <f>+'тура ака'!Q1005</f>
        <v>-1365912</v>
      </c>
      <c r="F1017" s="76" t="str">
        <f>+'тура ака'!E1005</f>
        <v>521 бекобод т</v>
      </c>
    </row>
    <row r="1018" spans="1:6" x14ac:dyDescent="0.3">
      <c r="A1018" s="1"/>
      <c r="B1018" s="4">
        <v>400000</v>
      </c>
      <c r="C1018" s="75" t="s">
        <v>214</v>
      </c>
      <c r="D1018" s="76"/>
      <c r="E1018" s="5">
        <f>+'тура ака'!Q1006</f>
        <v>1771875</v>
      </c>
      <c r="F1018" s="76" t="str">
        <f>+'тура ака'!E1006</f>
        <v>975 арматура</v>
      </c>
    </row>
    <row r="1019" spans="1:6" x14ac:dyDescent="0.3">
      <c r="A1019" s="1"/>
      <c r="B1019" s="4">
        <v>300000</v>
      </c>
      <c r="C1019" s="75" t="s">
        <v>192</v>
      </c>
      <c r="D1019" s="76"/>
      <c r="E1019" s="5">
        <f>+'тура ака'!Q1007</f>
        <v>455943.60000000149</v>
      </c>
      <c r="F1019" s="76" t="str">
        <f>+'тура ака'!E1007</f>
        <v>210 бекободит</v>
      </c>
    </row>
    <row r="1020" spans="1:6" x14ac:dyDescent="0.3">
      <c r="A1020" s="1"/>
      <c r="B1020" s="4">
        <v>200000</v>
      </c>
      <c r="C1020" s="75" t="s">
        <v>806</v>
      </c>
      <c r="D1020" s="76"/>
      <c r="E1020" s="5">
        <f>+'тура ака'!Q1008</f>
        <v>1170355</v>
      </c>
      <c r="F1020" s="76" t="str">
        <f>+'тура ака'!E1008</f>
        <v>267 мяхки т</v>
      </c>
    </row>
    <row r="1021" spans="1:6" x14ac:dyDescent="0.3">
      <c r="A1021" s="1" t="s">
        <v>1895</v>
      </c>
      <c r="B1021" s="4">
        <v>7000000</v>
      </c>
      <c r="C1021" s="75" t="s">
        <v>1897</v>
      </c>
      <c r="D1021" s="76"/>
      <c r="E1021" s="5">
        <f>+'тура ака'!Q1009</f>
        <v>1423600</v>
      </c>
      <c r="F1021" s="76" t="str">
        <f>+'тура ака'!E1009</f>
        <v>919 мяхк еко</v>
      </c>
    </row>
    <row r="1022" spans="1:6" x14ac:dyDescent="0.3">
      <c r="A1022" s="1"/>
      <c r="B1022" s="4">
        <v>2000000</v>
      </c>
      <c r="C1022" s="75" t="s">
        <v>1905</v>
      </c>
      <c r="D1022" s="76"/>
      <c r="E1022" s="5">
        <v>1350000</v>
      </c>
      <c r="F1022" s="76" t="s">
        <v>1359</v>
      </c>
    </row>
    <row r="1023" spans="1:6" x14ac:dyDescent="0.3">
      <c r="A1023" s="1"/>
      <c r="B1023" s="4">
        <v>2200000</v>
      </c>
      <c r="C1023" s="75" t="s">
        <v>918</v>
      </c>
      <c r="D1023" s="76"/>
      <c r="E1023" s="174">
        <v>3076409</v>
      </c>
      <c r="F1023" s="175" t="s">
        <v>1586</v>
      </c>
    </row>
    <row r="1024" spans="1:6" x14ac:dyDescent="0.3">
      <c r="A1024" s="1"/>
      <c r="B1024" s="4">
        <v>2000000</v>
      </c>
      <c r="C1024" s="75" t="s">
        <v>113</v>
      </c>
      <c r="D1024" s="76"/>
      <c r="E1024" s="5">
        <v>2608000</v>
      </c>
      <c r="F1024" s="76" t="s">
        <v>273</v>
      </c>
    </row>
    <row r="1025" spans="1:6" x14ac:dyDescent="0.3">
      <c r="A1025" s="1"/>
      <c r="B1025" s="4">
        <v>14400000</v>
      </c>
      <c r="C1025" s="75" t="s">
        <v>1911</v>
      </c>
      <c r="D1025" s="76"/>
      <c r="E1025" s="5">
        <f>+'тура ака'!Q1013</f>
        <v>0</v>
      </c>
      <c r="F1025" s="76">
        <f>+'тура ака'!E1013</f>
        <v>0</v>
      </c>
    </row>
    <row r="1026" spans="1:6" x14ac:dyDescent="0.3">
      <c r="A1026" s="1"/>
      <c r="B1026" s="4">
        <v>873000</v>
      </c>
      <c r="C1026" s="75" t="s">
        <v>1917</v>
      </c>
      <c r="D1026" s="76" t="s">
        <v>1895</v>
      </c>
      <c r="E1026" s="5">
        <f>+'тура ака'!Q1014</f>
        <v>1200000</v>
      </c>
      <c r="F1026" s="76" t="str">
        <f>+'тура ака'!E1014</f>
        <v>226 МЯХКИ ШУРИК</v>
      </c>
    </row>
    <row r="1027" spans="1:6" x14ac:dyDescent="0.3">
      <c r="A1027" s="1"/>
      <c r="B1027" s="4"/>
      <c r="C1027" s="75"/>
      <c r="D1027" s="76"/>
      <c r="E1027" s="5">
        <f>+'тура ака'!Q1015</f>
        <v>1281340</v>
      </c>
      <c r="F1027" s="76" t="str">
        <f>+'тура ака'!E1015</f>
        <v>377 МЯХКИ ГУЛСТОН</v>
      </c>
    </row>
    <row r="1028" spans="1:6" x14ac:dyDescent="0.3">
      <c r="A1028" s="1"/>
      <c r="B1028" s="4"/>
      <c r="C1028" s="75"/>
      <c r="D1028" s="76"/>
      <c r="E1028" s="5">
        <v>27333000</v>
      </c>
      <c r="F1028" s="76" t="s">
        <v>750</v>
      </c>
    </row>
    <row r="1029" spans="1:6" x14ac:dyDescent="0.3">
      <c r="A1029" s="1"/>
      <c r="B1029" s="4"/>
      <c r="C1029" s="75"/>
      <c r="D1029" s="76"/>
      <c r="E1029" s="5">
        <v>5900000</v>
      </c>
      <c r="F1029" s="76" t="s">
        <v>779</v>
      </c>
    </row>
    <row r="1030" spans="1:6" x14ac:dyDescent="0.3">
      <c r="A1030" s="1"/>
      <c r="B1030" s="4"/>
      <c r="C1030" s="75"/>
      <c r="D1030" s="76"/>
      <c r="E1030" s="5">
        <v>1800000</v>
      </c>
      <c r="F1030" s="76" t="s">
        <v>1901</v>
      </c>
    </row>
    <row r="1031" spans="1:6" x14ac:dyDescent="0.3">
      <c r="A1031" s="1"/>
      <c r="B1031" s="4"/>
      <c r="C1031" s="75"/>
      <c r="D1031" s="76"/>
      <c r="E1031" s="5">
        <v>1835000</v>
      </c>
      <c r="F1031" s="76" t="s">
        <v>1903</v>
      </c>
    </row>
    <row r="1032" spans="1:6" x14ac:dyDescent="0.3">
      <c r="A1032" s="1"/>
      <c r="B1032" s="4"/>
      <c r="C1032" s="75"/>
      <c r="D1032" s="76"/>
      <c r="E1032" s="5">
        <v>5000000</v>
      </c>
      <c r="F1032" s="76" t="s">
        <v>449</v>
      </c>
    </row>
    <row r="1033" spans="1:6" x14ac:dyDescent="0.3">
      <c r="A1033" s="1"/>
      <c r="B1033" s="4"/>
      <c r="C1033" s="75"/>
      <c r="D1033" s="76"/>
      <c r="E1033" s="5">
        <v>4278000</v>
      </c>
      <c r="F1033" s="76" t="s">
        <v>449</v>
      </c>
    </row>
    <row r="1034" spans="1:6" x14ac:dyDescent="0.3">
      <c r="A1034" s="1" t="s">
        <v>1913</v>
      </c>
      <c r="B1034" s="4">
        <v>500000</v>
      </c>
      <c r="C1034" s="75" t="s">
        <v>1712</v>
      </c>
      <c r="D1034" s="76"/>
      <c r="E1034" s="5">
        <v>800000</v>
      </c>
      <c r="F1034" s="76" t="s">
        <v>449</v>
      </c>
    </row>
    <row r="1035" spans="1:6" x14ac:dyDescent="0.3">
      <c r="A1035" s="1"/>
      <c r="B1035" s="4">
        <v>300000</v>
      </c>
      <c r="C1035" s="75" t="s">
        <v>209</v>
      </c>
      <c r="D1035" s="76"/>
      <c r="E1035" s="5">
        <v>400000</v>
      </c>
      <c r="F1035" s="76" t="s">
        <v>1910</v>
      </c>
    </row>
    <row r="1036" spans="1:6" x14ac:dyDescent="0.3">
      <c r="A1036" s="1"/>
      <c r="B1036" s="4">
        <v>1500000</v>
      </c>
      <c r="C1036" s="75" t="s">
        <v>1498</v>
      </c>
      <c r="D1036" s="76"/>
      <c r="E1036" s="5">
        <f>+'тура ака'!Q1024</f>
        <v>0</v>
      </c>
      <c r="F1036" s="76">
        <f>+'тура ака'!E1024</f>
        <v>0</v>
      </c>
    </row>
    <row r="1037" spans="1:6" x14ac:dyDescent="0.3">
      <c r="A1037" s="1"/>
      <c r="B1037" s="4">
        <v>1000000</v>
      </c>
      <c r="C1037" s="75" t="s">
        <v>192</v>
      </c>
      <c r="D1037" s="76" t="s">
        <v>1913</v>
      </c>
      <c r="E1037" s="5">
        <f>+'тура ака'!Q1025</f>
        <v>838596.79999999702</v>
      </c>
      <c r="F1037" s="76" t="str">
        <f>+'тура ака'!E1025</f>
        <v>467 МЯХКИ  АРМА  80%</v>
      </c>
    </row>
    <row r="1038" spans="1:6" x14ac:dyDescent="0.3">
      <c r="A1038" s="1"/>
      <c r="B1038" s="4">
        <v>903050</v>
      </c>
      <c r="C1038" s="75" t="s">
        <v>600</v>
      </c>
      <c r="D1038" s="76"/>
      <c r="E1038" s="5">
        <f>+'тура ака'!Q1026</f>
        <v>899352</v>
      </c>
      <c r="F1038" s="76" t="str">
        <f>+'тура ака'!E1026</f>
        <v>325 бекобод еко</v>
      </c>
    </row>
    <row r="1039" spans="1:6" x14ac:dyDescent="0.3">
      <c r="A1039" s="1" t="s">
        <v>1918</v>
      </c>
      <c r="B1039" s="4">
        <v>600000</v>
      </c>
      <c r="C1039" s="75" t="s">
        <v>129</v>
      </c>
      <c r="D1039" s="76"/>
      <c r="E1039" s="5">
        <f>+'тура ака'!Q1027</f>
        <v>979270</v>
      </c>
      <c r="F1039" s="76" t="str">
        <f>+'тура ака'!E1027</f>
        <v>834 мяхки т</v>
      </c>
    </row>
    <row r="1040" spans="1:6" x14ac:dyDescent="0.3">
      <c r="A1040" s="1"/>
      <c r="B1040" s="4">
        <v>300000</v>
      </c>
      <c r="C1040" s="75" t="s">
        <v>273</v>
      </c>
      <c r="D1040" s="76"/>
      <c r="E1040" s="5">
        <f>+'тура ака'!Q1028</f>
        <v>1603580</v>
      </c>
      <c r="F1040" s="76" t="str">
        <f>+'тура ака'!E1028</f>
        <v>413 мяхки о</v>
      </c>
    </row>
    <row r="1041" spans="1:6" x14ac:dyDescent="0.3">
      <c r="A1041" s="1"/>
      <c r="B1041" s="4">
        <v>1000000</v>
      </c>
      <c r="C1041" s="75" t="s">
        <v>111</v>
      </c>
      <c r="D1041" s="76"/>
      <c r="E1041" s="5">
        <v>700000</v>
      </c>
      <c r="F1041" s="76" t="s">
        <v>130</v>
      </c>
    </row>
    <row r="1042" spans="1:6" x14ac:dyDescent="0.3">
      <c r="A1042" s="1"/>
      <c r="B1042" s="4">
        <v>2400000</v>
      </c>
      <c r="C1042" s="75" t="s">
        <v>1926</v>
      </c>
      <c r="D1042" s="76" t="s">
        <v>1918</v>
      </c>
      <c r="E1042" s="5">
        <v>6300000</v>
      </c>
      <c r="F1042" s="76" t="s">
        <v>129</v>
      </c>
    </row>
    <row r="1043" spans="1:6" x14ac:dyDescent="0.3">
      <c r="A1043" s="1" t="s">
        <v>1927</v>
      </c>
      <c r="B1043" s="4">
        <v>2400000</v>
      </c>
      <c r="C1043" s="75" t="s">
        <v>813</v>
      </c>
      <c r="D1043" s="76"/>
      <c r="E1043" s="5">
        <f>+'тура ака'!Q1031</f>
        <v>967480</v>
      </c>
      <c r="F1043" s="76" t="str">
        <f>+'тура ака'!E1031</f>
        <v>576 мяхки т еко</v>
      </c>
    </row>
    <row r="1044" spans="1:6" x14ac:dyDescent="0.3">
      <c r="A1044" s="1"/>
      <c r="B1044" s="4">
        <v>600000</v>
      </c>
      <c r="C1044" s="75" t="s">
        <v>1924</v>
      </c>
      <c r="D1044" s="76"/>
      <c r="E1044" s="5">
        <f>+'тура ака'!Q1032</f>
        <v>2177250</v>
      </c>
      <c r="F1044" s="76" t="str">
        <f>+'тура ака'!E1032</f>
        <v>545 мяхки т</v>
      </c>
    </row>
    <row r="1045" spans="1:6" x14ac:dyDescent="0.3">
      <c r="A1045" s="1"/>
      <c r="B1045" s="4">
        <v>900000</v>
      </c>
      <c r="C1045" s="75" t="s">
        <v>600</v>
      </c>
      <c r="D1045" s="76"/>
      <c r="E1045" s="5">
        <f>+'тура ака'!Q1033</f>
        <v>1353260</v>
      </c>
      <c r="F1045" s="76" t="str">
        <f>+'тура ака'!E1033</f>
        <v>395 мяхки ис</v>
      </c>
    </row>
    <row r="1046" spans="1:6" x14ac:dyDescent="0.3">
      <c r="A1046" s="1"/>
      <c r="B1046" s="4">
        <v>67370</v>
      </c>
      <c r="C1046" s="75"/>
      <c r="D1046" s="76"/>
      <c r="E1046" s="5">
        <v>1212635</v>
      </c>
      <c r="F1046" s="76" t="s">
        <v>1356</v>
      </c>
    </row>
    <row r="1047" spans="1:6" x14ac:dyDescent="0.3">
      <c r="A1047" s="1" t="s">
        <v>1939</v>
      </c>
      <c r="B1047" s="4">
        <v>1200000</v>
      </c>
      <c r="C1047" s="75" t="s">
        <v>600</v>
      </c>
      <c r="D1047" s="76"/>
      <c r="E1047" s="5">
        <v>700000</v>
      </c>
      <c r="F1047" s="76" t="s">
        <v>1938</v>
      </c>
    </row>
    <row r="1048" spans="1:6" x14ac:dyDescent="0.3">
      <c r="A1048" s="1"/>
      <c r="B1048" s="4">
        <v>488000</v>
      </c>
      <c r="C1048" s="75" t="s">
        <v>600</v>
      </c>
      <c r="D1048" s="76" t="s">
        <v>1927</v>
      </c>
      <c r="E1048" s="5">
        <f>+'тура ака'!Q1036</f>
        <v>2087040</v>
      </c>
      <c r="F1048" s="76" t="str">
        <f>+'тура ака'!E1036</f>
        <v>812 мяхки боб</v>
      </c>
    </row>
    <row r="1049" spans="1:6" x14ac:dyDescent="0.3">
      <c r="A1049" s="1"/>
      <c r="B1049" s="4"/>
      <c r="C1049" s="75"/>
      <c r="D1049" s="76"/>
      <c r="E1049" s="5">
        <f>+'тура ака'!Q1037</f>
        <v>1463936</v>
      </c>
      <c r="F1049" s="76" t="str">
        <f>+'тура ака'!E1037</f>
        <v>886 бекобод т</v>
      </c>
    </row>
    <row r="1050" spans="1:6" x14ac:dyDescent="0.3">
      <c r="A1050" s="1"/>
      <c r="B1050" s="4"/>
      <c r="C1050" s="75"/>
      <c r="D1050" s="76"/>
      <c r="E1050" s="5">
        <f>+'тура ака'!Q1038</f>
        <v>1156295</v>
      </c>
      <c r="F1050" s="76" t="str">
        <f>+'тура ака'!E1038</f>
        <v>099 мяхки ром</v>
      </c>
    </row>
    <row r="1051" spans="1:6" x14ac:dyDescent="0.3">
      <c r="A1051" s="1"/>
      <c r="B1051" s="4"/>
      <c r="C1051" s="75"/>
      <c r="D1051" s="76"/>
      <c r="E1051" s="5">
        <f>+'тура ака'!Q1039</f>
        <v>1435280</v>
      </c>
      <c r="F1051" s="76" t="str">
        <f>+'тура ака'!E1039</f>
        <v>445 мяхки пеш</v>
      </c>
    </row>
    <row r="1052" spans="1:6" x14ac:dyDescent="0.3">
      <c r="A1052" s="1"/>
      <c r="B1052" s="4"/>
      <c r="C1052" s="75"/>
      <c r="D1052" s="76"/>
      <c r="E1052" s="5">
        <f>+'тура ака'!Q1040</f>
        <v>1601600</v>
      </c>
      <c r="F1052" s="76" t="str">
        <f>+'тура ака'!E1040</f>
        <v>773 мяхки т</v>
      </c>
    </row>
    <row r="1053" spans="1:6" x14ac:dyDescent="0.3">
      <c r="A1053" s="1"/>
      <c r="B1053" s="4"/>
      <c r="C1053" s="75"/>
      <c r="D1053" s="76"/>
      <c r="E1053" s="5">
        <f>+'тура ака'!Q1041</f>
        <v>3100400</v>
      </c>
      <c r="F1053" s="76" t="str">
        <f>+'тура ака'!E1041</f>
        <v>421 мяхки ек</v>
      </c>
    </row>
    <row r="1054" spans="1:6" x14ac:dyDescent="0.3">
      <c r="A1054" s="1"/>
      <c r="B1054" s="4"/>
      <c r="C1054" s="75"/>
      <c r="D1054" s="76"/>
      <c r="E1054" s="5">
        <f>+'тура ака'!Q1042</f>
        <v>1039112</v>
      </c>
      <c r="F1054" s="76" t="str">
        <f>+'тура ака'!E1042</f>
        <v>267 мяхки т</v>
      </c>
    </row>
    <row r="1055" spans="1:6" x14ac:dyDescent="0.3">
      <c r="A1055" s="1"/>
      <c r="B1055" s="4"/>
      <c r="C1055" s="75"/>
      <c r="D1055" s="76"/>
      <c r="E1055" s="5">
        <f>+'тура ака'!Q1043</f>
        <v>2161500</v>
      </c>
      <c r="F1055" s="76" t="str">
        <f>+'тура ака'!E1043</f>
        <v>463 мяхки ис</v>
      </c>
    </row>
    <row r="1056" spans="1:6" x14ac:dyDescent="0.3">
      <c r="A1056" s="1"/>
      <c r="B1056" s="4"/>
      <c r="C1056" s="75"/>
      <c r="D1056" s="76"/>
      <c r="E1056" s="5">
        <f>+'тура ака'!Q1044</f>
        <v>1620410</v>
      </c>
      <c r="F1056" s="76" t="str">
        <f>+'тура ака'!E1044</f>
        <v>919 мяхки н</v>
      </c>
    </row>
    <row r="1057" spans="1:6" x14ac:dyDescent="0.3">
      <c r="A1057" s="1"/>
      <c r="B1057" s="4"/>
      <c r="C1057" s="75"/>
      <c r="D1057" s="76"/>
      <c r="E1057" s="5">
        <f>+'тура ака'!Q1045</f>
        <v>0</v>
      </c>
      <c r="F1057" s="76">
        <f>+'тура ака'!E1045</f>
        <v>0</v>
      </c>
    </row>
    <row r="1058" spans="1:6" x14ac:dyDescent="0.3">
      <c r="A1058" s="1"/>
      <c r="B1058" s="4"/>
      <c r="C1058" s="75"/>
      <c r="D1058" s="76"/>
      <c r="E1058" s="5">
        <f>+'тура ака'!Q1046</f>
        <v>0</v>
      </c>
      <c r="F1058" s="76">
        <f>+'тура ака'!E1046</f>
        <v>0</v>
      </c>
    </row>
    <row r="1059" spans="1:6" x14ac:dyDescent="0.3">
      <c r="A1059" s="1"/>
      <c r="B1059" s="4"/>
      <c r="C1059" s="75"/>
      <c r="D1059" s="76"/>
      <c r="E1059" s="5">
        <f>+'тура ака'!Q1047</f>
        <v>0</v>
      </c>
      <c r="F1059" s="76">
        <f>+'тура ака'!E1047</f>
        <v>0</v>
      </c>
    </row>
    <row r="1060" spans="1:6" x14ac:dyDescent="0.3">
      <c r="A1060" s="1"/>
      <c r="B1060" s="4"/>
      <c r="C1060" s="75"/>
      <c r="D1060" s="76"/>
      <c r="E1060" s="5">
        <f>+'тура ака'!Q1048</f>
        <v>0</v>
      </c>
      <c r="F1060" s="76">
        <f>+'тура ака'!E1048</f>
        <v>0</v>
      </c>
    </row>
    <row r="1061" spans="1:6" x14ac:dyDescent="0.3">
      <c r="A1061" s="1"/>
      <c r="B1061" s="4"/>
      <c r="C1061" s="75"/>
      <c r="D1061" s="76"/>
      <c r="E1061" s="5">
        <f>+'тура ака'!Q1049</f>
        <v>0</v>
      </c>
      <c r="F1061" s="76">
        <f>+'тура ака'!E1049</f>
        <v>0</v>
      </c>
    </row>
    <row r="1062" spans="1:6" x14ac:dyDescent="0.3">
      <c r="A1062" s="1"/>
      <c r="B1062" s="4"/>
      <c r="C1062" s="75"/>
      <c r="D1062" s="76"/>
      <c r="E1062" s="5">
        <f>+'тура ака'!Q1050</f>
        <v>0</v>
      </c>
      <c r="F1062" s="76">
        <f>+'тура ака'!E1050</f>
        <v>0</v>
      </c>
    </row>
    <row r="1063" spans="1:6" x14ac:dyDescent="0.3">
      <c r="A1063" s="1"/>
      <c r="B1063" s="4"/>
      <c r="C1063" s="75"/>
      <c r="D1063" s="76"/>
      <c r="E1063" s="5">
        <f>+'тура ака'!Q1051</f>
        <v>0</v>
      </c>
      <c r="F1063" s="76">
        <f>+'тура ака'!E1051</f>
        <v>0</v>
      </c>
    </row>
    <row r="1064" spans="1:6" x14ac:dyDescent="0.3">
      <c r="A1064" s="1"/>
      <c r="B1064" s="4"/>
      <c r="C1064" s="75"/>
      <c r="D1064" s="76"/>
      <c r="E1064" s="5">
        <f>+'тура ака'!Q1052</f>
        <v>0</v>
      </c>
      <c r="F1064" s="76">
        <f>+'тура ака'!E1052</f>
        <v>0</v>
      </c>
    </row>
    <row r="1065" spans="1:6" x14ac:dyDescent="0.3">
      <c r="A1065" s="1"/>
      <c r="B1065" s="4"/>
      <c r="C1065" s="75"/>
      <c r="D1065" s="76"/>
      <c r="E1065" s="5">
        <f>+'тура ака'!Q1053</f>
        <v>0</v>
      </c>
      <c r="F1065" s="76">
        <f>+'тура ака'!E1053</f>
        <v>0</v>
      </c>
    </row>
    <row r="1066" spans="1:6" x14ac:dyDescent="0.3">
      <c r="A1066" s="1"/>
      <c r="B1066" s="4"/>
      <c r="C1066" s="75"/>
      <c r="D1066" s="76"/>
      <c r="E1066" s="5">
        <f>+'тура ака'!Q1054</f>
        <v>0</v>
      </c>
      <c r="F1066" s="76">
        <f>+'тура ака'!E1054</f>
        <v>0</v>
      </c>
    </row>
    <row r="1067" spans="1:6" x14ac:dyDescent="0.3">
      <c r="A1067" s="1"/>
      <c r="B1067" s="4"/>
      <c r="C1067" s="75"/>
      <c r="D1067" s="76"/>
      <c r="E1067" s="5">
        <f>+'тура ака'!Q1055</f>
        <v>0</v>
      </c>
      <c r="F1067" s="76">
        <f>+'тура ака'!E1055</f>
        <v>0</v>
      </c>
    </row>
    <row r="1068" spans="1:6" x14ac:dyDescent="0.3">
      <c r="A1068" s="1"/>
      <c r="B1068" s="4"/>
      <c r="C1068" s="75"/>
      <c r="D1068" s="76"/>
      <c r="E1068" s="5">
        <f>+'тура ака'!Q1056</f>
        <v>0</v>
      </c>
      <c r="F1068" s="76">
        <f>+'тура ака'!E1056</f>
        <v>0</v>
      </c>
    </row>
    <row r="1069" spans="1:6" x14ac:dyDescent="0.3">
      <c r="A1069" s="1"/>
      <c r="B1069" s="4"/>
      <c r="C1069" s="75"/>
      <c r="D1069" s="76"/>
      <c r="E1069" s="5">
        <f>+'тура ака'!Q1057</f>
        <v>0</v>
      </c>
      <c r="F1069" s="76">
        <f>+'тура ака'!E1057</f>
        <v>0</v>
      </c>
    </row>
    <row r="1070" spans="1:6" x14ac:dyDescent="0.3">
      <c r="A1070" s="1"/>
      <c r="B1070" s="4"/>
      <c r="C1070" s="75"/>
      <c r="D1070" s="76"/>
      <c r="E1070" s="5">
        <f>+'тура ака'!Q1058</f>
        <v>0</v>
      </c>
      <c r="F1070" s="76">
        <f>+'тура ака'!E1058</f>
        <v>0</v>
      </c>
    </row>
    <row r="1071" spans="1:6" x14ac:dyDescent="0.3">
      <c r="A1071" s="1"/>
      <c r="B1071" s="4"/>
      <c r="C1071" s="75"/>
      <c r="D1071" s="76"/>
      <c r="E1071" s="5">
        <f>+'тура ака'!Q1059</f>
        <v>0</v>
      </c>
      <c r="F1071" s="76">
        <f>+'тура ака'!E1059</f>
        <v>0</v>
      </c>
    </row>
    <row r="1072" spans="1:6" x14ac:dyDescent="0.3">
      <c r="A1072" s="1"/>
      <c r="B1072" s="4"/>
      <c r="C1072" s="75"/>
      <c r="D1072" s="76"/>
      <c r="E1072" s="5">
        <f>+'тура ака'!Q1060</f>
        <v>0</v>
      </c>
      <c r="F1072" s="76">
        <f>+'тура ака'!E1060</f>
        <v>0</v>
      </c>
    </row>
    <row r="1073" spans="1:6" x14ac:dyDescent="0.3">
      <c r="A1073" s="1"/>
      <c r="B1073" s="4"/>
      <c r="C1073" s="75"/>
      <c r="D1073" s="76"/>
      <c r="E1073" s="5">
        <f>+'тура ака'!Q1061</f>
        <v>0</v>
      </c>
      <c r="F1073" s="76">
        <f>+'тура ака'!E1061</f>
        <v>0</v>
      </c>
    </row>
    <row r="1074" spans="1:6" x14ac:dyDescent="0.3">
      <c r="A1074" s="1"/>
      <c r="B1074" s="4"/>
      <c r="C1074" s="75"/>
      <c r="D1074" s="76"/>
      <c r="E1074" s="5">
        <f>+'тура ака'!Q1062</f>
        <v>0</v>
      </c>
      <c r="F1074" s="76">
        <f>+'тура ака'!E1062</f>
        <v>0</v>
      </c>
    </row>
    <row r="1075" spans="1:6" x14ac:dyDescent="0.3">
      <c r="A1075" s="1"/>
      <c r="B1075" s="4"/>
      <c r="C1075" s="75"/>
      <c r="D1075" s="76"/>
      <c r="E1075" s="5">
        <f>+'тура ака'!Q1063</f>
        <v>0</v>
      </c>
      <c r="F1075" s="76">
        <f>+'тура ака'!E1063</f>
        <v>0</v>
      </c>
    </row>
    <row r="1076" spans="1:6" x14ac:dyDescent="0.3">
      <c r="A1076" s="1"/>
      <c r="B1076" s="4"/>
      <c r="C1076" s="75"/>
      <c r="D1076" s="76"/>
      <c r="E1076" s="5">
        <f>+'тура ака'!Q1064</f>
        <v>0</v>
      </c>
      <c r="F1076" s="76">
        <f>+'тура ака'!E1064</f>
        <v>0</v>
      </c>
    </row>
    <row r="1077" spans="1:6" x14ac:dyDescent="0.3">
      <c r="A1077" s="1"/>
      <c r="B1077" s="4"/>
      <c r="C1077" s="75"/>
      <c r="D1077" s="76"/>
      <c r="E1077" s="5">
        <f>+'тура ака'!Q1065</f>
        <v>0</v>
      </c>
      <c r="F1077" s="76">
        <f>+'тура ака'!E1065</f>
        <v>0</v>
      </c>
    </row>
    <row r="1078" spans="1:6" x14ac:dyDescent="0.3">
      <c r="A1078" s="1"/>
      <c r="B1078" s="4"/>
      <c r="C1078" s="75"/>
      <c r="D1078" s="76"/>
      <c r="E1078" s="5">
        <f>+'тура ака'!Q1066</f>
        <v>0</v>
      </c>
      <c r="F1078" s="76">
        <f>+'тура ака'!E1066</f>
        <v>0</v>
      </c>
    </row>
    <row r="1079" spans="1:6" x14ac:dyDescent="0.3">
      <c r="A1079" s="1"/>
      <c r="B1079" s="4"/>
      <c r="C1079" s="75"/>
      <c r="D1079" s="76"/>
      <c r="E1079" s="5">
        <f>+'тура ака'!Q1067</f>
        <v>0</v>
      </c>
      <c r="F1079" s="76">
        <f>+'тура ака'!E1067</f>
        <v>0</v>
      </c>
    </row>
    <row r="1080" spans="1:6" x14ac:dyDescent="0.3">
      <c r="A1080" s="1"/>
      <c r="B1080" s="4"/>
      <c r="C1080" s="75"/>
      <c r="D1080" s="76"/>
      <c r="E1080" s="5">
        <f>+'тура ака'!Q1068</f>
        <v>0</v>
      </c>
      <c r="F1080" s="76">
        <f>+'тура ака'!E1068</f>
        <v>0</v>
      </c>
    </row>
    <row r="1081" spans="1:6" x14ac:dyDescent="0.3">
      <c r="A1081" s="1"/>
      <c r="B1081" s="4"/>
      <c r="C1081" s="75"/>
      <c r="D1081" s="76"/>
      <c r="E1081" s="5">
        <f>+'тура ака'!Q1069</f>
        <v>0</v>
      </c>
      <c r="F1081" s="76">
        <f>+'тура ака'!E1069</f>
        <v>0</v>
      </c>
    </row>
    <row r="1082" spans="1:6" x14ac:dyDescent="0.3">
      <c r="A1082" s="1"/>
      <c r="B1082" s="4"/>
      <c r="C1082" s="75"/>
      <c r="D1082" s="76"/>
      <c r="E1082" s="5">
        <f>+'тура ака'!Q1070</f>
        <v>0</v>
      </c>
      <c r="F1082" s="76">
        <f>+'тура ака'!E1070</f>
        <v>0</v>
      </c>
    </row>
    <row r="1083" spans="1:6" x14ac:dyDescent="0.3">
      <c r="A1083" s="1"/>
      <c r="B1083" s="4"/>
      <c r="C1083" s="75"/>
      <c r="D1083" s="76"/>
      <c r="E1083" s="5">
        <f>+'тура ака'!Q1071</f>
        <v>0</v>
      </c>
      <c r="F1083" s="76">
        <f>+'тура ака'!E1071</f>
        <v>0</v>
      </c>
    </row>
    <row r="1084" spans="1:6" x14ac:dyDescent="0.3">
      <c r="A1084" s="1"/>
      <c r="B1084" s="4"/>
      <c r="C1084" s="75"/>
      <c r="D1084" s="76"/>
      <c r="E1084" s="5">
        <f>+'тура ака'!Q1072</f>
        <v>0</v>
      </c>
      <c r="F1084" s="76">
        <f>+'тура ака'!E1072</f>
        <v>0</v>
      </c>
    </row>
    <row r="1085" spans="1:6" x14ac:dyDescent="0.3">
      <c r="A1085" s="1"/>
      <c r="B1085" s="4"/>
      <c r="C1085" s="75"/>
      <c r="D1085" s="76"/>
      <c r="E1085" s="5">
        <f>+'тура ака'!Q1073</f>
        <v>0</v>
      </c>
      <c r="F1085" s="76">
        <f>+'тура ака'!E1073</f>
        <v>0</v>
      </c>
    </row>
    <row r="1086" spans="1:6" x14ac:dyDescent="0.3">
      <c r="A1086" s="1"/>
      <c r="B1086" s="4"/>
      <c r="C1086" s="75"/>
      <c r="D1086" s="76"/>
      <c r="E1086" s="5">
        <f>+'тура ака'!Q1074</f>
        <v>0</v>
      </c>
      <c r="F1086" s="76">
        <f>+'тура ака'!E1074</f>
        <v>0</v>
      </c>
    </row>
    <row r="1087" spans="1:6" x14ac:dyDescent="0.3">
      <c r="A1087" s="1"/>
      <c r="B1087" s="4"/>
      <c r="C1087" s="75"/>
      <c r="D1087" s="76"/>
      <c r="E1087" s="5">
        <f>+'тура ака'!Q1075</f>
        <v>0</v>
      </c>
      <c r="F1087" s="76">
        <f>+'тура ака'!E1075</f>
        <v>0</v>
      </c>
    </row>
    <row r="1088" spans="1:6" x14ac:dyDescent="0.3">
      <c r="A1088" s="1"/>
      <c r="B1088" s="4"/>
      <c r="C1088" s="75"/>
      <c r="D1088" s="76"/>
      <c r="E1088" s="5">
        <f>+'тура ака'!Q1076</f>
        <v>0</v>
      </c>
      <c r="F1088" s="76">
        <f>+'тура ака'!E1076</f>
        <v>0</v>
      </c>
    </row>
    <row r="1089" spans="1:6" x14ac:dyDescent="0.3">
      <c r="A1089" s="1"/>
      <c r="B1089" s="4"/>
      <c r="C1089" s="75"/>
      <c r="D1089" s="76"/>
      <c r="E1089" s="5">
        <f>+'тура ака'!Q1077</f>
        <v>0</v>
      </c>
      <c r="F1089" s="76">
        <f>+'тура ака'!E1077</f>
        <v>0</v>
      </c>
    </row>
    <row r="1090" spans="1:6" x14ac:dyDescent="0.3">
      <c r="A1090" s="1"/>
      <c r="B1090" s="4"/>
      <c r="C1090" s="75"/>
      <c r="D1090" s="76"/>
      <c r="E1090" s="5">
        <f>+'тура ака'!Q1078</f>
        <v>0</v>
      </c>
      <c r="F1090" s="76">
        <f>+'тура ака'!E1078</f>
        <v>0</v>
      </c>
    </row>
    <row r="1091" spans="1:6" x14ac:dyDescent="0.3">
      <c r="A1091" s="1"/>
      <c r="B1091" s="4"/>
      <c r="C1091" s="75"/>
      <c r="D1091" s="76"/>
      <c r="E1091" s="5">
        <f>+'тура ака'!Q1079</f>
        <v>0</v>
      </c>
      <c r="F1091" s="76">
        <f>+'тура ака'!E1079</f>
        <v>0</v>
      </c>
    </row>
    <row r="1092" spans="1:6" x14ac:dyDescent="0.3">
      <c r="A1092" s="1"/>
      <c r="B1092" s="4"/>
      <c r="C1092" s="75"/>
      <c r="D1092" s="76"/>
      <c r="E1092" s="5">
        <f>+'тура ака'!Q1080</f>
        <v>0</v>
      </c>
      <c r="F1092" s="76">
        <f>+'тура ака'!E1080</f>
        <v>0</v>
      </c>
    </row>
    <row r="1093" spans="1:6" x14ac:dyDescent="0.3">
      <c r="A1093" s="1"/>
      <c r="B1093" s="4"/>
      <c r="C1093" s="75"/>
      <c r="D1093" s="76"/>
      <c r="E1093" s="5">
        <f>+'тура ака'!Q1081</f>
        <v>0</v>
      </c>
      <c r="F1093" s="76">
        <f>+'тура ака'!E1081</f>
        <v>0</v>
      </c>
    </row>
    <row r="1094" spans="1:6" x14ac:dyDescent="0.3">
      <c r="A1094" s="1"/>
      <c r="B1094" s="4"/>
      <c r="C1094" s="75"/>
      <c r="D1094" s="76"/>
      <c r="E1094" s="5">
        <f>+'тура ака'!Q1082</f>
        <v>0</v>
      </c>
      <c r="F1094" s="76">
        <f>+'тура ака'!E1082</f>
        <v>0</v>
      </c>
    </row>
    <row r="1095" spans="1:6" x14ac:dyDescent="0.3">
      <c r="A1095" s="1"/>
      <c r="B1095" s="4"/>
      <c r="C1095" s="75"/>
      <c r="D1095" s="76"/>
      <c r="E1095" s="5">
        <f>+'тура ака'!Q1083</f>
        <v>0</v>
      </c>
      <c r="F1095" s="76">
        <f>+'тура ака'!E1083</f>
        <v>0</v>
      </c>
    </row>
    <row r="1096" spans="1:6" x14ac:dyDescent="0.3">
      <c r="A1096" s="1"/>
      <c r="B1096" s="4"/>
      <c r="C1096" s="75"/>
      <c r="D1096" s="76"/>
      <c r="E1096" s="5">
        <f>+'тура ака'!Q1084</f>
        <v>0</v>
      </c>
      <c r="F1096" s="76">
        <f>+'тура ака'!E1084</f>
        <v>0</v>
      </c>
    </row>
    <row r="1097" spans="1:6" x14ac:dyDescent="0.3">
      <c r="A1097" s="1"/>
      <c r="B1097" s="4"/>
      <c r="C1097" s="75"/>
      <c r="D1097" s="76"/>
      <c r="E1097" s="5">
        <f>+'тура ака'!Q1085</f>
        <v>0</v>
      </c>
      <c r="F1097" s="76">
        <f>+'тура ака'!E1085</f>
        <v>0</v>
      </c>
    </row>
    <row r="1098" spans="1:6" x14ac:dyDescent="0.3">
      <c r="A1098" s="1"/>
      <c r="B1098" s="4"/>
      <c r="C1098" s="75"/>
      <c r="D1098" s="76"/>
      <c r="E1098" s="5">
        <f>+'тура ака'!Q1086</f>
        <v>0</v>
      </c>
      <c r="F1098" s="76">
        <f>+'тура ака'!E1086</f>
        <v>0</v>
      </c>
    </row>
    <row r="1099" spans="1:6" x14ac:dyDescent="0.3">
      <c r="A1099" s="1"/>
      <c r="B1099" s="4"/>
      <c r="C1099" s="75"/>
      <c r="D1099" s="76"/>
      <c r="E1099" s="5">
        <f>+'тура ака'!Q1087</f>
        <v>0</v>
      </c>
      <c r="F1099" s="76">
        <f>+'тура ака'!E1087</f>
        <v>0</v>
      </c>
    </row>
    <row r="1100" spans="1:6" x14ac:dyDescent="0.3">
      <c r="A1100" s="1"/>
      <c r="B1100" s="4"/>
      <c r="C1100" s="75"/>
      <c r="D1100" s="76"/>
      <c r="E1100" s="5">
        <f>+'тура ака'!Q1088</f>
        <v>0</v>
      </c>
      <c r="F1100" s="76">
        <f>+'тура ака'!E1088</f>
        <v>0</v>
      </c>
    </row>
    <row r="1101" spans="1:6" x14ac:dyDescent="0.3">
      <c r="A1101" s="1"/>
      <c r="B1101" s="4"/>
      <c r="C1101" s="75"/>
      <c r="D1101" s="76"/>
      <c r="E1101" s="5">
        <f>+'тура ака'!Q1089</f>
        <v>0</v>
      </c>
      <c r="F1101" s="76">
        <f>+'тура ака'!E1089</f>
        <v>0</v>
      </c>
    </row>
    <row r="1102" spans="1:6" x14ac:dyDescent="0.3">
      <c r="A1102" s="1"/>
      <c r="B1102" s="4"/>
      <c r="C1102" s="75"/>
      <c r="D1102" s="76"/>
      <c r="E1102" s="5">
        <f>+'тура ака'!Q1090</f>
        <v>0</v>
      </c>
      <c r="F1102" s="76">
        <f>+'тура ака'!E1090</f>
        <v>0</v>
      </c>
    </row>
    <row r="1103" spans="1:6" x14ac:dyDescent="0.3">
      <c r="A1103" s="1"/>
      <c r="B1103" s="4"/>
      <c r="C1103" s="75"/>
      <c r="D1103" s="76"/>
      <c r="E1103" s="5">
        <f>+'тура ака'!Q1091</f>
        <v>0</v>
      </c>
      <c r="F1103" s="76">
        <f>+'тура ака'!E1091</f>
        <v>0</v>
      </c>
    </row>
    <row r="1104" spans="1:6" x14ac:dyDescent="0.3">
      <c r="A1104" s="1"/>
      <c r="B1104" s="4"/>
      <c r="C1104" s="75"/>
      <c r="D1104" s="76"/>
      <c r="E1104" s="5">
        <f>+'тура ака'!Q1092</f>
        <v>0</v>
      </c>
      <c r="F1104" s="76">
        <f>+'тура ака'!E1092</f>
        <v>0</v>
      </c>
    </row>
    <row r="1105" spans="1:6" x14ac:dyDescent="0.3">
      <c r="A1105" s="1"/>
      <c r="B1105" s="4"/>
      <c r="C1105" s="75"/>
      <c r="D1105" s="76"/>
      <c r="E1105" s="5">
        <f>+'тура ака'!Q1093</f>
        <v>0</v>
      </c>
      <c r="F1105" s="76">
        <f>+'тура ака'!E1093</f>
        <v>0</v>
      </c>
    </row>
    <row r="1106" spans="1:6" x14ac:dyDescent="0.3">
      <c r="A1106" s="1"/>
      <c r="B1106" s="4"/>
      <c r="C1106" s="75"/>
      <c r="D1106" s="76"/>
      <c r="E1106" s="5">
        <f>+'тура ака'!Q1094</f>
        <v>0</v>
      </c>
      <c r="F1106" s="76">
        <f>+'тура ака'!E1094</f>
        <v>0</v>
      </c>
    </row>
    <row r="1107" spans="1:6" x14ac:dyDescent="0.3">
      <c r="A1107" s="1"/>
      <c r="B1107" s="4"/>
      <c r="C1107" s="75"/>
      <c r="D1107" s="76"/>
      <c r="E1107" s="5">
        <f>+'тура ака'!Q1095</f>
        <v>0</v>
      </c>
      <c r="F1107" s="76">
        <f>+'тура ака'!E1095</f>
        <v>0</v>
      </c>
    </row>
    <row r="1108" spans="1:6" x14ac:dyDescent="0.3">
      <c r="A1108" s="1"/>
      <c r="B1108" s="4"/>
      <c r="C1108" s="75"/>
      <c r="D1108" s="76"/>
      <c r="E1108" s="5">
        <f>+'тура ака'!Q1096</f>
        <v>0</v>
      </c>
      <c r="F1108" s="76">
        <f>+'тура ака'!E1096</f>
        <v>0</v>
      </c>
    </row>
    <row r="1109" spans="1:6" x14ac:dyDescent="0.3">
      <c r="A1109" s="1"/>
      <c r="B1109" s="4"/>
      <c r="C1109" s="75"/>
      <c r="D1109" s="76"/>
      <c r="E1109" s="5">
        <f>+'тура ака'!Q1097</f>
        <v>0</v>
      </c>
      <c r="F1109" s="76">
        <f>+'тура ака'!E1097</f>
        <v>0</v>
      </c>
    </row>
    <row r="1110" spans="1:6" x14ac:dyDescent="0.3">
      <c r="A1110" s="1"/>
      <c r="B1110" s="4"/>
      <c r="C1110" s="75"/>
      <c r="D1110" s="76"/>
      <c r="E1110" s="5">
        <f>+'тура ака'!Q1098</f>
        <v>0</v>
      </c>
      <c r="F1110" s="76">
        <f>+'тура ака'!E1098</f>
        <v>0</v>
      </c>
    </row>
    <row r="1111" spans="1:6" x14ac:dyDescent="0.3">
      <c r="A1111" s="1"/>
      <c r="B1111" s="4"/>
      <c r="C1111" s="75"/>
      <c r="D1111" s="76"/>
      <c r="E1111" s="5">
        <f>+'тура ака'!Q1099</f>
        <v>0</v>
      </c>
      <c r="F1111" s="76">
        <f>+'тура ака'!E1099</f>
        <v>0</v>
      </c>
    </row>
    <row r="1112" spans="1:6" x14ac:dyDescent="0.3">
      <c r="A1112" s="1"/>
      <c r="B1112" s="4"/>
      <c r="C1112" s="75"/>
      <c r="D1112" s="76"/>
      <c r="E1112" s="5">
        <f>+'тура ака'!Q1100</f>
        <v>0</v>
      </c>
      <c r="F1112" s="76">
        <f>+'тура ака'!E1100</f>
        <v>0</v>
      </c>
    </row>
    <row r="1113" spans="1:6" x14ac:dyDescent="0.3">
      <c r="A1113" s="1"/>
      <c r="B1113" s="4"/>
      <c r="C1113" s="75"/>
      <c r="D1113" s="76"/>
      <c r="E1113" s="5">
        <f>+'тура ака'!Q1101</f>
        <v>0</v>
      </c>
      <c r="F1113" s="76">
        <f>+'тура ака'!E1101</f>
        <v>0</v>
      </c>
    </row>
    <row r="1114" spans="1:6" x14ac:dyDescent="0.3">
      <c r="A1114" s="1"/>
      <c r="B1114" s="4"/>
      <c r="C1114" s="75"/>
      <c r="D1114" s="76"/>
      <c r="E1114" s="5">
        <f>+'тура ака'!Q1102</f>
        <v>0</v>
      </c>
      <c r="F1114" s="76">
        <f>+'тура ака'!E1102</f>
        <v>0</v>
      </c>
    </row>
    <row r="1115" spans="1:6" x14ac:dyDescent="0.3">
      <c r="A1115" s="1"/>
      <c r="B1115" s="4"/>
      <c r="C1115" s="75"/>
      <c r="D1115" s="76"/>
      <c r="E1115" s="5">
        <f>+'тура ака'!Q1103</f>
        <v>0</v>
      </c>
      <c r="F1115" s="76">
        <f>+'тура ака'!E1103</f>
        <v>0</v>
      </c>
    </row>
    <row r="1116" spans="1:6" x14ac:dyDescent="0.3">
      <c r="A1116" s="1"/>
      <c r="B1116" s="4"/>
      <c r="C1116" s="75"/>
      <c r="D1116" s="76"/>
      <c r="E1116" s="5">
        <f>+'тура ака'!Q1104</f>
        <v>0</v>
      </c>
      <c r="F1116" s="76">
        <f>+'тура ака'!E1104</f>
        <v>0</v>
      </c>
    </row>
    <row r="1117" spans="1:6" x14ac:dyDescent="0.3">
      <c r="A1117" s="1"/>
      <c r="B1117" s="4"/>
      <c r="C1117" s="75"/>
      <c r="D1117" s="76"/>
      <c r="E1117" s="5">
        <f>+'тура ака'!Q1105</f>
        <v>0</v>
      </c>
      <c r="F1117" s="76">
        <f>+'тура ака'!E1105</f>
        <v>0</v>
      </c>
    </row>
    <row r="1118" spans="1:6" x14ac:dyDescent="0.3">
      <c r="A1118" s="1"/>
      <c r="B1118" s="4"/>
      <c r="C1118" s="75"/>
      <c r="D1118" s="76"/>
      <c r="E1118" s="5">
        <f>+'тура ака'!Q1106</f>
        <v>0</v>
      </c>
      <c r="F1118" s="76">
        <f>+'тура ака'!E1106</f>
        <v>0</v>
      </c>
    </row>
    <row r="1119" spans="1:6" x14ac:dyDescent="0.3">
      <c r="A1119" s="1"/>
      <c r="B1119" s="4"/>
      <c r="C1119" s="75"/>
      <c r="D1119" s="76"/>
      <c r="E1119" s="5">
        <f>+'тура ака'!Q1107</f>
        <v>0</v>
      </c>
      <c r="F1119" s="76">
        <f>+'тура ака'!E1107</f>
        <v>0</v>
      </c>
    </row>
    <row r="1120" spans="1:6" x14ac:dyDescent="0.3">
      <c r="A1120" s="1"/>
      <c r="B1120" s="4"/>
      <c r="C1120" s="75"/>
      <c r="D1120" s="76"/>
      <c r="E1120" s="5">
        <f>+'тура ака'!Q1108</f>
        <v>0</v>
      </c>
      <c r="F1120" s="76">
        <f>+'тура ака'!E1108</f>
        <v>0</v>
      </c>
    </row>
    <row r="1121" spans="1:6" x14ac:dyDescent="0.3">
      <c r="A1121" s="1"/>
      <c r="B1121" s="4"/>
      <c r="C1121" s="75"/>
      <c r="D1121" s="76"/>
      <c r="E1121" s="5">
        <f>+'тура ака'!Q1109</f>
        <v>0</v>
      </c>
      <c r="F1121" s="76">
        <f>+'тура ака'!E1109</f>
        <v>0</v>
      </c>
    </row>
    <row r="1122" spans="1:6" x14ac:dyDescent="0.3">
      <c r="A1122" s="1"/>
      <c r="B1122" s="4"/>
      <c r="C1122" s="75"/>
      <c r="D1122" s="76"/>
      <c r="E1122" s="5">
        <f>+'тура ака'!Q1110</f>
        <v>0</v>
      </c>
      <c r="F1122" s="76">
        <f>+'тура ака'!E1110</f>
        <v>0</v>
      </c>
    </row>
    <row r="1123" spans="1:6" x14ac:dyDescent="0.3">
      <c r="A1123" s="1"/>
      <c r="B1123" s="4"/>
      <c r="C1123" s="75"/>
      <c r="D1123" s="76"/>
      <c r="E1123" s="5">
        <f>+'тура ака'!Q1111</f>
        <v>0</v>
      </c>
      <c r="F1123" s="76">
        <f>+'тура ака'!E1111</f>
        <v>0</v>
      </c>
    </row>
    <row r="1124" spans="1:6" x14ac:dyDescent="0.3">
      <c r="A1124" s="1"/>
      <c r="B1124" s="4"/>
      <c r="C1124" s="75"/>
      <c r="D1124" s="76"/>
      <c r="E1124" s="5">
        <f>+'тура ака'!Q1112</f>
        <v>0</v>
      </c>
      <c r="F1124" s="76">
        <f>+'тура ака'!E1112</f>
        <v>0</v>
      </c>
    </row>
    <row r="1125" spans="1:6" x14ac:dyDescent="0.3">
      <c r="A1125" s="1"/>
      <c r="B1125" s="4"/>
      <c r="C1125" s="75"/>
      <c r="D1125" s="76"/>
      <c r="E1125" s="5">
        <f>+'тура ака'!Q1113</f>
        <v>0</v>
      </c>
      <c r="F1125" s="76">
        <f>+'тура ака'!E1113</f>
        <v>0</v>
      </c>
    </row>
    <row r="1126" spans="1:6" x14ac:dyDescent="0.3">
      <c r="A1126" s="1"/>
      <c r="B1126" s="4"/>
      <c r="C1126" s="75"/>
      <c r="D1126" s="76"/>
      <c r="E1126" s="5">
        <f>+'тура ака'!Q1114</f>
        <v>0</v>
      </c>
      <c r="F1126" s="76">
        <f>+'тура ака'!E1114</f>
        <v>0</v>
      </c>
    </row>
    <row r="1127" spans="1:6" x14ac:dyDescent="0.3">
      <c r="A1127" s="1"/>
      <c r="B1127" s="4"/>
      <c r="C1127" s="75"/>
      <c r="D1127" s="76"/>
      <c r="E1127" s="5">
        <f>+'тура ака'!Q1115</f>
        <v>0</v>
      </c>
      <c r="F1127" s="76">
        <f>+'тура ака'!E1115</f>
        <v>0</v>
      </c>
    </row>
    <row r="1128" spans="1:6" x14ac:dyDescent="0.3">
      <c r="A1128" s="1"/>
      <c r="B1128" s="4"/>
      <c r="C1128" s="75"/>
      <c r="D1128" s="76"/>
      <c r="E1128" s="5">
        <f>+'тура ака'!Q1116</f>
        <v>0</v>
      </c>
      <c r="F1128" s="76">
        <f>+'тура ака'!E1116</f>
        <v>0</v>
      </c>
    </row>
    <row r="1129" spans="1:6" x14ac:dyDescent="0.3">
      <c r="A1129" s="1"/>
      <c r="B1129" s="4"/>
      <c r="C1129" s="75"/>
      <c r="D1129" s="76"/>
      <c r="E1129" s="5">
        <f>+'тура ака'!Q1117</f>
        <v>0</v>
      </c>
      <c r="F1129" s="76">
        <f>+'тура ака'!E1117</f>
        <v>0</v>
      </c>
    </row>
    <row r="1130" spans="1:6" x14ac:dyDescent="0.3">
      <c r="A1130" s="1"/>
      <c r="B1130" s="4"/>
      <c r="C1130" s="75"/>
      <c r="D1130" s="76"/>
      <c r="E1130" s="5">
        <f>+'тура ака'!Q1118</f>
        <v>0</v>
      </c>
      <c r="F1130" s="76">
        <f>+'тура ака'!E1118</f>
        <v>0</v>
      </c>
    </row>
    <row r="1131" spans="1:6" x14ac:dyDescent="0.3">
      <c r="A1131" s="1"/>
      <c r="B1131" s="4"/>
      <c r="C1131" s="75"/>
      <c r="D1131" s="76"/>
      <c r="E1131" s="5">
        <f>+'тура ака'!Q1119</f>
        <v>0</v>
      </c>
      <c r="F1131" s="76">
        <f>+'тура ака'!E1119</f>
        <v>0</v>
      </c>
    </row>
    <row r="1132" spans="1:6" x14ac:dyDescent="0.3">
      <c r="A1132" s="1"/>
      <c r="B1132" s="4"/>
      <c r="C1132" s="75"/>
      <c r="D1132" s="76"/>
      <c r="E1132" s="5">
        <f>+'тура ака'!Q1120</f>
        <v>0</v>
      </c>
      <c r="F1132" s="76">
        <f>+'тура ака'!E1120</f>
        <v>0</v>
      </c>
    </row>
    <row r="1133" spans="1:6" x14ac:dyDescent="0.3">
      <c r="A1133" s="1"/>
      <c r="B1133" s="4"/>
      <c r="C1133" s="75"/>
      <c r="D1133" s="76"/>
      <c r="E1133" s="5">
        <f>+'тура ака'!Q1121</f>
        <v>0</v>
      </c>
      <c r="F1133" s="76">
        <f>+'тура ака'!E1121</f>
        <v>0</v>
      </c>
    </row>
    <row r="1134" spans="1:6" x14ac:dyDescent="0.3">
      <c r="A1134" s="1"/>
      <c r="B1134" s="4"/>
      <c r="C1134" s="75"/>
      <c r="D1134" s="76"/>
      <c r="E1134" s="5">
        <f>+'тура ака'!Q1122</f>
        <v>0</v>
      </c>
      <c r="F1134" s="76">
        <f>+'тура ака'!E1122</f>
        <v>0</v>
      </c>
    </row>
    <row r="1135" spans="1:6" x14ac:dyDescent="0.3">
      <c r="A1135" s="1"/>
      <c r="B1135" s="4"/>
      <c r="C1135" s="75"/>
      <c r="D1135" s="76"/>
      <c r="E1135" s="5">
        <f>+'тура ака'!Q1123</f>
        <v>0</v>
      </c>
      <c r="F1135" s="76">
        <f>+'тура ака'!E1123</f>
        <v>0</v>
      </c>
    </row>
    <row r="1136" spans="1:6" x14ac:dyDescent="0.3">
      <c r="A1136" s="1"/>
      <c r="B1136" s="4"/>
      <c r="C1136" s="75"/>
      <c r="D1136" s="76"/>
      <c r="E1136" s="5">
        <f>+'тура ака'!Q1124</f>
        <v>0</v>
      </c>
      <c r="F1136" s="76">
        <f>+'тура ака'!E1124</f>
        <v>0</v>
      </c>
    </row>
    <row r="1137" spans="1:6" x14ac:dyDescent="0.3">
      <c r="A1137" s="1"/>
      <c r="B1137" s="4"/>
      <c r="C1137" s="75"/>
      <c r="D1137" s="76"/>
      <c r="E1137" s="5">
        <f>+'тура ака'!Q1125</f>
        <v>0</v>
      </c>
      <c r="F1137" s="76">
        <f>+'тура ака'!E1125</f>
        <v>0</v>
      </c>
    </row>
    <row r="1138" spans="1:6" x14ac:dyDescent="0.3">
      <c r="A1138" s="1"/>
      <c r="B1138" s="4"/>
      <c r="C1138" s="75"/>
      <c r="D1138" s="76"/>
      <c r="E1138" s="5">
        <f>+'тура ака'!Q1126</f>
        <v>0</v>
      </c>
      <c r="F1138" s="76">
        <f>+'тура ака'!E1126</f>
        <v>0</v>
      </c>
    </row>
    <row r="1139" spans="1:6" x14ac:dyDescent="0.3">
      <c r="A1139" s="1"/>
      <c r="B1139" s="4"/>
      <c r="C1139" s="75"/>
      <c r="D1139" s="76"/>
      <c r="E1139" s="5">
        <f>+'тура ака'!Q1127</f>
        <v>0</v>
      </c>
      <c r="F1139" s="76">
        <f>+'тура ака'!E1127</f>
        <v>0</v>
      </c>
    </row>
    <row r="1140" spans="1:6" x14ac:dyDescent="0.3">
      <c r="A1140" s="1"/>
      <c r="B1140" s="4"/>
      <c r="C1140" s="75"/>
      <c r="D1140" s="76"/>
      <c r="E1140" s="5">
        <f>+'тура ака'!Q1128</f>
        <v>0</v>
      </c>
      <c r="F1140" s="76">
        <f>+'тура ака'!E1128</f>
        <v>0</v>
      </c>
    </row>
    <row r="1141" spans="1:6" x14ac:dyDescent="0.3">
      <c r="A1141" s="1"/>
      <c r="B1141" s="4"/>
      <c r="C1141" s="75"/>
      <c r="D1141" s="76"/>
      <c r="E1141" s="5">
        <f>+'тура ака'!Q1129</f>
        <v>0</v>
      </c>
      <c r="F1141" s="76">
        <f>+'тура ака'!E1129</f>
        <v>0</v>
      </c>
    </row>
    <row r="1142" spans="1:6" x14ac:dyDescent="0.3">
      <c r="A1142" s="1"/>
      <c r="B1142" s="4"/>
      <c r="C1142" s="75"/>
      <c r="D1142" s="76"/>
      <c r="E1142" s="5">
        <f>+'тура ака'!Q1130</f>
        <v>0</v>
      </c>
      <c r="F1142" s="76">
        <f>+'тура ака'!E1130</f>
        <v>0</v>
      </c>
    </row>
    <row r="1143" spans="1:6" x14ac:dyDescent="0.3">
      <c r="A1143" s="1"/>
      <c r="B1143" s="4"/>
      <c r="C1143" s="75"/>
      <c r="D1143" s="76"/>
      <c r="E1143" s="5">
        <f>+'тура ака'!Q1131</f>
        <v>0</v>
      </c>
      <c r="F1143" s="76">
        <f>+'тура ака'!E1131</f>
        <v>0</v>
      </c>
    </row>
    <row r="1144" spans="1:6" x14ac:dyDescent="0.3">
      <c r="A1144" s="1"/>
      <c r="B1144" s="4"/>
      <c r="C1144" s="75"/>
      <c r="D1144" s="76"/>
      <c r="E1144" s="5">
        <f>+'тура ака'!Q1132</f>
        <v>0</v>
      </c>
      <c r="F1144" s="76">
        <f>+'тура ака'!E1132</f>
        <v>0</v>
      </c>
    </row>
    <row r="1145" spans="1:6" x14ac:dyDescent="0.3">
      <c r="A1145" s="1"/>
      <c r="B1145" s="4"/>
      <c r="C1145" s="75"/>
      <c r="D1145" s="76"/>
      <c r="E1145" s="5">
        <f>+'тура ака'!Q1133</f>
        <v>0</v>
      </c>
      <c r="F1145" s="76">
        <f>+'тура ака'!E1133</f>
        <v>0</v>
      </c>
    </row>
    <row r="1146" spans="1:6" x14ac:dyDescent="0.3">
      <c r="A1146" s="1"/>
      <c r="B1146" s="4"/>
      <c r="C1146" s="75"/>
      <c r="D1146" s="76"/>
      <c r="E1146" s="5">
        <f>+'тура ака'!Q1134</f>
        <v>0</v>
      </c>
      <c r="F1146" s="76">
        <f>+'тура ака'!E1134</f>
        <v>0</v>
      </c>
    </row>
    <row r="1147" spans="1:6" x14ac:dyDescent="0.3">
      <c r="A1147" s="1"/>
      <c r="B1147" s="4"/>
      <c r="C1147" s="75"/>
      <c r="D1147" s="76"/>
      <c r="E1147" s="5">
        <f>+'тура ака'!Q1135</f>
        <v>0</v>
      </c>
      <c r="F1147" s="76">
        <f>+'тура ака'!E1135</f>
        <v>0</v>
      </c>
    </row>
    <row r="1148" spans="1:6" x14ac:dyDescent="0.3">
      <c r="A1148" s="1"/>
      <c r="B1148" s="4"/>
      <c r="C1148" s="75"/>
      <c r="D1148" s="76"/>
      <c r="E1148" s="5">
        <f>+'тура ака'!Q1136</f>
        <v>0</v>
      </c>
      <c r="F1148" s="76">
        <f>+'тура ака'!E1136</f>
        <v>0</v>
      </c>
    </row>
    <row r="1149" spans="1:6" x14ac:dyDescent="0.3">
      <c r="A1149" s="1"/>
      <c r="B1149" s="4"/>
      <c r="C1149" s="75"/>
      <c r="D1149" s="76"/>
      <c r="E1149" s="5">
        <f>+'тура ака'!Q1137</f>
        <v>0</v>
      </c>
      <c r="F1149" s="76">
        <f>+'тура ака'!E1137</f>
        <v>0</v>
      </c>
    </row>
    <row r="1150" spans="1:6" x14ac:dyDescent="0.3">
      <c r="A1150" s="1"/>
      <c r="B1150" s="4"/>
      <c r="C1150" s="75"/>
      <c r="D1150" s="76"/>
      <c r="E1150" s="5">
        <f>+'тура ака'!Q1138</f>
        <v>0</v>
      </c>
      <c r="F1150" s="76">
        <f>+'тура ака'!E1138</f>
        <v>0</v>
      </c>
    </row>
    <row r="1151" spans="1:6" x14ac:dyDescent="0.3">
      <c r="A1151" s="1"/>
      <c r="B1151" s="4"/>
      <c r="C1151" s="75"/>
      <c r="D1151" s="76"/>
      <c r="E1151" s="5">
        <f>+'тура ака'!Q1139</f>
        <v>0</v>
      </c>
      <c r="F1151" s="76">
        <f>+'тура ака'!E1139</f>
        <v>0</v>
      </c>
    </row>
    <row r="1152" spans="1:6" x14ac:dyDescent="0.3">
      <c r="A1152" s="1"/>
      <c r="B1152" s="4"/>
      <c r="C1152" s="75"/>
      <c r="D1152" s="76"/>
      <c r="E1152" s="5">
        <f>+'тура ака'!Q1140</f>
        <v>0</v>
      </c>
      <c r="F1152" s="76">
        <f>+'тура ака'!E1140</f>
        <v>0</v>
      </c>
    </row>
    <row r="1153" spans="1:6" x14ac:dyDescent="0.3">
      <c r="A1153" s="1"/>
      <c r="B1153" s="4"/>
      <c r="C1153" s="75"/>
      <c r="D1153" s="76"/>
      <c r="E1153" s="5">
        <f>+'тура ака'!Q1141</f>
        <v>0</v>
      </c>
      <c r="F1153" s="76">
        <f>+'тура ака'!E1141</f>
        <v>0</v>
      </c>
    </row>
    <row r="1154" spans="1:6" x14ac:dyDescent="0.3">
      <c r="A1154" s="1"/>
      <c r="B1154" s="4"/>
      <c r="C1154" s="75"/>
      <c r="D1154" s="76"/>
      <c r="E1154" s="5">
        <f>+'тура ака'!Q1142</f>
        <v>0</v>
      </c>
      <c r="F1154" s="76">
        <f>+'тура ака'!E1142</f>
        <v>0</v>
      </c>
    </row>
    <row r="1155" spans="1:6" x14ac:dyDescent="0.3">
      <c r="A1155" s="1"/>
      <c r="B1155" s="4"/>
      <c r="C1155" s="75"/>
      <c r="D1155" s="76"/>
      <c r="E1155" s="5">
        <f>+'тура ака'!Q1143</f>
        <v>0</v>
      </c>
      <c r="F1155" s="76">
        <f>+'тура ака'!E1143</f>
        <v>0</v>
      </c>
    </row>
    <row r="1156" spans="1:6" x14ac:dyDescent="0.3">
      <c r="A1156" s="1"/>
      <c r="B1156" s="4"/>
      <c r="C1156" s="75"/>
      <c r="D1156" s="76"/>
      <c r="E1156" s="5">
        <f>+'тура ака'!Q1144</f>
        <v>0</v>
      </c>
      <c r="F1156" s="76">
        <f>+'тура ака'!E1144</f>
        <v>0</v>
      </c>
    </row>
    <row r="1157" spans="1:6" x14ac:dyDescent="0.3">
      <c r="A1157" s="1"/>
      <c r="B1157" s="4"/>
      <c r="C1157" s="75"/>
      <c r="D1157" s="76"/>
      <c r="E1157" s="5"/>
      <c r="F1157" s="76">
        <f>+'тура ака'!E1145</f>
        <v>0</v>
      </c>
    </row>
    <row r="1158" spans="1:6" x14ac:dyDescent="0.3">
      <c r="A1158" s="1"/>
      <c r="B1158" s="4"/>
      <c r="C1158" s="75"/>
      <c r="D1158" s="76"/>
      <c r="E1158" s="5"/>
      <c r="F1158" s="76">
        <f>+'тура ака'!E1146</f>
        <v>0</v>
      </c>
    </row>
    <row r="1159" spans="1:6" x14ac:dyDescent="0.3">
      <c r="A1159" s="1"/>
      <c r="B1159" s="4"/>
      <c r="C1159" s="75"/>
      <c r="D1159" s="76"/>
      <c r="E1159" s="5"/>
      <c r="F1159" s="76">
        <f>+'тура ака'!E1147</f>
        <v>0</v>
      </c>
    </row>
    <row r="1160" spans="1:6" x14ac:dyDescent="0.3">
      <c r="A1160" s="1"/>
      <c r="B1160" s="4"/>
      <c r="C1160" s="75"/>
      <c r="D1160" s="76"/>
      <c r="E1160" s="5"/>
      <c r="F1160" s="76">
        <f>+'тура ака'!E1148</f>
        <v>0</v>
      </c>
    </row>
    <row r="1161" spans="1:6" x14ac:dyDescent="0.3">
      <c r="A1161" s="1"/>
      <c r="B1161" s="4"/>
      <c r="C1161" s="75"/>
      <c r="D1161" s="76"/>
      <c r="E1161" s="5"/>
      <c r="F1161" s="76">
        <f>+'тура ака'!E1149</f>
        <v>0</v>
      </c>
    </row>
    <row r="1162" spans="1:6" x14ac:dyDescent="0.3">
      <c r="A1162" s="1"/>
      <c r="B1162" s="4"/>
      <c r="C1162" s="75"/>
      <c r="D1162" s="76"/>
      <c r="E1162" s="5"/>
      <c r="F1162" s="76">
        <f>+'тура ака'!E1150</f>
        <v>0</v>
      </c>
    </row>
    <row r="1163" spans="1:6" x14ac:dyDescent="0.3">
      <c r="A1163" s="1"/>
      <c r="B1163" s="4"/>
      <c r="C1163" s="75"/>
      <c r="D1163" s="76"/>
      <c r="E1163" s="5"/>
      <c r="F1163" s="76">
        <f>+'тура ака'!E1151</f>
        <v>0</v>
      </c>
    </row>
    <row r="1164" spans="1:6" x14ac:dyDescent="0.3">
      <c r="A1164" s="1"/>
      <c r="B1164" s="4"/>
      <c r="C1164" s="75"/>
      <c r="D1164" s="76"/>
      <c r="E1164" s="5"/>
      <c r="F1164" s="76">
        <f>+'тура ака'!E1152</f>
        <v>0</v>
      </c>
    </row>
    <row r="1165" spans="1:6" x14ac:dyDescent="0.3">
      <c r="A1165" s="1"/>
      <c r="B1165" s="4"/>
      <c r="C1165" s="75"/>
      <c r="D1165" s="76"/>
      <c r="E1165" s="5"/>
      <c r="F1165" s="76">
        <f>+'тура ака'!E1153</f>
        <v>0</v>
      </c>
    </row>
    <row r="1166" spans="1:6" x14ac:dyDescent="0.3">
      <c r="A1166" s="1"/>
      <c r="B1166" s="4"/>
      <c r="C1166" s="75"/>
      <c r="D1166" s="76"/>
      <c r="E1166" s="5"/>
      <c r="F1166" s="76">
        <f>+'тура ака'!E1154</f>
        <v>0</v>
      </c>
    </row>
    <row r="1167" spans="1:6" x14ac:dyDescent="0.3">
      <c r="A1167" s="1"/>
      <c r="B1167" s="4"/>
      <c r="C1167" s="75"/>
      <c r="D1167" s="76"/>
      <c r="E1167" s="5"/>
      <c r="F1167" s="76">
        <f>+'тура ака'!E1155</f>
        <v>0</v>
      </c>
    </row>
    <row r="1168" spans="1:6" x14ac:dyDescent="0.3">
      <c r="A1168" s="1"/>
      <c r="B1168" s="4"/>
      <c r="C1168" s="75"/>
      <c r="D1168" s="76"/>
      <c r="E1168" s="5"/>
      <c r="F1168" s="76">
        <f>+'тура ака'!E1156</f>
        <v>0</v>
      </c>
    </row>
    <row r="1169" spans="1:6" x14ac:dyDescent="0.3">
      <c r="A1169" s="1"/>
      <c r="B1169" s="4"/>
      <c r="C1169" s="75"/>
      <c r="D1169" s="76"/>
      <c r="E1169" s="5"/>
      <c r="F1169" s="76">
        <f>+'тура ака'!E1157</f>
        <v>0</v>
      </c>
    </row>
    <row r="1170" spans="1:6" x14ac:dyDescent="0.3">
      <c r="A1170" s="1"/>
      <c r="B1170" s="4"/>
      <c r="C1170" s="75"/>
      <c r="D1170" s="76"/>
      <c r="E1170" s="5"/>
      <c r="F1170" s="76">
        <f>+'тура ака'!E1158</f>
        <v>0</v>
      </c>
    </row>
    <row r="1171" spans="1:6" x14ac:dyDescent="0.3">
      <c r="A1171" s="1"/>
      <c r="B1171" s="4"/>
      <c r="C1171" s="75"/>
      <c r="D1171" s="76"/>
      <c r="E1171" s="5"/>
      <c r="F1171" s="76">
        <f>+'тура ака'!E1159</f>
        <v>0</v>
      </c>
    </row>
    <row r="1172" spans="1:6" x14ac:dyDescent="0.3">
      <c r="A1172" s="1"/>
      <c r="B1172" s="4"/>
      <c r="C1172" s="75"/>
      <c r="D1172" s="76"/>
      <c r="E1172" s="5"/>
      <c r="F1172" s="76">
        <f>+'тура ака'!E1160</f>
        <v>0</v>
      </c>
    </row>
    <row r="1173" spans="1:6" x14ac:dyDescent="0.3">
      <c r="A1173" s="1"/>
      <c r="B1173" s="4"/>
      <c r="C1173" s="75"/>
      <c r="D1173" s="76"/>
      <c r="E1173" s="5"/>
      <c r="F1173" s="76">
        <f>+'тура ака'!E1161</f>
        <v>0</v>
      </c>
    </row>
    <row r="1174" spans="1:6" x14ac:dyDescent="0.3">
      <c r="A1174" s="1"/>
      <c r="B1174" s="4"/>
      <c r="C1174" s="75"/>
      <c r="D1174" s="76"/>
      <c r="E1174" s="5"/>
      <c r="F1174" s="76">
        <f>+'тура ака'!E1162</f>
        <v>0</v>
      </c>
    </row>
    <row r="1175" spans="1:6" x14ac:dyDescent="0.3">
      <c r="A1175" s="1"/>
      <c r="B1175" s="4"/>
      <c r="C1175" s="75"/>
      <c r="D1175" s="76"/>
      <c r="E1175" s="5"/>
      <c r="F1175" s="76">
        <f>+'тура ака'!E1163</f>
        <v>0</v>
      </c>
    </row>
    <row r="1176" spans="1:6" x14ac:dyDescent="0.3">
      <c r="A1176" s="1"/>
      <c r="B1176" s="4"/>
      <c r="C1176" s="75"/>
      <c r="D1176" s="76"/>
      <c r="E1176" s="5"/>
      <c r="F1176" s="76">
        <f>+'тура ака'!E1164</f>
        <v>0</v>
      </c>
    </row>
    <row r="1177" spans="1:6" x14ac:dyDescent="0.3">
      <c r="A1177" s="1"/>
      <c r="B1177" s="4"/>
      <c r="C1177" s="75"/>
      <c r="D1177" s="76"/>
      <c r="E1177" s="5"/>
      <c r="F1177" s="76">
        <f>+'тура ака'!E1165</f>
        <v>0</v>
      </c>
    </row>
    <row r="1178" spans="1:6" x14ac:dyDescent="0.3">
      <c r="A1178" s="1"/>
      <c r="B1178" s="4"/>
      <c r="C1178" s="75"/>
      <c r="D1178" s="76"/>
      <c r="E1178" s="5"/>
      <c r="F1178" s="76">
        <f>+'тура ака'!E1166</f>
        <v>0</v>
      </c>
    </row>
    <row r="1179" spans="1:6" x14ac:dyDescent="0.3">
      <c r="A1179" s="1"/>
      <c r="B1179" s="4"/>
      <c r="C1179" s="75"/>
      <c r="D1179" s="76"/>
      <c r="E1179" s="5"/>
      <c r="F1179" s="76">
        <f>+'тура ака'!E1167</f>
        <v>0</v>
      </c>
    </row>
    <row r="1180" spans="1:6" x14ac:dyDescent="0.3">
      <c r="A1180" s="1"/>
      <c r="B1180" s="4"/>
      <c r="C1180" s="75"/>
      <c r="D1180" s="76"/>
      <c r="E1180" s="5"/>
      <c r="F1180" s="76">
        <f>+'тура ака'!E1168</f>
        <v>0</v>
      </c>
    </row>
    <row r="1181" spans="1:6" x14ac:dyDescent="0.3">
      <c r="A1181" s="1"/>
      <c r="B1181" s="4"/>
      <c r="C1181" s="75"/>
      <c r="D1181" s="76"/>
      <c r="E1181" s="5"/>
      <c r="F1181" s="76">
        <f>+'тура ака'!E1169</f>
        <v>0</v>
      </c>
    </row>
    <row r="1182" spans="1:6" x14ac:dyDescent="0.3">
      <c r="A1182" s="1"/>
      <c r="B1182" s="4"/>
      <c r="C1182" s="75"/>
      <c r="D1182" s="76"/>
      <c r="E1182" s="5"/>
      <c r="F1182" s="76">
        <f>+'тура ака'!E1170</f>
        <v>0</v>
      </c>
    </row>
    <row r="1183" spans="1:6" x14ac:dyDescent="0.3">
      <c r="A1183" s="1"/>
      <c r="B1183" s="4"/>
      <c r="C1183" s="75"/>
      <c r="D1183" s="76"/>
      <c r="E1183" s="5"/>
      <c r="F1183" s="76">
        <f>+'тура ака'!E1171</f>
        <v>0</v>
      </c>
    </row>
    <row r="1184" spans="1:6" x14ac:dyDescent="0.3">
      <c r="A1184" s="1"/>
      <c r="B1184" s="4"/>
      <c r="C1184" s="75"/>
      <c r="D1184" s="76"/>
      <c r="E1184" s="5"/>
      <c r="F1184" s="76">
        <f>+'тура ака'!E1172</f>
        <v>0</v>
      </c>
    </row>
    <row r="1185" spans="1:6" x14ac:dyDescent="0.3">
      <c r="A1185" s="1"/>
      <c r="B1185" s="4"/>
      <c r="C1185" s="75"/>
      <c r="D1185" s="76"/>
      <c r="E1185" s="5"/>
      <c r="F1185" s="76">
        <f>+'тура ака'!E1173</f>
        <v>0</v>
      </c>
    </row>
    <row r="1186" spans="1:6" x14ac:dyDescent="0.3">
      <c r="A1186" s="1"/>
      <c r="B1186" s="4"/>
      <c r="C1186" s="75"/>
      <c r="D1186" s="76"/>
      <c r="E1186" s="5"/>
      <c r="F1186" s="76">
        <f>+'тура ака'!E1174</f>
        <v>0</v>
      </c>
    </row>
    <row r="1187" spans="1:6" x14ac:dyDescent="0.3">
      <c r="A1187" s="1"/>
      <c r="B1187" s="4"/>
      <c r="C1187" s="75"/>
      <c r="D1187" s="76"/>
      <c r="E1187" s="5"/>
      <c r="F1187" s="76">
        <f>+'тура ака'!E1175</f>
        <v>0</v>
      </c>
    </row>
    <row r="1188" spans="1:6" x14ac:dyDescent="0.3">
      <c r="A1188" s="1"/>
      <c r="B1188" s="4"/>
      <c r="C1188" s="75"/>
      <c r="D1188" s="76"/>
      <c r="E1188" s="5"/>
      <c r="F1188" s="76">
        <f>+'тура ака'!E1176</f>
        <v>0</v>
      </c>
    </row>
    <row r="1189" spans="1:6" x14ac:dyDescent="0.3">
      <c r="A1189" s="1"/>
      <c r="B1189" s="4"/>
      <c r="C1189" s="75"/>
      <c r="D1189" s="76"/>
      <c r="E1189" s="5"/>
      <c r="F1189" s="76">
        <f>+'тура ака'!E1177</f>
        <v>0</v>
      </c>
    </row>
    <row r="1190" spans="1:6" x14ac:dyDescent="0.3">
      <c r="A1190" s="1"/>
      <c r="B1190" s="4"/>
      <c r="C1190" s="75"/>
      <c r="D1190" s="76"/>
      <c r="E1190" s="5"/>
      <c r="F1190" s="76">
        <f>+'тура ака'!E1178</f>
        <v>0</v>
      </c>
    </row>
    <row r="1191" spans="1:6" x14ac:dyDescent="0.3">
      <c r="A1191" s="1"/>
      <c r="B1191" s="4"/>
      <c r="C1191" s="75"/>
      <c r="D1191" s="76"/>
      <c r="E1191" s="5"/>
      <c r="F1191" s="76">
        <f>+'тура ака'!E1179</f>
        <v>0</v>
      </c>
    </row>
    <row r="1192" spans="1:6" x14ac:dyDescent="0.3">
      <c r="A1192" s="1"/>
      <c r="B1192" s="4"/>
      <c r="C1192" s="75"/>
      <c r="D1192" s="76"/>
      <c r="E1192" s="5"/>
      <c r="F1192" s="76">
        <f>+'тура ака'!E1180</f>
        <v>0</v>
      </c>
    </row>
    <row r="1193" spans="1:6" x14ac:dyDescent="0.3">
      <c r="A1193" s="1"/>
      <c r="B1193" s="4"/>
      <c r="C1193" s="75"/>
      <c r="D1193" s="76"/>
      <c r="E1193" s="5"/>
      <c r="F1193" s="76">
        <f>+'тура ака'!E1181</f>
        <v>0</v>
      </c>
    </row>
    <row r="1194" spans="1:6" x14ac:dyDescent="0.3">
      <c r="A1194" s="1"/>
      <c r="B1194" s="4"/>
      <c r="C1194" s="75"/>
      <c r="D1194" s="76"/>
      <c r="E1194" s="5"/>
      <c r="F1194" s="76">
        <f>+'тура ака'!E1182</f>
        <v>0</v>
      </c>
    </row>
    <row r="1195" spans="1:6" x14ac:dyDescent="0.3">
      <c r="A1195" s="1"/>
      <c r="B1195" s="4"/>
      <c r="C1195" s="75"/>
      <c r="D1195" s="76"/>
      <c r="E1195" s="5"/>
      <c r="F1195" s="76">
        <f>+'тура ака'!E1183</f>
        <v>0</v>
      </c>
    </row>
    <row r="1196" spans="1:6" x14ac:dyDescent="0.3">
      <c r="A1196" s="1"/>
      <c r="B1196" s="4"/>
      <c r="C1196" s="75"/>
      <c r="D1196" s="76"/>
      <c r="E1196" s="5"/>
      <c r="F1196" s="76">
        <f>+'тура ака'!E1184</f>
        <v>0</v>
      </c>
    </row>
    <row r="1197" spans="1:6" x14ac:dyDescent="0.3">
      <c r="A1197" s="1"/>
      <c r="B1197" s="4"/>
      <c r="C1197" s="75"/>
      <c r="D1197" s="76"/>
      <c r="E1197" s="5"/>
      <c r="F1197" s="76">
        <f>+'тура ака'!E1185</f>
        <v>0</v>
      </c>
    </row>
    <row r="1198" spans="1:6" x14ac:dyDescent="0.3">
      <c r="A1198" s="1"/>
      <c r="B1198" s="4"/>
      <c r="C1198" s="75"/>
      <c r="D1198" s="76"/>
      <c r="E1198" s="5"/>
      <c r="F1198" s="76">
        <f>+'тура ака'!E1186</f>
        <v>0</v>
      </c>
    </row>
    <row r="1199" spans="1:6" x14ac:dyDescent="0.3">
      <c r="A1199" s="1"/>
      <c r="B1199" s="4"/>
      <c r="C1199" s="75"/>
      <c r="D1199" s="76"/>
      <c r="E1199" s="5"/>
      <c r="F1199" s="76">
        <f>+'тура ака'!E1187</f>
        <v>0</v>
      </c>
    </row>
    <row r="1200" spans="1:6" x14ac:dyDescent="0.3">
      <c r="A1200" s="1"/>
      <c r="B1200" s="4"/>
      <c r="C1200" s="75"/>
      <c r="D1200" s="76"/>
      <c r="E1200" s="5"/>
      <c r="F1200" s="76">
        <f>+'тура ака'!E1188</f>
        <v>0</v>
      </c>
    </row>
    <row r="1201" spans="1:6" x14ac:dyDescent="0.3">
      <c r="A1201" s="1"/>
      <c r="B1201" s="4"/>
      <c r="C1201" s="75"/>
      <c r="D1201" s="76"/>
      <c r="E1201" s="5"/>
      <c r="F1201" s="76">
        <f>+'тура ака'!E1189</f>
        <v>0</v>
      </c>
    </row>
    <row r="1202" spans="1:6" x14ac:dyDescent="0.3">
      <c r="A1202" s="1"/>
      <c r="B1202" s="4"/>
      <c r="C1202" s="75"/>
      <c r="D1202" s="76"/>
      <c r="E1202" s="5"/>
      <c r="F1202" s="76">
        <f>+'тура ака'!E1190</f>
        <v>0</v>
      </c>
    </row>
    <row r="1203" spans="1:6" x14ac:dyDescent="0.3">
      <c r="A1203" s="1"/>
      <c r="B1203" s="4"/>
      <c r="C1203" s="75"/>
      <c r="D1203" s="76"/>
      <c r="E1203" s="5"/>
      <c r="F1203" s="76">
        <f>+'тура ака'!E1191</f>
        <v>0</v>
      </c>
    </row>
    <row r="1204" spans="1:6" x14ac:dyDescent="0.3">
      <c r="A1204" s="1"/>
      <c r="B1204" s="4"/>
      <c r="C1204" s="75"/>
      <c r="D1204" s="76"/>
      <c r="E1204" s="5"/>
      <c r="F1204" s="76">
        <f>+'тура ака'!E1192</f>
        <v>0</v>
      </c>
    </row>
    <row r="1205" spans="1:6" x14ac:dyDescent="0.3">
      <c r="A1205" s="1"/>
      <c r="B1205" s="4"/>
      <c r="C1205" s="75"/>
      <c r="D1205" s="76"/>
      <c r="E1205" s="5"/>
      <c r="F1205" s="76">
        <f>+'тура ака'!E1193</f>
        <v>0</v>
      </c>
    </row>
    <row r="1206" spans="1:6" x14ac:dyDescent="0.3">
      <c r="A1206" s="1"/>
      <c r="B1206" s="4"/>
      <c r="C1206" s="75"/>
      <c r="D1206" s="76"/>
      <c r="E1206" s="5"/>
      <c r="F1206" s="76">
        <f>+'тура ака'!E1194</f>
        <v>0</v>
      </c>
    </row>
    <row r="1207" spans="1:6" x14ac:dyDescent="0.3">
      <c r="A1207" s="1"/>
      <c r="B1207" s="4"/>
      <c r="C1207" s="75"/>
      <c r="D1207" s="76"/>
      <c r="E1207" s="5"/>
      <c r="F1207" s="76">
        <f>+'тура ака'!E1195</f>
        <v>0</v>
      </c>
    </row>
    <row r="1208" spans="1:6" x14ac:dyDescent="0.3">
      <c r="A1208" s="1"/>
      <c r="B1208" s="4"/>
      <c r="C1208" s="75"/>
      <c r="D1208" s="76"/>
      <c r="E1208" s="5"/>
      <c r="F1208" s="76">
        <f>+'тура ака'!E1196</f>
        <v>0</v>
      </c>
    </row>
    <row r="1209" spans="1:6" x14ac:dyDescent="0.3">
      <c r="A1209" s="1"/>
      <c r="B1209" s="4"/>
      <c r="C1209" s="75"/>
      <c r="D1209" s="76"/>
      <c r="E1209" s="5"/>
      <c r="F1209" s="76">
        <f>+'тура ака'!E1197</f>
        <v>0</v>
      </c>
    </row>
    <row r="1210" spans="1:6" x14ac:dyDescent="0.3">
      <c r="A1210" s="1"/>
      <c r="B1210" s="4"/>
      <c r="C1210" s="75"/>
      <c r="D1210" s="76"/>
      <c r="E1210" s="5"/>
      <c r="F1210" s="76">
        <f>+'тура ака'!E1198</f>
        <v>0</v>
      </c>
    </row>
    <row r="1211" spans="1:6" x14ac:dyDescent="0.3">
      <c r="A1211" s="1"/>
      <c r="B1211" s="4"/>
      <c r="C1211" s="75"/>
      <c r="D1211" s="76"/>
      <c r="E1211" s="5"/>
      <c r="F1211" s="76">
        <f>+'тура ака'!E1199</f>
        <v>0</v>
      </c>
    </row>
    <row r="1212" spans="1:6" x14ac:dyDescent="0.3">
      <c r="A1212" s="1"/>
      <c r="B1212" s="4"/>
      <c r="C1212" s="75"/>
      <c r="D1212" s="76"/>
      <c r="E1212" s="5"/>
      <c r="F1212" s="76">
        <f>+'тура ака'!E1200</f>
        <v>0</v>
      </c>
    </row>
    <row r="1213" spans="1:6" x14ac:dyDescent="0.3">
      <c r="A1213" s="1"/>
      <c r="B1213" s="4"/>
      <c r="C1213" s="75"/>
      <c r="D1213" s="76"/>
      <c r="E1213" s="5"/>
      <c r="F1213" s="76">
        <f>+'тура ака'!E1201</f>
        <v>0</v>
      </c>
    </row>
    <row r="1214" spans="1:6" x14ac:dyDescent="0.3">
      <c r="A1214" s="1"/>
      <c r="B1214" s="4"/>
      <c r="C1214" s="75"/>
      <c r="D1214" s="76"/>
      <c r="E1214" s="5"/>
      <c r="F1214" s="76">
        <f>+'тура ака'!E1202</f>
        <v>0</v>
      </c>
    </row>
    <row r="1215" spans="1:6" x14ac:dyDescent="0.3">
      <c r="A1215" s="1"/>
      <c r="B1215" s="4"/>
      <c r="C1215" s="75"/>
      <c r="D1215" s="76"/>
      <c r="E1215" s="5"/>
      <c r="F1215" s="76">
        <f>+'тура ака'!E1203</f>
        <v>0</v>
      </c>
    </row>
    <row r="1216" spans="1:6" x14ac:dyDescent="0.3">
      <c r="A1216" s="1"/>
      <c r="B1216" s="4"/>
      <c r="C1216" s="75"/>
      <c r="D1216" s="76"/>
      <c r="E1216" s="5"/>
      <c r="F1216" s="76">
        <f>+'тура ака'!E1204</f>
        <v>0</v>
      </c>
    </row>
    <row r="1217" spans="1:6" x14ac:dyDescent="0.3">
      <c r="A1217" s="1"/>
      <c r="B1217" s="4"/>
      <c r="C1217" s="75"/>
      <c r="D1217" s="76"/>
      <c r="E1217" s="5"/>
      <c r="F1217" s="76">
        <f>+'тура ака'!E1205</f>
        <v>0</v>
      </c>
    </row>
    <row r="1218" spans="1:6" x14ac:dyDescent="0.3">
      <c r="A1218" s="1"/>
      <c r="B1218" s="4"/>
      <c r="C1218" s="75"/>
      <c r="D1218" s="76"/>
      <c r="E1218" s="5"/>
      <c r="F1218" s="76">
        <f>+'тура ака'!E1206</f>
        <v>0</v>
      </c>
    </row>
    <row r="1219" spans="1:6" x14ac:dyDescent="0.3">
      <c r="A1219" s="1"/>
      <c r="B1219" s="4"/>
      <c r="C1219" s="75"/>
      <c r="D1219" s="76"/>
      <c r="E1219" s="5"/>
      <c r="F1219" s="76">
        <f>+'тура ака'!E1207</f>
        <v>0</v>
      </c>
    </row>
    <row r="1220" spans="1:6" x14ac:dyDescent="0.3">
      <c r="A1220" s="1"/>
      <c r="B1220" s="4"/>
      <c r="C1220" s="75"/>
      <c r="D1220" s="76"/>
      <c r="E1220" s="5"/>
      <c r="F1220" s="76">
        <f>+'тура ака'!E1208</f>
        <v>0</v>
      </c>
    </row>
    <row r="1221" spans="1:6" x14ac:dyDescent="0.3">
      <c r="A1221" s="1"/>
      <c r="B1221" s="4"/>
      <c r="C1221" s="75"/>
      <c r="D1221" s="76"/>
      <c r="E1221" s="5"/>
      <c r="F1221" s="76">
        <f>+'тура ака'!E1209</f>
        <v>0</v>
      </c>
    </row>
    <row r="1222" spans="1:6" x14ac:dyDescent="0.3">
      <c r="A1222" s="1"/>
      <c r="B1222" s="4"/>
      <c r="C1222" s="75"/>
      <c r="D1222" s="76"/>
      <c r="E1222" s="5"/>
      <c r="F1222" s="76">
        <f>+'тура ака'!E1210</f>
        <v>0</v>
      </c>
    </row>
    <row r="1223" spans="1:6" x14ac:dyDescent="0.3">
      <c r="A1223" s="1"/>
      <c r="B1223" s="4"/>
      <c r="C1223" s="75"/>
      <c r="D1223" s="76"/>
      <c r="E1223" s="5"/>
      <c r="F1223" s="76">
        <f>+'тура ака'!E1211</f>
        <v>0</v>
      </c>
    </row>
    <row r="1224" spans="1:6" x14ac:dyDescent="0.3">
      <c r="A1224" s="1"/>
      <c r="B1224" s="4"/>
      <c r="C1224" s="75"/>
      <c r="D1224" s="76"/>
      <c r="E1224" s="5"/>
      <c r="F1224" s="76">
        <f>+'тура ака'!E1212</f>
        <v>0</v>
      </c>
    </row>
    <row r="1225" spans="1:6" x14ac:dyDescent="0.3">
      <c r="A1225" s="1"/>
      <c r="B1225" s="4"/>
      <c r="C1225" s="75"/>
      <c r="D1225" s="76"/>
      <c r="E1225" s="5"/>
      <c r="F1225" s="76">
        <f>+'тура ака'!E1213</f>
        <v>0</v>
      </c>
    </row>
    <row r="1226" spans="1:6" x14ac:dyDescent="0.3">
      <c r="A1226" s="1"/>
      <c r="B1226" s="4"/>
      <c r="C1226" s="75"/>
      <c r="D1226" s="76"/>
      <c r="E1226" s="5"/>
      <c r="F1226" s="76">
        <f>+'тура ака'!E1214</f>
        <v>0</v>
      </c>
    </row>
    <row r="1227" spans="1:6" x14ac:dyDescent="0.3">
      <c r="A1227" s="1"/>
      <c r="B1227" s="4"/>
      <c r="C1227" s="75"/>
      <c r="D1227" s="76"/>
      <c r="E1227" s="5"/>
      <c r="F1227" s="76">
        <f>+'тура ака'!E1215</f>
        <v>0</v>
      </c>
    </row>
    <row r="1228" spans="1:6" x14ac:dyDescent="0.3">
      <c r="A1228" s="1"/>
      <c r="B1228" s="4"/>
      <c r="C1228" s="75"/>
      <c r="D1228" s="76"/>
      <c r="E1228" s="5"/>
      <c r="F1228" s="76">
        <f>+'тура ака'!E1216</f>
        <v>0</v>
      </c>
    </row>
    <row r="1229" spans="1:6" x14ac:dyDescent="0.3">
      <c r="A1229" s="1"/>
      <c r="B1229" s="4"/>
      <c r="C1229" s="75"/>
      <c r="D1229" s="76"/>
      <c r="E1229" s="5"/>
      <c r="F1229" s="76">
        <f>+'тура ака'!E1217</f>
        <v>0</v>
      </c>
    </row>
    <row r="1230" spans="1:6" x14ac:dyDescent="0.3">
      <c r="A1230" s="1"/>
      <c r="B1230" s="4"/>
      <c r="C1230" s="75"/>
      <c r="D1230" s="76"/>
      <c r="E1230" s="5"/>
      <c r="F1230" s="76">
        <f>+'тура ака'!E1218</f>
        <v>0</v>
      </c>
    </row>
    <row r="1231" spans="1:6" x14ac:dyDescent="0.3">
      <c r="A1231" s="1"/>
      <c r="B1231" s="4"/>
      <c r="C1231" s="75"/>
      <c r="D1231" s="76"/>
      <c r="E1231" s="5"/>
      <c r="F1231" s="76">
        <f>+'тура ака'!E1219</f>
        <v>0</v>
      </c>
    </row>
    <row r="1232" spans="1:6" x14ac:dyDescent="0.3">
      <c r="A1232" s="1"/>
      <c r="B1232" s="4"/>
      <c r="C1232" s="75"/>
      <c r="D1232" s="76"/>
      <c r="E1232" s="5"/>
      <c r="F1232" s="76">
        <f>+'тура ака'!E1220</f>
        <v>0</v>
      </c>
    </row>
    <row r="1233" spans="1:6" x14ac:dyDescent="0.3">
      <c r="A1233" s="1"/>
      <c r="B1233" s="4"/>
      <c r="C1233" s="75"/>
      <c r="D1233" s="76"/>
      <c r="E1233" s="5"/>
      <c r="F1233" s="76">
        <f>+'тура ака'!E1221</f>
        <v>0</v>
      </c>
    </row>
    <row r="1234" spans="1:6" x14ac:dyDescent="0.3">
      <c r="A1234" s="1"/>
      <c r="B1234" s="4"/>
      <c r="C1234" s="75"/>
      <c r="D1234" s="76"/>
      <c r="E1234" s="5"/>
      <c r="F1234" s="76">
        <f>+'тура ака'!E1222</f>
        <v>0</v>
      </c>
    </row>
    <row r="1235" spans="1:6" x14ac:dyDescent="0.3">
      <c r="A1235" s="1"/>
      <c r="B1235" s="4"/>
      <c r="C1235" s="75"/>
      <c r="D1235" s="76"/>
      <c r="E1235" s="5"/>
      <c r="F1235" s="76">
        <f>+'тура ака'!E1223</f>
        <v>0</v>
      </c>
    </row>
    <row r="1236" spans="1:6" x14ac:dyDescent="0.3">
      <c r="A1236" s="1"/>
      <c r="B1236" s="4"/>
      <c r="C1236" s="75"/>
      <c r="D1236" s="76"/>
      <c r="E1236" s="5"/>
      <c r="F1236" s="76">
        <f>+'тура ака'!E1224</f>
        <v>0</v>
      </c>
    </row>
    <row r="1237" spans="1:6" x14ac:dyDescent="0.3">
      <c r="A1237" s="1"/>
      <c r="B1237" s="4"/>
      <c r="C1237" s="75"/>
      <c r="D1237" s="76"/>
      <c r="E1237" s="5"/>
      <c r="F1237" s="76">
        <f>+'тура ака'!E1225</f>
        <v>0</v>
      </c>
    </row>
    <row r="1238" spans="1:6" x14ac:dyDescent="0.3">
      <c r="A1238" s="1"/>
      <c r="B1238" s="4"/>
      <c r="C1238" s="75"/>
      <c r="D1238" s="76"/>
      <c r="E1238" s="5"/>
      <c r="F1238" s="76">
        <f>+'тура ака'!E1226</f>
        <v>0</v>
      </c>
    </row>
    <row r="1239" spans="1:6" x14ac:dyDescent="0.3">
      <c r="A1239" s="1"/>
      <c r="B1239" s="4"/>
      <c r="C1239" s="75"/>
      <c r="D1239" s="76"/>
      <c r="E1239" s="5"/>
      <c r="F1239" s="76">
        <f>+'тура ака'!E1227</f>
        <v>0</v>
      </c>
    </row>
    <row r="1240" spans="1:6" x14ac:dyDescent="0.3">
      <c r="A1240" s="1"/>
      <c r="B1240" s="4"/>
      <c r="C1240" s="75"/>
      <c r="D1240" s="76"/>
      <c r="E1240" s="5"/>
      <c r="F1240" s="76">
        <f>+'тура ака'!E1228</f>
        <v>0</v>
      </c>
    </row>
    <row r="1241" spans="1:6" x14ac:dyDescent="0.3">
      <c r="A1241" s="1"/>
      <c r="B1241" s="4"/>
      <c r="C1241" s="75"/>
      <c r="D1241" s="76"/>
      <c r="E1241" s="5"/>
      <c r="F1241" s="76">
        <f>+'тура ака'!E1229</f>
        <v>0</v>
      </c>
    </row>
    <row r="1242" spans="1:6" x14ac:dyDescent="0.3">
      <c r="A1242" s="1"/>
      <c r="B1242" s="4"/>
      <c r="C1242" s="75"/>
      <c r="D1242" s="76"/>
      <c r="E1242" s="5"/>
      <c r="F1242" s="76">
        <f>+'тура ака'!E1230</f>
        <v>0</v>
      </c>
    </row>
    <row r="1243" spans="1:6" x14ac:dyDescent="0.3">
      <c r="A1243" s="1"/>
      <c r="B1243" s="4"/>
      <c r="C1243" s="75"/>
      <c r="D1243" s="76"/>
      <c r="E1243" s="5"/>
      <c r="F1243" s="76">
        <f>+'тура ака'!E1231</f>
        <v>0</v>
      </c>
    </row>
    <row r="1244" spans="1:6" x14ac:dyDescent="0.3">
      <c r="A1244" s="1"/>
      <c r="B1244" s="4"/>
      <c r="C1244" s="75"/>
      <c r="D1244" s="76"/>
      <c r="E1244" s="5"/>
      <c r="F1244" s="76">
        <f>+'тура ака'!E1232</f>
        <v>0</v>
      </c>
    </row>
    <row r="1245" spans="1:6" x14ac:dyDescent="0.3">
      <c r="A1245" s="1"/>
      <c r="B1245" s="4"/>
      <c r="C1245" s="75"/>
      <c r="D1245" s="76"/>
      <c r="E1245" s="5"/>
      <c r="F1245" s="76">
        <f>+'тура ака'!E1233</f>
        <v>0</v>
      </c>
    </row>
    <row r="1246" spans="1:6" x14ac:dyDescent="0.3">
      <c r="A1246" s="1"/>
      <c r="B1246" s="4"/>
      <c r="C1246" s="75"/>
      <c r="D1246" s="76"/>
      <c r="E1246" s="5"/>
      <c r="F1246" s="76">
        <f>+'тура ака'!E1234</f>
        <v>0</v>
      </c>
    </row>
    <row r="1247" spans="1:6" x14ac:dyDescent="0.3">
      <c r="A1247" s="1"/>
      <c r="B1247" s="4"/>
      <c r="C1247" s="75"/>
      <c r="D1247" s="76"/>
      <c r="E1247" s="5"/>
      <c r="F1247" s="76">
        <f>+'тура ака'!E1235</f>
        <v>0</v>
      </c>
    </row>
    <row r="1248" spans="1:6" x14ac:dyDescent="0.3">
      <c r="A1248" s="1"/>
      <c r="B1248" s="4"/>
      <c r="C1248" s="75"/>
      <c r="D1248" s="76"/>
      <c r="E1248" s="5"/>
      <c r="F1248" s="76">
        <f>+'тура ака'!E1236</f>
        <v>0</v>
      </c>
    </row>
    <row r="1249" spans="1:6" x14ac:dyDescent="0.3">
      <c r="A1249" s="1"/>
      <c r="B1249" s="4"/>
      <c r="C1249" s="75"/>
      <c r="D1249" s="76"/>
      <c r="E1249" s="5"/>
      <c r="F1249" s="76">
        <f>+'тура ака'!E1237</f>
        <v>0</v>
      </c>
    </row>
    <row r="1250" spans="1:6" x14ac:dyDescent="0.3">
      <c r="A1250" s="1"/>
      <c r="B1250" s="4"/>
      <c r="C1250" s="75"/>
      <c r="D1250" s="76"/>
      <c r="E1250" s="5"/>
      <c r="F1250" s="76">
        <f>+'тура ака'!E1238</f>
        <v>0</v>
      </c>
    </row>
    <row r="1251" spans="1:6" x14ac:dyDescent="0.3">
      <c r="A1251" s="1"/>
      <c r="B1251" s="4"/>
      <c r="C1251" s="75"/>
      <c r="D1251" s="76"/>
      <c r="E1251" s="5"/>
      <c r="F1251" s="76">
        <f>+'тура ака'!E1239</f>
        <v>0</v>
      </c>
    </row>
    <row r="1252" spans="1:6" x14ac:dyDescent="0.3">
      <c r="A1252" s="1"/>
      <c r="B1252" s="4"/>
      <c r="C1252" s="75"/>
      <c r="D1252" s="76"/>
      <c r="E1252" s="5"/>
      <c r="F1252" s="76">
        <f>+'тура ака'!E1240</f>
        <v>0</v>
      </c>
    </row>
    <row r="1253" spans="1:6" x14ac:dyDescent="0.3">
      <c r="A1253" s="1"/>
      <c r="B1253" s="4"/>
      <c r="C1253" s="75"/>
      <c r="D1253" s="76"/>
      <c r="E1253" s="5"/>
      <c r="F1253" s="76">
        <f>+'тура ака'!E1241</f>
        <v>0</v>
      </c>
    </row>
    <row r="1254" spans="1:6" x14ac:dyDescent="0.3">
      <c r="A1254" s="1"/>
      <c r="B1254" s="4"/>
      <c r="C1254" s="75"/>
      <c r="D1254" s="76"/>
      <c r="E1254" s="5"/>
      <c r="F1254" s="76">
        <f>+'тура ака'!E1242</f>
        <v>0</v>
      </c>
    </row>
    <row r="1255" spans="1:6" x14ac:dyDescent="0.3">
      <c r="A1255" s="1"/>
      <c r="B1255" s="4"/>
      <c r="C1255" s="75"/>
      <c r="D1255" s="76"/>
      <c r="E1255" s="5"/>
      <c r="F1255" s="76">
        <f>+'тура ака'!E1243</f>
        <v>0</v>
      </c>
    </row>
    <row r="1256" spans="1:6" x14ac:dyDescent="0.3">
      <c r="A1256" s="1"/>
      <c r="B1256" s="4"/>
      <c r="C1256" s="75"/>
      <c r="D1256" s="76"/>
      <c r="E1256" s="5"/>
      <c r="F1256" s="76">
        <f>+'тура ака'!E1244</f>
        <v>0</v>
      </c>
    </row>
    <row r="1257" spans="1:6" x14ac:dyDescent="0.3">
      <c r="A1257" s="1"/>
      <c r="B1257" s="4"/>
      <c r="C1257" s="75"/>
      <c r="D1257" s="76"/>
      <c r="E1257" s="5"/>
      <c r="F1257" s="76">
        <f>+'тура ака'!E1245</f>
        <v>0</v>
      </c>
    </row>
    <row r="1258" spans="1:6" x14ac:dyDescent="0.3">
      <c r="A1258" s="1"/>
      <c r="B1258" s="4"/>
      <c r="C1258" s="75"/>
      <c r="D1258" s="76"/>
      <c r="E1258" s="5"/>
      <c r="F1258" s="76">
        <f>+'тура ака'!E1246</f>
        <v>0</v>
      </c>
    </row>
    <row r="1259" spans="1:6" x14ac:dyDescent="0.3">
      <c r="A1259" s="1"/>
      <c r="B1259" s="4"/>
      <c r="C1259" s="75"/>
      <c r="D1259" s="76"/>
      <c r="E1259" s="5"/>
      <c r="F1259" s="76">
        <f>+'тура ака'!E1247</f>
        <v>0</v>
      </c>
    </row>
    <row r="1260" spans="1:6" x14ac:dyDescent="0.3">
      <c r="A1260" s="1"/>
      <c r="B1260" s="4"/>
      <c r="C1260" s="75"/>
      <c r="D1260" s="76"/>
      <c r="E1260" s="5"/>
      <c r="F1260" s="76">
        <f>+'тура ака'!E1248</f>
        <v>0</v>
      </c>
    </row>
    <row r="1261" spans="1:6" x14ac:dyDescent="0.3">
      <c r="A1261" s="1"/>
      <c r="B1261" s="4"/>
      <c r="C1261" s="75"/>
      <c r="D1261" s="76"/>
      <c r="E1261" s="5"/>
      <c r="F1261" s="76">
        <f>+'тура ака'!E1249</f>
        <v>0</v>
      </c>
    </row>
    <row r="1262" spans="1:6" x14ac:dyDescent="0.3">
      <c r="A1262" s="1"/>
      <c r="B1262" s="4"/>
      <c r="C1262" s="75"/>
      <c r="D1262" s="76"/>
      <c r="E1262" s="5"/>
      <c r="F1262" s="76">
        <f>+'тура ака'!E1250</f>
        <v>0</v>
      </c>
    </row>
    <row r="1263" spans="1:6" x14ac:dyDescent="0.3">
      <c r="A1263" s="1"/>
      <c r="B1263" s="4"/>
      <c r="C1263" s="75"/>
      <c r="D1263" s="76"/>
      <c r="E1263" s="5"/>
      <c r="F1263" s="76">
        <f>+'тура ака'!E1251</f>
        <v>0</v>
      </c>
    </row>
    <row r="1264" spans="1:6" x14ac:dyDescent="0.3">
      <c r="A1264" s="1"/>
      <c r="B1264" s="4"/>
      <c r="C1264" s="75"/>
      <c r="D1264" s="76"/>
      <c r="E1264" s="5"/>
      <c r="F1264" s="76">
        <f>+'тура ака'!E1252</f>
        <v>0</v>
      </c>
    </row>
    <row r="1265" spans="1:6" x14ac:dyDescent="0.3">
      <c r="A1265" s="1"/>
      <c r="B1265" s="4"/>
      <c r="C1265" s="75"/>
      <c r="D1265" s="76"/>
      <c r="E1265" s="5"/>
      <c r="F1265" s="76">
        <f>+'тура ака'!E1253</f>
        <v>0</v>
      </c>
    </row>
    <row r="1266" spans="1:6" x14ac:dyDescent="0.3">
      <c r="A1266" s="1"/>
      <c r="B1266" s="4"/>
      <c r="C1266" s="75"/>
      <c r="D1266" s="76"/>
      <c r="E1266" s="5"/>
      <c r="F1266" s="76">
        <f>+'тура ака'!E1254</f>
        <v>0</v>
      </c>
    </row>
    <row r="1267" spans="1:6" x14ac:dyDescent="0.3">
      <c r="A1267" s="1"/>
      <c r="B1267" s="4"/>
      <c r="C1267" s="75"/>
      <c r="D1267" s="76"/>
      <c r="E1267" s="5"/>
      <c r="F1267" s="76">
        <f>+'тура ака'!E1255</f>
        <v>0</v>
      </c>
    </row>
    <row r="1268" spans="1:6" x14ac:dyDescent="0.3">
      <c r="A1268" s="1"/>
      <c r="B1268" s="4"/>
      <c r="C1268" s="75"/>
      <c r="D1268" s="76"/>
      <c r="E1268" s="5"/>
      <c r="F1268" s="76">
        <f>+'тура ака'!E1256</f>
        <v>0</v>
      </c>
    </row>
    <row r="1269" spans="1:6" x14ac:dyDescent="0.3">
      <c r="A1269" s="1"/>
      <c r="B1269" s="4"/>
      <c r="C1269" s="75"/>
      <c r="D1269" s="76"/>
      <c r="E1269" s="5"/>
      <c r="F1269" s="76">
        <f>+'тура ака'!E1257</f>
        <v>0</v>
      </c>
    </row>
    <row r="1270" spans="1:6" x14ac:dyDescent="0.3">
      <c r="A1270" s="1"/>
      <c r="B1270" s="4"/>
      <c r="C1270" s="75"/>
      <c r="D1270" s="76"/>
      <c r="E1270" s="5"/>
      <c r="F1270" s="76">
        <f>+'тура ака'!E1258</f>
        <v>0</v>
      </c>
    </row>
    <row r="1271" spans="1:6" x14ac:dyDescent="0.3">
      <c r="A1271" s="1"/>
      <c r="B1271" s="4"/>
      <c r="C1271" s="75"/>
      <c r="D1271" s="76"/>
      <c r="E1271" s="5"/>
      <c r="F1271" s="76">
        <f>+'тура ака'!E1259</f>
        <v>0</v>
      </c>
    </row>
    <row r="1272" spans="1:6" x14ac:dyDescent="0.3">
      <c r="A1272" s="1"/>
      <c r="B1272" s="4"/>
      <c r="C1272" s="75"/>
      <c r="D1272" s="76"/>
      <c r="E1272" s="5"/>
      <c r="F1272" s="76">
        <f>+'тура ака'!E1260</f>
        <v>0</v>
      </c>
    </row>
    <row r="1273" spans="1:6" x14ac:dyDescent="0.3">
      <c r="A1273" s="1"/>
      <c r="B1273" s="4"/>
      <c r="C1273" s="75"/>
      <c r="D1273" s="76"/>
      <c r="E1273" s="5"/>
      <c r="F1273" s="76">
        <f>+'тура ака'!E1261</f>
        <v>0</v>
      </c>
    </row>
    <row r="1274" spans="1:6" x14ac:dyDescent="0.3">
      <c r="A1274" s="1"/>
      <c r="B1274" s="4"/>
      <c r="C1274" s="75"/>
      <c r="D1274" s="76"/>
      <c r="E1274" s="5"/>
      <c r="F1274" s="76">
        <f>+'тура ака'!E1262</f>
        <v>0</v>
      </c>
    </row>
    <row r="1275" spans="1:6" x14ac:dyDescent="0.3">
      <c r="A1275" s="1"/>
      <c r="B1275" s="4"/>
      <c r="C1275" s="75"/>
      <c r="D1275" s="76"/>
      <c r="E1275" s="5"/>
      <c r="F1275" s="76">
        <f>+'тура ака'!E1263</f>
        <v>0</v>
      </c>
    </row>
    <row r="1276" spans="1:6" x14ac:dyDescent="0.3">
      <c r="A1276" s="1"/>
      <c r="B1276" s="4"/>
      <c r="C1276" s="75"/>
      <c r="D1276" s="76"/>
      <c r="E1276" s="5"/>
      <c r="F1276" s="76">
        <f>+'тура ака'!E1264</f>
        <v>0</v>
      </c>
    </row>
    <row r="1277" spans="1:6" x14ac:dyDescent="0.3">
      <c r="A1277" s="1"/>
      <c r="B1277" s="4"/>
      <c r="C1277" s="75"/>
      <c r="D1277" s="76"/>
      <c r="E1277" s="5"/>
      <c r="F1277" s="76">
        <f>+'тура ака'!E1265</f>
        <v>0</v>
      </c>
    </row>
    <row r="1278" spans="1:6" x14ac:dyDescent="0.3">
      <c r="A1278" s="1"/>
      <c r="B1278" s="4"/>
      <c r="C1278" s="75"/>
      <c r="D1278" s="76"/>
      <c r="E1278" s="5"/>
      <c r="F1278" s="76">
        <f>+'тура ака'!E1266</f>
        <v>0</v>
      </c>
    </row>
    <row r="1279" spans="1:6" x14ac:dyDescent="0.3">
      <c r="A1279" s="1"/>
      <c r="B1279" s="4"/>
      <c r="C1279" s="75"/>
      <c r="D1279" s="76"/>
      <c r="E1279" s="5"/>
      <c r="F1279" s="76">
        <f>+'тура ака'!E1267</f>
        <v>0</v>
      </c>
    </row>
    <row r="1280" spans="1:6" x14ac:dyDescent="0.3">
      <c r="A1280" s="1"/>
      <c r="B1280" s="4"/>
      <c r="C1280" s="75"/>
      <c r="D1280" s="76"/>
      <c r="E1280" s="5"/>
      <c r="F1280" s="76">
        <f>+'тура ака'!E1268</f>
        <v>0</v>
      </c>
    </row>
    <row r="1281" spans="1:6" x14ac:dyDescent="0.3">
      <c r="A1281" s="1"/>
      <c r="B1281" s="4"/>
      <c r="C1281" s="75"/>
      <c r="D1281" s="76"/>
      <c r="E1281" s="5"/>
      <c r="F1281" s="76">
        <f>+'тура ака'!E1269</f>
        <v>0</v>
      </c>
    </row>
    <row r="1282" spans="1:6" x14ac:dyDescent="0.3">
      <c r="A1282" s="1"/>
      <c r="B1282" s="4"/>
      <c r="C1282" s="75"/>
      <c r="D1282" s="76"/>
      <c r="E1282" s="5"/>
      <c r="F1282" s="76">
        <f>+'тура ака'!E1270</f>
        <v>0</v>
      </c>
    </row>
    <row r="1283" spans="1:6" x14ac:dyDescent="0.3">
      <c r="A1283" s="1"/>
      <c r="B1283" s="4"/>
      <c r="C1283" s="75"/>
      <c r="D1283" s="76"/>
      <c r="E1283" s="5"/>
      <c r="F1283" s="76">
        <f>+'тура ака'!E1271</f>
        <v>0</v>
      </c>
    </row>
    <row r="1284" spans="1:6" x14ac:dyDescent="0.3">
      <c r="A1284" s="1"/>
      <c r="B1284" s="4"/>
      <c r="C1284" s="75"/>
      <c r="D1284" s="76"/>
      <c r="E1284" s="5"/>
      <c r="F1284" s="76">
        <f>+'тура ака'!E1272</f>
        <v>0</v>
      </c>
    </row>
    <row r="1285" spans="1:6" x14ac:dyDescent="0.3">
      <c r="A1285" s="1"/>
      <c r="B1285" s="4"/>
      <c r="C1285" s="75"/>
      <c r="D1285" s="76"/>
      <c r="E1285" s="5"/>
      <c r="F1285" s="76">
        <f>+'тура ака'!E1273</f>
        <v>0</v>
      </c>
    </row>
    <row r="1286" spans="1:6" x14ac:dyDescent="0.3">
      <c r="A1286" s="1"/>
      <c r="B1286" s="4"/>
      <c r="C1286" s="75"/>
      <c r="D1286" s="76"/>
      <c r="E1286" s="5"/>
      <c r="F1286" s="76">
        <f>+'тура ака'!E1274</f>
        <v>0</v>
      </c>
    </row>
    <row r="1287" spans="1:6" x14ac:dyDescent="0.3">
      <c r="A1287" s="1"/>
      <c r="B1287" s="4"/>
      <c r="C1287" s="75"/>
      <c r="D1287" s="76"/>
      <c r="E1287" s="5"/>
      <c r="F1287" s="76">
        <f>+'тура ака'!E1275</f>
        <v>0</v>
      </c>
    </row>
    <row r="1288" spans="1:6" x14ac:dyDescent="0.3">
      <c r="A1288" s="1"/>
      <c r="B1288" s="4"/>
      <c r="C1288" s="75"/>
      <c r="D1288" s="76"/>
      <c r="E1288" s="5"/>
      <c r="F1288" s="5"/>
    </row>
    <row r="1289" spans="1:6" x14ac:dyDescent="0.3">
      <c r="A1289" s="1"/>
      <c r="B1289" s="4"/>
      <c r="C1289" s="75"/>
      <c r="D1289" s="76"/>
      <c r="E1289" s="5"/>
      <c r="F1289" s="5"/>
    </row>
    <row r="1290" spans="1:6" x14ac:dyDescent="0.3">
      <c r="A1290" s="1"/>
      <c r="B1290" s="4"/>
      <c r="C1290" s="75"/>
      <c r="D1290" s="76"/>
      <c r="E1290" s="5"/>
      <c r="F1290" s="5"/>
    </row>
    <row r="1291" spans="1:6" x14ac:dyDescent="0.3">
      <c r="A1291" s="1"/>
      <c r="B1291" s="4"/>
      <c r="C1291" s="75"/>
      <c r="D1291" s="76"/>
      <c r="E1291" s="5"/>
      <c r="F1291" s="5"/>
    </row>
    <row r="1292" spans="1:6" x14ac:dyDescent="0.3">
      <c r="A1292" s="1"/>
      <c r="B1292" s="4"/>
      <c r="C1292" s="75"/>
      <c r="D1292" s="76"/>
      <c r="E1292" s="5"/>
      <c r="F1292" s="5"/>
    </row>
    <row r="1293" spans="1:6" x14ac:dyDescent="0.3">
      <c r="A1293" s="1"/>
      <c r="B1293" s="4"/>
      <c r="C1293" s="75"/>
      <c r="D1293" s="76"/>
      <c r="E1293" s="5"/>
      <c r="F1293" s="5"/>
    </row>
    <row r="1294" spans="1:6" x14ac:dyDescent="0.3">
      <c r="A1294" s="1"/>
      <c r="B1294" s="4"/>
      <c r="C1294" s="75"/>
      <c r="D1294" s="76"/>
      <c r="E1294" s="5"/>
      <c r="F1294" s="5"/>
    </row>
    <row r="1295" spans="1:6" x14ac:dyDescent="0.3">
      <c r="A1295" s="1"/>
      <c r="B1295" s="4"/>
      <c r="C1295" s="75"/>
      <c r="D1295" s="76"/>
      <c r="E1295" s="5"/>
      <c r="F1295" s="5"/>
    </row>
    <row r="1296" spans="1:6" x14ac:dyDescent="0.3">
      <c r="A1296" s="1"/>
      <c r="B1296" s="4"/>
      <c r="C1296" s="75"/>
      <c r="D1296" s="76"/>
      <c r="E1296" s="5"/>
      <c r="F1296" s="5"/>
    </row>
    <row r="1297" spans="1:6" x14ac:dyDescent="0.3">
      <c r="A1297" s="1"/>
      <c r="B1297" s="4"/>
      <c r="C1297" s="75"/>
      <c r="D1297" s="76"/>
      <c r="E1297" s="5"/>
      <c r="F1297" s="5"/>
    </row>
    <row r="1298" spans="1:6" x14ac:dyDescent="0.3">
      <c r="A1298" s="1"/>
      <c r="B1298" s="4"/>
      <c r="C1298" s="75"/>
      <c r="D1298" s="76"/>
      <c r="E1298" s="5"/>
      <c r="F1298" s="5"/>
    </row>
    <row r="1299" spans="1:6" x14ac:dyDescent="0.3">
      <c r="A1299" s="1"/>
      <c r="B1299" s="4"/>
      <c r="C1299" s="75"/>
      <c r="D1299" s="76"/>
      <c r="E1299" s="5"/>
      <c r="F1299" s="5"/>
    </row>
    <row r="1300" spans="1:6" x14ac:dyDescent="0.3">
      <c r="A1300" s="1"/>
      <c r="B1300" s="4"/>
      <c r="C1300" s="75"/>
      <c r="D1300" s="76"/>
      <c r="E1300" s="5"/>
      <c r="F1300" s="5"/>
    </row>
    <row r="1301" spans="1:6" x14ac:dyDescent="0.3">
      <c r="A1301" s="1"/>
      <c r="B1301" s="4"/>
      <c r="C1301" s="75"/>
      <c r="D1301" s="76"/>
      <c r="E1301" s="5"/>
      <c r="F1301" s="5"/>
    </row>
    <row r="1302" spans="1:6" x14ac:dyDescent="0.3">
      <c r="A1302" s="1"/>
      <c r="B1302" s="4"/>
      <c r="C1302" s="75"/>
      <c r="D1302" s="76"/>
      <c r="E1302" s="5"/>
      <c r="F1302" s="5"/>
    </row>
    <row r="1303" spans="1:6" x14ac:dyDescent="0.3">
      <c r="A1303" s="1"/>
      <c r="B1303" s="4"/>
      <c r="C1303" s="75"/>
      <c r="D1303" s="76"/>
      <c r="E1303" s="5"/>
      <c r="F1303" s="5"/>
    </row>
    <row r="1304" spans="1:6" x14ac:dyDescent="0.3">
      <c r="A1304" s="1"/>
      <c r="B1304" s="4"/>
      <c r="C1304" s="75"/>
      <c r="D1304" s="76"/>
      <c r="E1304" s="5"/>
      <c r="F1304" s="5"/>
    </row>
    <row r="1305" spans="1:6" x14ac:dyDescent="0.3">
      <c r="A1305" s="1"/>
      <c r="B1305" s="4"/>
      <c r="C1305" s="75"/>
      <c r="D1305" s="76"/>
      <c r="E1305" s="5"/>
      <c r="F1305" s="5"/>
    </row>
    <row r="1306" spans="1:6" x14ac:dyDescent="0.3">
      <c r="A1306" s="1"/>
      <c r="B1306" s="4"/>
      <c r="C1306" s="75"/>
      <c r="D1306" s="76"/>
      <c r="E1306" s="5"/>
      <c r="F1306" s="5"/>
    </row>
    <row r="1307" spans="1:6" x14ac:dyDescent="0.3">
      <c r="A1307" s="1"/>
      <c r="B1307" s="4"/>
      <c r="C1307" s="75"/>
      <c r="D1307" s="76"/>
      <c r="E1307" s="5"/>
      <c r="F1307" s="5"/>
    </row>
    <row r="1308" spans="1:6" x14ac:dyDescent="0.3">
      <c r="A1308" s="1"/>
      <c r="B1308" s="4"/>
      <c r="C1308" s="75"/>
      <c r="D1308" s="76"/>
      <c r="E1308" s="5"/>
      <c r="F1308" s="5"/>
    </row>
    <row r="1309" spans="1:6" x14ac:dyDescent="0.3">
      <c r="A1309" s="1"/>
      <c r="B1309" s="4"/>
      <c r="C1309" s="75"/>
      <c r="D1309" s="76"/>
      <c r="E1309" s="5"/>
      <c r="F1309" s="5"/>
    </row>
    <row r="1310" spans="1:6" x14ac:dyDescent="0.3">
      <c r="A1310" s="1"/>
      <c r="B1310" s="4"/>
      <c r="C1310" s="75"/>
      <c r="D1310" s="76"/>
      <c r="E1310" s="5"/>
      <c r="F1310" s="5"/>
    </row>
    <row r="1311" spans="1:6" x14ac:dyDescent="0.3">
      <c r="A1311" s="1"/>
      <c r="B1311" s="4"/>
      <c r="C1311" s="75"/>
      <c r="D1311" s="76"/>
      <c r="E1311" s="5"/>
      <c r="F1311" s="5"/>
    </row>
    <row r="1312" spans="1:6" x14ac:dyDescent="0.3">
      <c r="A1312" s="1"/>
      <c r="B1312" s="4"/>
      <c r="C1312" s="75"/>
      <c r="D1312" s="76"/>
      <c r="E1312" s="5"/>
      <c r="F1312" s="5"/>
    </row>
    <row r="1313" spans="1:6" x14ac:dyDescent="0.3">
      <c r="A1313" s="1"/>
      <c r="B1313" s="4"/>
      <c r="C1313" s="75"/>
      <c r="D1313" s="76"/>
      <c r="E1313" s="5"/>
      <c r="F1313" s="5"/>
    </row>
    <row r="1314" spans="1:6" x14ac:dyDescent="0.3">
      <c r="A1314" s="1"/>
      <c r="B1314" s="4"/>
      <c r="C1314" s="75"/>
      <c r="D1314" s="76"/>
      <c r="E1314" s="5"/>
      <c r="F1314" s="5"/>
    </row>
    <row r="1315" spans="1:6" x14ac:dyDescent="0.3">
      <c r="A1315" s="1"/>
      <c r="B1315" s="4"/>
      <c r="C1315" s="75"/>
      <c r="D1315" s="76"/>
      <c r="E1315" s="5"/>
      <c r="F1315" s="5"/>
    </row>
    <row r="1316" spans="1:6" x14ac:dyDescent="0.3">
      <c r="A1316" s="1"/>
      <c r="B1316" s="4"/>
      <c r="C1316" s="75"/>
      <c r="D1316" s="76"/>
      <c r="E1316" s="5"/>
      <c r="F1316" s="5"/>
    </row>
    <row r="1317" spans="1:6" x14ac:dyDescent="0.3">
      <c r="A1317" s="1"/>
      <c r="B1317" s="4"/>
      <c r="C1317" s="75"/>
      <c r="D1317" s="76"/>
      <c r="E1317" s="5"/>
      <c r="F1317" s="5"/>
    </row>
    <row r="1318" spans="1:6" x14ac:dyDescent="0.3">
      <c r="A1318" s="1"/>
      <c r="B1318" s="4"/>
      <c r="C1318" s="75"/>
      <c r="D1318" s="76"/>
      <c r="E1318" s="5"/>
      <c r="F1318" s="5"/>
    </row>
    <row r="1319" spans="1:6" x14ac:dyDescent="0.3">
      <c r="A1319" s="1"/>
      <c r="B1319" s="4"/>
      <c r="C1319" s="75"/>
      <c r="D1319" s="76"/>
      <c r="E1319" s="5"/>
      <c r="F1319" s="5"/>
    </row>
    <row r="1320" spans="1:6" x14ac:dyDescent="0.3">
      <c r="A1320" s="1"/>
      <c r="B1320" s="4"/>
      <c r="C1320" s="75"/>
      <c r="D1320" s="76"/>
      <c r="E1320" s="5"/>
      <c r="F1320" s="5"/>
    </row>
    <row r="1321" spans="1:6" x14ac:dyDescent="0.3">
      <c r="A1321" s="1"/>
      <c r="B1321" s="4"/>
      <c r="C1321" s="75"/>
      <c r="D1321" s="76"/>
      <c r="E1321" s="5"/>
      <c r="F1321" s="5"/>
    </row>
    <row r="1322" spans="1:6" x14ac:dyDescent="0.3">
      <c r="A1322" s="1"/>
      <c r="B1322" s="4"/>
      <c r="C1322" s="75"/>
      <c r="D1322" s="76"/>
      <c r="E1322" s="5"/>
      <c r="F1322" s="5"/>
    </row>
    <row r="1323" spans="1:6" x14ac:dyDescent="0.3">
      <c r="A1323" s="1"/>
      <c r="B1323" s="4"/>
      <c r="C1323" s="75"/>
      <c r="D1323" s="76"/>
      <c r="E1323" s="5"/>
      <c r="F1323" s="5"/>
    </row>
    <row r="1324" spans="1:6" x14ac:dyDescent="0.3">
      <c r="A1324" s="1"/>
      <c r="B1324" s="4"/>
      <c r="C1324" s="75"/>
      <c r="D1324" s="76"/>
      <c r="E1324" s="5"/>
      <c r="F1324" s="5"/>
    </row>
    <row r="1325" spans="1:6" x14ac:dyDescent="0.3">
      <c r="A1325" s="1"/>
      <c r="B1325" s="4"/>
      <c r="C1325" s="75"/>
      <c r="D1325" s="76"/>
      <c r="E1325" s="5"/>
      <c r="F1325" s="5"/>
    </row>
    <row r="1326" spans="1:6" x14ac:dyDescent="0.3">
      <c r="A1326" s="1"/>
      <c r="B1326" s="4"/>
      <c r="C1326" s="75"/>
      <c r="D1326" s="76"/>
      <c r="E1326" s="5"/>
      <c r="F1326" s="5"/>
    </row>
    <row r="1327" spans="1:6" x14ac:dyDescent="0.3">
      <c r="A1327" s="1"/>
      <c r="B1327" s="4"/>
      <c r="C1327" s="75"/>
      <c r="D1327" s="76"/>
      <c r="E1327" s="5"/>
      <c r="F1327" s="5"/>
    </row>
    <row r="1328" spans="1:6" x14ac:dyDescent="0.3">
      <c r="A1328" s="1"/>
      <c r="B1328" s="4"/>
      <c r="C1328" s="75"/>
      <c r="D1328" s="76"/>
      <c r="E1328" s="5"/>
      <c r="F1328" s="5"/>
    </row>
    <row r="1329" spans="1:6" x14ac:dyDescent="0.3">
      <c r="A1329" s="1"/>
      <c r="B1329" s="4"/>
      <c r="C1329" s="75"/>
      <c r="D1329" s="76"/>
      <c r="E1329" s="5"/>
      <c r="F1329" s="5"/>
    </row>
    <row r="1330" spans="1:6" x14ac:dyDescent="0.3">
      <c r="A1330" s="1"/>
      <c r="B1330" s="4"/>
      <c r="C1330" s="75"/>
      <c r="D1330" s="76"/>
      <c r="E1330" s="5"/>
      <c r="F1330" s="5"/>
    </row>
    <row r="1331" spans="1:6" x14ac:dyDescent="0.3">
      <c r="A1331" s="1"/>
      <c r="B1331" s="4"/>
      <c r="C1331" s="75"/>
      <c r="D1331" s="76"/>
      <c r="E1331" s="5"/>
      <c r="F1331" s="5"/>
    </row>
    <row r="1332" spans="1:6" x14ac:dyDescent="0.3">
      <c r="A1332" s="1"/>
      <c r="B1332" s="4"/>
      <c r="C1332" s="75"/>
      <c r="D1332" s="76"/>
      <c r="E1332" s="5"/>
      <c r="F1332" s="5"/>
    </row>
    <row r="1333" spans="1:6" x14ac:dyDescent="0.3">
      <c r="A1333" s="1"/>
      <c r="B1333" s="4"/>
      <c r="C1333" s="75"/>
      <c r="D1333" s="76"/>
      <c r="E1333" s="5"/>
      <c r="F1333" s="5"/>
    </row>
    <row r="1334" spans="1:6" x14ac:dyDescent="0.3">
      <c r="A1334" s="1"/>
      <c r="B1334" s="4"/>
      <c r="C1334" s="75"/>
      <c r="D1334" s="76"/>
      <c r="E1334" s="5"/>
      <c r="F1334" s="5"/>
    </row>
    <row r="1335" spans="1:6" x14ac:dyDescent="0.3">
      <c r="A1335" s="1"/>
      <c r="B1335" s="4"/>
      <c r="C1335" s="75"/>
      <c r="D1335" s="76"/>
      <c r="E1335" s="5"/>
      <c r="F1335" s="5"/>
    </row>
    <row r="1336" spans="1:6" x14ac:dyDescent="0.3">
      <c r="A1336" s="1"/>
      <c r="B1336" s="4"/>
      <c r="C1336" s="75"/>
      <c r="D1336" s="76"/>
      <c r="E1336" s="5"/>
      <c r="F1336" s="5"/>
    </row>
    <row r="1337" spans="1:6" x14ac:dyDescent="0.3">
      <c r="A1337" s="1"/>
      <c r="B1337" s="4"/>
      <c r="C1337" s="75"/>
      <c r="D1337" s="76"/>
      <c r="E1337" s="5"/>
      <c r="F1337" s="5"/>
    </row>
    <row r="1338" spans="1:6" x14ac:dyDescent="0.3">
      <c r="A1338" s="1"/>
      <c r="B1338" s="4"/>
      <c r="C1338" s="75"/>
      <c r="D1338" s="76"/>
      <c r="E1338" s="5"/>
      <c r="F1338" s="5"/>
    </row>
    <row r="1339" spans="1:6" x14ac:dyDescent="0.3">
      <c r="A1339" s="1"/>
      <c r="B1339" s="4"/>
      <c r="C1339" s="75"/>
      <c r="D1339" s="76"/>
      <c r="E1339" s="5"/>
      <c r="F1339" s="5"/>
    </row>
    <row r="1340" spans="1:6" x14ac:dyDescent="0.3">
      <c r="A1340" s="1"/>
      <c r="B1340" s="4"/>
      <c r="C1340" s="75"/>
      <c r="D1340" s="76"/>
      <c r="E1340" s="5"/>
      <c r="F1340" s="5"/>
    </row>
    <row r="1341" spans="1:6" x14ac:dyDescent="0.3">
      <c r="A1341" s="1"/>
      <c r="B1341" s="4"/>
      <c r="C1341" s="75"/>
      <c r="D1341" s="76"/>
      <c r="E1341" s="5"/>
      <c r="F1341" s="5"/>
    </row>
    <row r="1342" spans="1:6" x14ac:dyDescent="0.3">
      <c r="A1342" s="1"/>
      <c r="B1342" s="4"/>
      <c r="C1342" s="75"/>
      <c r="D1342" s="76"/>
      <c r="E1342" s="5"/>
      <c r="F1342" s="5"/>
    </row>
    <row r="1343" spans="1:6" x14ac:dyDescent="0.3">
      <c r="A1343" s="1"/>
      <c r="B1343" s="4"/>
      <c r="C1343" s="75"/>
      <c r="D1343" s="76"/>
      <c r="E1343" s="5"/>
      <c r="F1343" s="5"/>
    </row>
    <row r="1344" spans="1:6" x14ac:dyDescent="0.3">
      <c r="A1344" s="1"/>
      <c r="B1344" s="4"/>
      <c r="C1344" s="75"/>
      <c r="D1344" s="76"/>
      <c r="E1344" s="5"/>
      <c r="F1344" s="5"/>
    </row>
    <row r="1345" spans="1:6" x14ac:dyDescent="0.3">
      <c r="A1345" s="1"/>
      <c r="B1345" s="4"/>
      <c r="C1345" s="75"/>
      <c r="D1345" s="76"/>
      <c r="E1345" s="5"/>
      <c r="F1345" s="5"/>
    </row>
    <row r="1346" spans="1:6" x14ac:dyDescent="0.3">
      <c r="A1346" s="1"/>
      <c r="B1346" s="4"/>
      <c r="C1346" s="75"/>
      <c r="D1346" s="76"/>
      <c r="E1346" s="5"/>
      <c r="F1346" s="5"/>
    </row>
    <row r="1347" spans="1:6" x14ac:dyDescent="0.3">
      <c r="A1347" s="1"/>
      <c r="B1347" s="4"/>
      <c r="C1347" s="75"/>
      <c r="D1347" s="76"/>
      <c r="E1347" s="5"/>
      <c r="F1347" s="5"/>
    </row>
    <row r="1348" spans="1:6" x14ac:dyDescent="0.3">
      <c r="A1348" s="1"/>
      <c r="B1348" s="4"/>
      <c r="C1348" s="75"/>
      <c r="D1348" s="76"/>
      <c r="E1348" s="5"/>
      <c r="F1348" s="5"/>
    </row>
    <row r="1349" spans="1:6" x14ac:dyDescent="0.3">
      <c r="A1349" s="1"/>
      <c r="B1349" s="4"/>
      <c r="C1349" s="75"/>
      <c r="D1349" s="76"/>
      <c r="E1349" s="5"/>
      <c r="F1349" s="5"/>
    </row>
    <row r="1350" spans="1:6" x14ac:dyDescent="0.3">
      <c r="A1350" s="1"/>
      <c r="B1350" s="4"/>
      <c r="C1350" s="75"/>
      <c r="D1350" s="76"/>
      <c r="E1350" s="5"/>
      <c r="F1350" s="5"/>
    </row>
    <row r="1351" spans="1:6" x14ac:dyDescent="0.3">
      <c r="A1351" s="1"/>
      <c r="B1351" s="4"/>
      <c r="C1351" s="75"/>
      <c r="D1351" s="76"/>
      <c r="E1351" s="5"/>
      <c r="F1351" s="5"/>
    </row>
    <row r="1352" spans="1:6" x14ac:dyDescent="0.3">
      <c r="A1352" s="1"/>
      <c r="B1352" s="4"/>
      <c r="C1352" s="75"/>
      <c r="D1352" s="76"/>
      <c r="E1352" s="5"/>
      <c r="F1352" s="5"/>
    </row>
    <row r="1353" spans="1:6" x14ac:dyDescent="0.3">
      <c r="A1353" s="1"/>
      <c r="B1353" s="4"/>
      <c r="C1353" s="75"/>
      <c r="D1353" s="76"/>
      <c r="E1353" s="5"/>
      <c r="F1353" s="5"/>
    </row>
    <row r="1354" spans="1:6" x14ac:dyDescent="0.3">
      <c r="A1354" s="1"/>
      <c r="B1354" s="4"/>
      <c r="C1354" s="75"/>
      <c r="D1354" s="76"/>
      <c r="E1354" s="5"/>
      <c r="F1354" s="5"/>
    </row>
    <row r="1355" spans="1:6" x14ac:dyDescent="0.3">
      <c r="A1355" s="1"/>
      <c r="B1355" s="4"/>
      <c r="C1355" s="75"/>
      <c r="D1355" s="76"/>
      <c r="E1355" s="5"/>
      <c r="F1355" s="5"/>
    </row>
    <row r="1356" spans="1:6" x14ac:dyDescent="0.3">
      <c r="A1356" s="1"/>
      <c r="B1356" s="4"/>
      <c r="C1356" s="75"/>
      <c r="D1356" s="76"/>
      <c r="E1356" s="5"/>
      <c r="F1356" s="5"/>
    </row>
    <row r="1357" spans="1:6" x14ac:dyDescent="0.3">
      <c r="A1357" s="1"/>
      <c r="B1357" s="4"/>
      <c r="C1357" s="75"/>
      <c r="D1357" s="76"/>
      <c r="E1357" s="5"/>
      <c r="F1357" s="5"/>
    </row>
    <row r="1358" spans="1:6" x14ac:dyDescent="0.3">
      <c r="A1358" s="1"/>
      <c r="B1358" s="4"/>
      <c r="C1358" s="75"/>
      <c r="D1358" s="76"/>
      <c r="E1358" s="5"/>
      <c r="F1358" s="5"/>
    </row>
    <row r="1359" spans="1:6" x14ac:dyDescent="0.3">
      <c r="A1359" s="1"/>
      <c r="B1359" s="4"/>
      <c r="C1359" s="75"/>
      <c r="D1359" s="76"/>
      <c r="E1359" s="5"/>
      <c r="F1359" s="5"/>
    </row>
    <row r="1360" spans="1:6" x14ac:dyDescent="0.3">
      <c r="A1360" s="1"/>
      <c r="B1360" s="4"/>
      <c r="C1360" s="75"/>
      <c r="D1360" s="76"/>
      <c r="E1360" s="5"/>
      <c r="F1360" s="5"/>
    </row>
    <row r="1361" spans="1:6" x14ac:dyDescent="0.3">
      <c r="A1361" s="1"/>
      <c r="B1361" s="4"/>
      <c r="C1361" s="75"/>
      <c r="D1361" s="76"/>
      <c r="E1361" s="5"/>
      <c r="F1361" s="5"/>
    </row>
    <row r="1362" spans="1:6" x14ac:dyDescent="0.3">
      <c r="A1362" s="1"/>
      <c r="B1362" s="4"/>
      <c r="C1362" s="75"/>
      <c r="D1362" s="76"/>
      <c r="E1362" s="5"/>
      <c r="F1362" s="5"/>
    </row>
    <row r="1363" spans="1:6" x14ac:dyDescent="0.3">
      <c r="A1363" s="1"/>
      <c r="B1363" s="4"/>
      <c r="C1363" s="75"/>
      <c r="D1363" s="76"/>
      <c r="E1363" s="5"/>
      <c r="F1363" s="5"/>
    </row>
    <row r="1364" spans="1:6" x14ac:dyDescent="0.3">
      <c r="A1364" s="1"/>
      <c r="B1364" s="4"/>
      <c r="C1364" s="75"/>
      <c r="D1364" s="76"/>
      <c r="E1364" s="5"/>
      <c r="F1364" s="5"/>
    </row>
    <row r="1365" spans="1:6" x14ac:dyDescent="0.3">
      <c r="A1365" s="1"/>
      <c r="B1365" s="4"/>
      <c r="C1365" s="75"/>
      <c r="D1365" s="76"/>
      <c r="E1365" s="5"/>
      <c r="F1365" s="5"/>
    </row>
    <row r="1366" spans="1:6" x14ac:dyDescent="0.3">
      <c r="A1366" s="1"/>
      <c r="B1366" s="4"/>
      <c r="C1366" s="75"/>
      <c r="D1366" s="76"/>
      <c r="E1366" s="5"/>
      <c r="F1366" s="5"/>
    </row>
    <row r="1367" spans="1:6" x14ac:dyDescent="0.3">
      <c r="A1367" s="1"/>
      <c r="B1367" s="4"/>
      <c r="C1367" s="75"/>
      <c r="D1367" s="76"/>
      <c r="E1367" s="5"/>
      <c r="F1367" s="5"/>
    </row>
    <row r="1368" spans="1:6" x14ac:dyDescent="0.3">
      <c r="A1368" s="1"/>
      <c r="B1368" s="4"/>
      <c r="C1368" s="75"/>
      <c r="D1368" s="76"/>
      <c r="E1368" s="5"/>
      <c r="F1368" s="5"/>
    </row>
    <row r="1369" spans="1:6" x14ac:dyDescent="0.3">
      <c r="A1369" s="1"/>
      <c r="B1369" s="4"/>
      <c r="C1369" s="75"/>
      <c r="D1369" s="76"/>
      <c r="E1369" s="5"/>
      <c r="F1369" s="5"/>
    </row>
    <row r="1370" spans="1:6" x14ac:dyDescent="0.3">
      <c r="A1370" s="1"/>
      <c r="B1370" s="4"/>
      <c r="C1370" s="75"/>
      <c r="D1370" s="76"/>
      <c r="E1370" s="5"/>
      <c r="F1370" s="5"/>
    </row>
    <row r="1371" spans="1:6" x14ac:dyDescent="0.3">
      <c r="A1371" s="1"/>
      <c r="B1371" s="4"/>
      <c r="C1371" s="75"/>
      <c r="D1371" s="76"/>
      <c r="E1371" s="5"/>
      <c r="F1371" s="5"/>
    </row>
    <row r="1372" spans="1:6" x14ac:dyDescent="0.3">
      <c r="A1372" s="1"/>
      <c r="B1372" s="4"/>
      <c r="C1372" s="75"/>
      <c r="D1372" s="76"/>
      <c r="E1372" s="5"/>
      <c r="F1372" s="5"/>
    </row>
    <row r="1373" spans="1:6" x14ac:dyDescent="0.3">
      <c r="A1373" s="1"/>
      <c r="B1373" s="4"/>
      <c r="C1373" s="75"/>
      <c r="D1373" s="76"/>
      <c r="E1373" s="5"/>
      <c r="F1373" s="5"/>
    </row>
    <row r="1374" spans="1:6" x14ac:dyDescent="0.3">
      <c r="A1374" s="1"/>
      <c r="B1374" s="4"/>
      <c r="C1374" s="75"/>
      <c r="D1374" s="76"/>
      <c r="E1374" s="5"/>
      <c r="F1374" s="5"/>
    </row>
    <row r="1375" spans="1:6" x14ac:dyDescent="0.3">
      <c r="A1375" s="1"/>
      <c r="B1375" s="4"/>
      <c r="C1375" s="75"/>
      <c r="D1375" s="76"/>
      <c r="E1375" s="5"/>
      <c r="F1375" s="5"/>
    </row>
    <row r="1376" spans="1:6" x14ac:dyDescent="0.3">
      <c r="A1376" s="1"/>
      <c r="B1376" s="4"/>
      <c r="C1376" s="75"/>
      <c r="D1376" s="76"/>
      <c r="E1376" s="5"/>
      <c r="F1376" s="5"/>
    </row>
    <row r="1377" spans="1:6" x14ac:dyDescent="0.3">
      <c r="A1377" s="1"/>
      <c r="B1377" s="4"/>
      <c r="C1377" s="75"/>
      <c r="D1377" s="76"/>
      <c r="E1377" s="5"/>
      <c r="F1377" s="5"/>
    </row>
    <row r="1378" spans="1:6" x14ac:dyDescent="0.3">
      <c r="A1378" s="1"/>
      <c r="B1378" s="4"/>
      <c r="C1378" s="75"/>
      <c r="D1378" s="76"/>
      <c r="E1378" s="5"/>
      <c r="F1378" s="5"/>
    </row>
    <row r="1379" spans="1:6" x14ac:dyDescent="0.3">
      <c r="A1379" s="1"/>
      <c r="B1379" s="4"/>
      <c r="C1379" s="75"/>
      <c r="D1379" s="76"/>
      <c r="E1379" s="5"/>
      <c r="F1379" s="5"/>
    </row>
    <row r="1380" spans="1:6" x14ac:dyDescent="0.3">
      <c r="A1380" s="1"/>
      <c r="B1380" s="4"/>
      <c r="C1380" s="75"/>
      <c r="D1380" s="76"/>
      <c r="E1380" s="5"/>
      <c r="F1380" s="5"/>
    </row>
    <row r="1381" spans="1:6" x14ac:dyDescent="0.3">
      <c r="A1381" s="1"/>
      <c r="B1381" s="4"/>
      <c r="C1381" s="75"/>
      <c r="D1381" s="76"/>
      <c r="E1381" s="5"/>
      <c r="F1381" s="5"/>
    </row>
    <row r="1382" spans="1:6" x14ac:dyDescent="0.3">
      <c r="A1382" s="1"/>
      <c r="B1382" s="4"/>
      <c r="C1382" s="75"/>
      <c r="D1382" s="76"/>
      <c r="E1382" s="5"/>
      <c r="F1382" s="5"/>
    </row>
    <row r="1383" spans="1:6" x14ac:dyDescent="0.3">
      <c r="A1383" s="1"/>
      <c r="B1383" s="4"/>
      <c r="C1383" s="75"/>
      <c r="D1383" s="76"/>
      <c r="E1383" s="5"/>
      <c r="F1383" s="5"/>
    </row>
    <row r="1384" spans="1:6" x14ac:dyDescent="0.3">
      <c r="A1384" s="1"/>
      <c r="B1384" s="4"/>
      <c r="C1384" s="75"/>
      <c r="D1384" s="76"/>
      <c r="E1384" s="5"/>
      <c r="F1384" s="5"/>
    </row>
    <row r="1385" spans="1:6" x14ac:dyDescent="0.3">
      <c r="A1385" s="1"/>
      <c r="B1385" s="4"/>
      <c r="C1385" s="75"/>
      <c r="D1385" s="76"/>
      <c r="E1385" s="5"/>
      <c r="F1385" s="5"/>
    </row>
    <row r="1386" spans="1:6" x14ac:dyDescent="0.3">
      <c r="A1386" s="1"/>
      <c r="B1386" s="4"/>
      <c r="C1386" s="75"/>
      <c r="D1386" s="76"/>
      <c r="E1386" s="5"/>
      <c r="F1386" s="5"/>
    </row>
    <row r="1387" spans="1:6" x14ac:dyDescent="0.3">
      <c r="A1387" s="1"/>
      <c r="B1387" s="4"/>
      <c r="C1387" s="75"/>
      <c r="D1387" s="76"/>
      <c r="E1387" s="5"/>
      <c r="F1387" s="5"/>
    </row>
    <row r="1388" spans="1:6" x14ac:dyDescent="0.3">
      <c r="A1388" s="1"/>
      <c r="B1388" s="4"/>
      <c r="C1388" s="75"/>
      <c r="D1388" s="76"/>
      <c r="E1388" s="5"/>
      <c r="F1388" s="5"/>
    </row>
    <row r="1389" spans="1:6" x14ac:dyDescent="0.3">
      <c r="A1389" s="1"/>
      <c r="B1389" s="4"/>
      <c r="C1389" s="75"/>
      <c r="D1389" s="76"/>
      <c r="E1389" s="5"/>
      <c r="F1389" s="5"/>
    </row>
    <row r="1390" spans="1:6" x14ac:dyDescent="0.3">
      <c r="A1390" s="1"/>
      <c r="B1390" s="4"/>
      <c r="C1390" s="75"/>
      <c r="D1390" s="76"/>
      <c r="E1390" s="5"/>
      <c r="F1390" s="5"/>
    </row>
    <row r="1391" spans="1:6" x14ac:dyDescent="0.3">
      <c r="A1391" s="1"/>
      <c r="B1391" s="4"/>
      <c r="C1391" s="75"/>
      <c r="D1391" s="76"/>
      <c r="E1391" s="5"/>
      <c r="F1391" s="5"/>
    </row>
    <row r="1392" spans="1:6" x14ac:dyDescent="0.3">
      <c r="A1392" s="1"/>
      <c r="B1392" s="4"/>
      <c r="C1392" s="75"/>
      <c r="D1392" s="76"/>
      <c r="E1392" s="5"/>
      <c r="F1392" s="5"/>
    </row>
    <row r="1393" spans="1:6" x14ac:dyDescent="0.3">
      <c r="A1393" s="1"/>
      <c r="B1393" s="4"/>
      <c r="C1393" s="75"/>
      <c r="D1393" s="76"/>
      <c r="E1393" s="5"/>
      <c r="F1393" s="5"/>
    </row>
    <row r="1394" spans="1:6" x14ac:dyDescent="0.3">
      <c r="A1394" s="1"/>
      <c r="B1394" s="4"/>
      <c r="C1394" s="75"/>
      <c r="D1394" s="76"/>
      <c r="E1394" s="5"/>
      <c r="F1394" s="5"/>
    </row>
    <row r="1395" spans="1:6" x14ac:dyDescent="0.3">
      <c r="A1395" s="1"/>
      <c r="B1395" s="4"/>
      <c r="C1395" s="75"/>
      <c r="D1395" s="76"/>
      <c r="E1395" s="5"/>
      <c r="F1395" s="5"/>
    </row>
    <row r="1396" spans="1:6" x14ac:dyDescent="0.3">
      <c r="A1396" s="1"/>
      <c r="B1396" s="4"/>
      <c r="C1396" s="75"/>
      <c r="D1396" s="76"/>
      <c r="E1396" s="5"/>
      <c r="F1396" s="5"/>
    </row>
    <row r="1397" spans="1:6" x14ac:dyDescent="0.3">
      <c r="A1397" s="1"/>
      <c r="B1397" s="4"/>
      <c r="C1397" s="75"/>
      <c r="D1397" s="76"/>
      <c r="E1397" s="5"/>
      <c r="F1397" s="5"/>
    </row>
    <row r="1398" spans="1:6" x14ac:dyDescent="0.3">
      <c r="A1398" s="1"/>
      <c r="B1398" s="4"/>
      <c r="C1398" s="75"/>
      <c r="D1398" s="76"/>
      <c r="E1398" s="5"/>
      <c r="F1398" s="5"/>
    </row>
    <row r="1399" spans="1:6" x14ac:dyDescent="0.3">
      <c r="A1399" s="1"/>
      <c r="B1399" s="4"/>
      <c r="C1399" s="75"/>
      <c r="D1399" s="76"/>
      <c r="E1399" s="5"/>
      <c r="F1399" s="5"/>
    </row>
    <row r="1400" spans="1:6" x14ac:dyDescent="0.3">
      <c r="A1400" s="1"/>
      <c r="B1400" s="4"/>
      <c r="C1400" s="75"/>
      <c r="D1400" s="76"/>
      <c r="E1400" s="5"/>
      <c r="F1400" s="5"/>
    </row>
    <row r="1401" spans="1:6" x14ac:dyDescent="0.3">
      <c r="A1401" s="1"/>
      <c r="B1401" s="4"/>
      <c r="C1401" s="75"/>
      <c r="D1401" s="76"/>
      <c r="E1401" s="5"/>
      <c r="F1401" s="5"/>
    </row>
    <row r="1402" spans="1:6" x14ac:dyDescent="0.3">
      <c r="A1402" s="1"/>
      <c r="B1402" s="4"/>
      <c r="C1402" s="75"/>
      <c r="D1402" s="76"/>
      <c r="E1402" s="5"/>
      <c r="F1402" s="5"/>
    </row>
    <row r="1403" spans="1:6" x14ac:dyDescent="0.3">
      <c r="A1403" s="1"/>
      <c r="B1403" s="4"/>
      <c r="C1403" s="75"/>
      <c r="D1403" s="76"/>
      <c r="E1403" s="5"/>
      <c r="F1403" s="5"/>
    </row>
    <row r="1404" spans="1:6" x14ac:dyDescent="0.3">
      <c r="A1404" s="1"/>
      <c r="B1404" s="4"/>
      <c r="C1404" s="75"/>
      <c r="D1404" s="76"/>
      <c r="E1404" s="5"/>
      <c r="F1404" s="5"/>
    </row>
    <row r="1405" spans="1:6" x14ac:dyDescent="0.3">
      <c r="A1405" s="1"/>
      <c r="B1405" s="4"/>
      <c r="C1405" s="75"/>
      <c r="D1405" s="76"/>
      <c r="E1405" s="5"/>
      <c r="F1405" s="5"/>
    </row>
    <row r="1406" spans="1:6" x14ac:dyDescent="0.3">
      <c r="A1406" s="1"/>
      <c r="B1406" s="4"/>
      <c r="C1406" s="75"/>
      <c r="D1406" s="76"/>
      <c r="E1406" s="5"/>
      <c r="F1406" s="5"/>
    </row>
    <row r="1407" spans="1:6" x14ac:dyDescent="0.3">
      <c r="A1407" s="1"/>
      <c r="B1407" s="4"/>
      <c r="C1407" s="75"/>
      <c r="D1407" s="76"/>
      <c r="E1407" s="5"/>
      <c r="F1407" s="5"/>
    </row>
    <row r="1408" spans="1:6" x14ac:dyDescent="0.3">
      <c r="A1408" s="1"/>
      <c r="B1408" s="4"/>
      <c r="C1408" s="75"/>
      <c r="D1408" s="76"/>
      <c r="E1408" s="5"/>
      <c r="F1408" s="5"/>
    </row>
    <row r="1409" spans="1:6" x14ac:dyDescent="0.3">
      <c r="A1409" s="1"/>
      <c r="B1409" s="4"/>
      <c r="C1409" s="75"/>
      <c r="D1409" s="76"/>
      <c r="E1409" s="5"/>
      <c r="F1409" s="5"/>
    </row>
    <row r="1410" spans="1:6" x14ac:dyDescent="0.3">
      <c r="A1410" s="1"/>
      <c r="B1410" s="4"/>
      <c r="C1410" s="75"/>
      <c r="D1410" s="76"/>
      <c r="E1410" s="5"/>
      <c r="F1410" s="5"/>
    </row>
    <row r="1411" spans="1:6" x14ac:dyDescent="0.3">
      <c r="A1411" s="1"/>
      <c r="B1411" s="4"/>
      <c r="C1411" s="75"/>
      <c r="D1411" s="76"/>
      <c r="E1411" s="5"/>
      <c r="F1411" s="5"/>
    </row>
    <row r="1412" spans="1:6" x14ac:dyDescent="0.3">
      <c r="A1412" s="1"/>
      <c r="B1412" s="4"/>
      <c r="C1412" s="75"/>
      <c r="D1412" s="76"/>
      <c r="E1412" s="5"/>
      <c r="F1412" s="5"/>
    </row>
    <row r="1413" spans="1:6" x14ac:dyDescent="0.3">
      <c r="A1413" s="1"/>
      <c r="B1413" s="4"/>
      <c r="C1413" s="75"/>
      <c r="D1413" s="76"/>
      <c r="E1413" s="5"/>
      <c r="F1413" s="5"/>
    </row>
    <row r="1414" spans="1:6" x14ac:dyDescent="0.3">
      <c r="A1414" s="1"/>
      <c r="B1414" s="4"/>
      <c r="C1414" s="75"/>
      <c r="D1414" s="76"/>
      <c r="E1414" s="5"/>
      <c r="F1414" s="5"/>
    </row>
    <row r="1415" spans="1:6" x14ac:dyDescent="0.3">
      <c r="A1415" s="1"/>
      <c r="B1415" s="4"/>
      <c r="C1415" s="75"/>
      <c r="D1415" s="76"/>
      <c r="E1415" s="5"/>
      <c r="F1415" s="5"/>
    </row>
    <row r="1416" spans="1:6" x14ac:dyDescent="0.3">
      <c r="A1416" s="1"/>
      <c r="B1416" s="4"/>
      <c r="C1416" s="75"/>
      <c r="D1416" s="76"/>
      <c r="E1416" s="5"/>
      <c r="F1416" s="5"/>
    </row>
    <row r="1417" spans="1:6" x14ac:dyDescent="0.3">
      <c r="A1417" s="1"/>
      <c r="B1417" s="4"/>
      <c r="C1417" s="75"/>
      <c r="D1417" s="76"/>
      <c r="E1417" s="5"/>
      <c r="F1417" s="5"/>
    </row>
    <row r="1418" spans="1:6" x14ac:dyDescent="0.3">
      <c r="A1418" s="1"/>
      <c r="B1418" s="4"/>
      <c r="C1418" s="75"/>
      <c r="D1418" s="76"/>
      <c r="E1418" s="5"/>
      <c r="F1418" s="5"/>
    </row>
    <row r="1419" spans="1:6" x14ac:dyDescent="0.3">
      <c r="A1419" s="1"/>
      <c r="B1419" s="4"/>
      <c r="C1419" s="75"/>
      <c r="D1419" s="76"/>
      <c r="E1419" s="5"/>
      <c r="F1419" s="5"/>
    </row>
    <row r="1420" spans="1:6" x14ac:dyDescent="0.3">
      <c r="A1420" s="1"/>
      <c r="B1420" s="4"/>
      <c r="C1420" s="75"/>
      <c r="D1420" s="76"/>
      <c r="E1420" s="5"/>
      <c r="F1420" s="5"/>
    </row>
    <row r="1421" spans="1:6" x14ac:dyDescent="0.3">
      <c r="A1421" s="1"/>
      <c r="B1421" s="4"/>
      <c r="C1421" s="75"/>
      <c r="D1421" s="76"/>
      <c r="E1421" s="5"/>
      <c r="F1421" s="5"/>
    </row>
    <row r="1422" spans="1:6" x14ac:dyDescent="0.3">
      <c r="A1422" s="1"/>
      <c r="B1422" s="4"/>
      <c r="C1422" s="75"/>
      <c r="D1422" s="76"/>
      <c r="E1422" s="5"/>
      <c r="F1422" s="5"/>
    </row>
    <row r="1423" spans="1:6" x14ac:dyDescent="0.3">
      <c r="A1423" s="1"/>
      <c r="B1423" s="4"/>
      <c r="C1423" s="75"/>
      <c r="D1423" s="76"/>
      <c r="E1423" s="5"/>
      <c r="F1423" s="5"/>
    </row>
    <row r="1424" spans="1:6" x14ac:dyDescent="0.3">
      <c r="A1424" s="1"/>
      <c r="B1424" s="4"/>
      <c r="C1424" s="75"/>
      <c r="D1424" s="76"/>
      <c r="E1424" s="5"/>
      <c r="F1424" s="5"/>
    </row>
    <row r="1425" spans="1:6" x14ac:dyDescent="0.3">
      <c r="A1425" s="1"/>
      <c r="B1425" s="4"/>
      <c r="C1425" s="75"/>
      <c r="D1425" s="76"/>
      <c r="E1425" s="5"/>
      <c r="F1425" s="5"/>
    </row>
    <row r="1426" spans="1:6" x14ac:dyDescent="0.3">
      <c r="A1426" s="1"/>
      <c r="B1426" s="4"/>
      <c r="C1426" s="75"/>
      <c r="D1426" s="76"/>
      <c r="E1426" s="5"/>
      <c r="F1426" s="5"/>
    </row>
    <row r="1427" spans="1:6" x14ac:dyDescent="0.3">
      <c r="A1427" s="1"/>
      <c r="B1427" s="4"/>
      <c r="C1427" s="75"/>
      <c r="D1427" s="76"/>
      <c r="E1427" s="5"/>
      <c r="F1427" s="5"/>
    </row>
    <row r="1428" spans="1:6" x14ac:dyDescent="0.3">
      <c r="A1428" s="1"/>
      <c r="B1428" s="4"/>
      <c r="C1428" s="75"/>
      <c r="D1428" s="76"/>
      <c r="E1428" s="5"/>
      <c r="F1428" s="5"/>
    </row>
    <row r="1429" spans="1:6" x14ac:dyDescent="0.3">
      <c r="A1429" s="1"/>
      <c r="B1429" s="4"/>
      <c r="C1429" s="75"/>
      <c r="D1429" s="76"/>
      <c r="E1429" s="5"/>
      <c r="F1429" s="5"/>
    </row>
    <row r="1430" spans="1:6" x14ac:dyDescent="0.3">
      <c r="A1430" s="1"/>
      <c r="B1430" s="4"/>
      <c r="C1430" s="75"/>
      <c r="D1430" s="76"/>
      <c r="E1430" s="5"/>
      <c r="F1430" s="5"/>
    </row>
    <row r="1431" spans="1:6" x14ac:dyDescent="0.3">
      <c r="A1431" s="1"/>
      <c r="B1431" s="4"/>
      <c r="C1431" s="75"/>
      <c r="D1431" s="76"/>
      <c r="E1431" s="5"/>
      <c r="F1431" s="5"/>
    </row>
    <row r="1432" spans="1:6" x14ac:dyDescent="0.3">
      <c r="A1432" s="1"/>
      <c r="B1432" s="4"/>
      <c r="C1432" s="75"/>
      <c r="D1432" s="76"/>
      <c r="E1432" s="5"/>
      <c r="F1432" s="5"/>
    </row>
    <row r="1433" spans="1:6" x14ac:dyDescent="0.3">
      <c r="A1433" s="1"/>
      <c r="B1433" s="4"/>
      <c r="C1433" s="75"/>
      <c r="D1433" s="76"/>
      <c r="E1433" s="5"/>
      <c r="F1433" s="5"/>
    </row>
    <row r="1434" spans="1:6" x14ac:dyDescent="0.3">
      <c r="A1434" s="1"/>
      <c r="B1434" s="4"/>
      <c r="C1434" s="75"/>
      <c r="D1434" s="76"/>
      <c r="E1434" s="5"/>
      <c r="F1434" s="5"/>
    </row>
    <row r="1435" spans="1:6" x14ac:dyDescent="0.3">
      <c r="A1435" s="1"/>
      <c r="B1435" s="4"/>
      <c r="C1435" s="75"/>
      <c r="D1435" s="76"/>
      <c r="E1435" s="5"/>
      <c r="F1435" s="5"/>
    </row>
    <row r="1436" spans="1:6" x14ac:dyDescent="0.3">
      <c r="A1436" s="1"/>
      <c r="B1436" s="4"/>
      <c r="C1436" s="75"/>
      <c r="D1436" s="76"/>
      <c r="E1436" s="5"/>
      <c r="F1436" s="5"/>
    </row>
    <row r="1437" spans="1:6" x14ac:dyDescent="0.3">
      <c r="A1437" s="1"/>
      <c r="B1437" s="4"/>
      <c r="C1437" s="75"/>
      <c r="D1437" s="76"/>
      <c r="E1437" s="5"/>
      <c r="F1437" s="5"/>
    </row>
    <row r="1438" spans="1:6" x14ac:dyDescent="0.3">
      <c r="A1438" s="1"/>
      <c r="B1438" s="4"/>
      <c r="C1438" s="75"/>
      <c r="D1438" s="76"/>
      <c r="E1438" s="5"/>
      <c r="F1438" s="5"/>
    </row>
    <row r="1439" spans="1:6" x14ac:dyDescent="0.3">
      <c r="A1439" s="1"/>
      <c r="B1439" s="4"/>
      <c r="C1439" s="75"/>
      <c r="D1439" s="76"/>
      <c r="E1439" s="5"/>
      <c r="F1439" s="5"/>
    </row>
    <row r="1440" spans="1:6" x14ac:dyDescent="0.3">
      <c r="A1440" s="1"/>
      <c r="B1440" s="4"/>
      <c r="C1440" s="75"/>
      <c r="D1440" s="76"/>
      <c r="E1440" s="5"/>
      <c r="F1440" s="5"/>
    </row>
    <row r="1441" spans="1:6" x14ac:dyDescent="0.3">
      <c r="A1441" s="1"/>
      <c r="B1441" s="4"/>
      <c r="C1441" s="75"/>
      <c r="D1441" s="76"/>
      <c r="E1441" s="5"/>
      <c r="F1441" s="5"/>
    </row>
    <row r="1442" spans="1:6" x14ac:dyDescent="0.3">
      <c r="A1442" s="1"/>
      <c r="B1442" s="4"/>
      <c r="C1442" s="75"/>
      <c r="D1442" s="76"/>
      <c r="E1442" s="5"/>
      <c r="F1442" s="5"/>
    </row>
    <row r="1443" spans="1:6" x14ac:dyDescent="0.3">
      <c r="A1443" s="1"/>
      <c r="B1443" s="4"/>
      <c r="C1443" s="75"/>
      <c r="D1443" s="76"/>
      <c r="E1443" s="5"/>
      <c r="F1443" s="5"/>
    </row>
    <row r="1444" spans="1:6" x14ac:dyDescent="0.3">
      <c r="A1444" s="1"/>
      <c r="B1444" s="4"/>
      <c r="C1444" s="75"/>
      <c r="D1444" s="76"/>
      <c r="E1444" s="5"/>
      <c r="F1444" s="5"/>
    </row>
    <row r="1445" spans="1:6" x14ac:dyDescent="0.3">
      <c r="A1445" s="1"/>
      <c r="B1445" s="4"/>
      <c r="C1445" s="75"/>
      <c r="D1445" s="76"/>
      <c r="E1445" s="5"/>
      <c r="F1445" s="5"/>
    </row>
    <row r="1446" spans="1:6" x14ac:dyDescent="0.3">
      <c r="A1446" s="1"/>
      <c r="B1446" s="4"/>
      <c r="C1446" s="75"/>
      <c r="D1446" s="76"/>
      <c r="E1446" s="5"/>
      <c r="F1446" s="5"/>
    </row>
    <row r="1447" spans="1:6" x14ac:dyDescent="0.3">
      <c r="A1447" s="1"/>
      <c r="B1447" s="4"/>
      <c r="C1447" s="75"/>
      <c r="D1447" s="76"/>
      <c r="E1447" s="5"/>
      <c r="F1447" s="5"/>
    </row>
    <row r="1448" spans="1:6" x14ac:dyDescent="0.3">
      <c r="A1448" s="1"/>
      <c r="B1448" s="4"/>
      <c r="C1448" s="75"/>
      <c r="D1448" s="76"/>
      <c r="E1448" s="5"/>
      <c r="F1448" s="5"/>
    </row>
    <row r="1449" spans="1:6" x14ac:dyDescent="0.3">
      <c r="A1449" s="1"/>
      <c r="B1449" s="4"/>
      <c r="C1449" s="75"/>
      <c r="D1449" s="76"/>
      <c r="E1449" s="5"/>
      <c r="F1449" s="5"/>
    </row>
    <row r="1450" spans="1:6" x14ac:dyDescent="0.3">
      <c r="A1450" s="1"/>
      <c r="B1450" s="4"/>
      <c r="C1450" s="75"/>
      <c r="D1450" s="76"/>
      <c r="E1450" s="5"/>
      <c r="F1450" s="5"/>
    </row>
    <row r="1451" spans="1:6" x14ac:dyDescent="0.3">
      <c r="A1451" s="1"/>
      <c r="B1451" s="4"/>
      <c r="C1451" s="75"/>
      <c r="D1451" s="76"/>
      <c r="E1451" s="5"/>
      <c r="F1451" s="5"/>
    </row>
    <row r="1452" spans="1:6" x14ac:dyDescent="0.3">
      <c r="A1452" s="1"/>
      <c r="B1452" s="4"/>
      <c r="C1452" s="75"/>
      <c r="D1452" s="76"/>
      <c r="E1452" s="5"/>
      <c r="F1452" s="5"/>
    </row>
    <row r="1453" spans="1:6" x14ac:dyDescent="0.3">
      <c r="A1453" s="1"/>
      <c r="B1453" s="4"/>
      <c r="C1453" s="75"/>
      <c r="D1453" s="76"/>
      <c r="E1453" s="5"/>
      <c r="F1453" s="5"/>
    </row>
    <row r="1454" spans="1:6" x14ac:dyDescent="0.3">
      <c r="A1454" s="1"/>
      <c r="B1454" s="4"/>
      <c r="C1454" s="75"/>
      <c r="D1454" s="76"/>
      <c r="E1454" s="5"/>
      <c r="F1454" s="5"/>
    </row>
    <row r="1455" spans="1:6" x14ac:dyDescent="0.3">
      <c r="A1455" s="1"/>
      <c r="B1455" s="4"/>
      <c r="C1455" s="75"/>
      <c r="D1455" s="76"/>
      <c r="E1455" s="5"/>
      <c r="F1455" s="5"/>
    </row>
    <row r="1456" spans="1:6" x14ac:dyDescent="0.3">
      <c r="A1456" s="1"/>
      <c r="B1456" s="4"/>
      <c r="C1456" s="75"/>
      <c r="D1456" s="76"/>
      <c r="E1456" s="5"/>
      <c r="F1456" s="5"/>
    </row>
    <row r="1457" spans="1:6" x14ac:dyDescent="0.3">
      <c r="A1457" s="1"/>
      <c r="B1457" s="4"/>
      <c r="C1457" s="75"/>
      <c r="D1457" s="76"/>
      <c r="E1457" s="5"/>
      <c r="F1457" s="5"/>
    </row>
    <row r="1458" spans="1:6" x14ac:dyDescent="0.3">
      <c r="A1458" s="1"/>
      <c r="B1458" s="4"/>
      <c r="C1458" s="75"/>
      <c r="D1458" s="76"/>
      <c r="E1458" s="5"/>
      <c r="F1458" s="5"/>
    </row>
    <row r="1459" spans="1:6" x14ac:dyDescent="0.3">
      <c r="A1459" s="1"/>
      <c r="B1459" s="4"/>
      <c r="C1459" s="75"/>
      <c r="D1459" s="76"/>
      <c r="E1459" s="5"/>
      <c r="F1459" s="5"/>
    </row>
    <row r="1460" spans="1:6" x14ac:dyDescent="0.3">
      <c r="A1460" s="1"/>
      <c r="B1460" s="4"/>
      <c r="C1460" s="75"/>
      <c r="D1460" s="76"/>
      <c r="E1460" s="5"/>
      <c r="F1460" s="5"/>
    </row>
    <row r="1461" spans="1:6" x14ac:dyDescent="0.3">
      <c r="A1461" s="1"/>
      <c r="B1461" s="4"/>
      <c r="C1461" s="75"/>
      <c r="D1461" s="76"/>
      <c r="E1461" s="5"/>
      <c r="F1461" s="5"/>
    </row>
    <row r="1462" spans="1:6" x14ac:dyDescent="0.3">
      <c r="A1462" s="1"/>
      <c r="B1462" s="4"/>
      <c r="C1462" s="75"/>
      <c r="D1462" s="76"/>
      <c r="E1462" s="5"/>
      <c r="F1462" s="5"/>
    </row>
    <row r="1463" spans="1:6" x14ac:dyDescent="0.3">
      <c r="A1463" s="1"/>
      <c r="B1463" s="4"/>
      <c r="C1463" s="75"/>
      <c r="D1463" s="76"/>
      <c r="E1463" s="5"/>
      <c r="F1463" s="5"/>
    </row>
    <row r="1464" spans="1:6" x14ac:dyDescent="0.3">
      <c r="A1464" s="1"/>
      <c r="B1464" s="4"/>
      <c r="C1464" s="75"/>
      <c r="D1464" s="76"/>
      <c r="E1464" s="5"/>
      <c r="F1464" s="5"/>
    </row>
    <row r="1465" spans="1:6" x14ac:dyDescent="0.3">
      <c r="A1465" s="1"/>
      <c r="B1465" s="4"/>
      <c r="C1465" s="75"/>
      <c r="D1465" s="76"/>
      <c r="E1465" s="5"/>
      <c r="F1465" s="5"/>
    </row>
    <row r="1466" spans="1:6" x14ac:dyDescent="0.3">
      <c r="A1466" s="1"/>
      <c r="B1466" s="4"/>
      <c r="C1466" s="75"/>
      <c r="D1466" s="76"/>
      <c r="E1466" s="5"/>
      <c r="F1466" s="5"/>
    </row>
    <row r="1467" spans="1:6" x14ac:dyDescent="0.3">
      <c r="A1467" s="1"/>
      <c r="B1467" s="4"/>
      <c r="C1467" s="75"/>
      <c r="D1467" s="76"/>
      <c r="E1467" s="5"/>
      <c r="F1467" s="5"/>
    </row>
    <row r="1468" spans="1:6" x14ac:dyDescent="0.3">
      <c r="A1468" s="1"/>
      <c r="B1468" s="4"/>
      <c r="C1468" s="75"/>
      <c r="D1468" s="76"/>
      <c r="E1468" s="5"/>
      <c r="F1468" s="5"/>
    </row>
    <row r="1469" spans="1:6" x14ac:dyDescent="0.3">
      <c r="A1469" s="1"/>
      <c r="B1469" s="4"/>
      <c r="C1469" s="75"/>
      <c r="D1469" s="76"/>
      <c r="E1469" s="5"/>
      <c r="F1469" s="5"/>
    </row>
    <row r="1470" spans="1:6" x14ac:dyDescent="0.3">
      <c r="A1470" s="1"/>
      <c r="B1470" s="4"/>
      <c r="C1470" s="75"/>
      <c r="D1470" s="76"/>
      <c r="E1470" s="5"/>
      <c r="F1470" s="5"/>
    </row>
    <row r="1471" spans="1:6" x14ac:dyDescent="0.3">
      <c r="A1471" s="1"/>
      <c r="B1471" s="4"/>
      <c r="C1471" s="75"/>
      <c r="D1471" s="76"/>
      <c r="E1471" s="5"/>
      <c r="F1471" s="5"/>
    </row>
    <row r="1472" spans="1:6" x14ac:dyDescent="0.3">
      <c r="A1472" s="1"/>
      <c r="B1472" s="4"/>
      <c r="C1472" s="75"/>
      <c r="D1472" s="76"/>
      <c r="E1472" s="5"/>
      <c r="F1472" s="5"/>
    </row>
    <row r="1473" spans="1:6" x14ac:dyDescent="0.3">
      <c r="A1473" s="1"/>
      <c r="B1473" s="4"/>
      <c r="C1473" s="75"/>
      <c r="D1473" s="76"/>
      <c r="E1473" s="5"/>
      <c r="F1473" s="5"/>
    </row>
    <row r="1474" spans="1:6" x14ac:dyDescent="0.3">
      <c r="A1474" s="1"/>
      <c r="B1474" s="4"/>
      <c r="C1474" s="75"/>
      <c r="D1474" s="76"/>
      <c r="E1474" s="5"/>
      <c r="F1474" s="5"/>
    </row>
    <row r="1475" spans="1:6" x14ac:dyDescent="0.3">
      <c r="A1475" s="1"/>
      <c r="B1475" s="4"/>
      <c r="C1475" s="75"/>
      <c r="D1475" s="76"/>
      <c r="E1475" s="5"/>
      <c r="F1475" s="5"/>
    </row>
    <row r="1476" spans="1:6" x14ac:dyDescent="0.3">
      <c r="A1476" s="1"/>
      <c r="B1476" s="4"/>
      <c r="C1476" s="75"/>
      <c r="D1476" s="76"/>
      <c r="E1476" s="5"/>
      <c r="F1476" s="5"/>
    </row>
    <row r="1477" spans="1:6" x14ac:dyDescent="0.3">
      <c r="A1477" s="1"/>
      <c r="B1477" s="4"/>
      <c r="C1477" s="75"/>
      <c r="D1477" s="76"/>
      <c r="E1477" s="5"/>
      <c r="F1477" s="5"/>
    </row>
    <row r="1478" spans="1:6" x14ac:dyDescent="0.3">
      <c r="A1478" s="1"/>
      <c r="B1478" s="4"/>
      <c r="C1478" s="75"/>
      <c r="D1478" s="76"/>
      <c r="E1478" s="5"/>
      <c r="F1478" s="5"/>
    </row>
    <row r="1479" spans="1:6" x14ac:dyDescent="0.3">
      <c r="A1479" s="1"/>
      <c r="B1479" s="4"/>
      <c r="C1479" s="75"/>
      <c r="D1479" s="76"/>
      <c r="E1479" s="5"/>
      <c r="F1479" s="5"/>
    </row>
    <row r="1480" spans="1:6" x14ac:dyDescent="0.3">
      <c r="A1480" s="1"/>
      <c r="B1480" s="4"/>
      <c r="C1480" s="75"/>
      <c r="D1480" s="76"/>
      <c r="E1480" s="5"/>
      <c r="F1480" s="5"/>
    </row>
    <row r="1481" spans="1:6" x14ac:dyDescent="0.3">
      <c r="A1481" s="1"/>
      <c r="B1481" s="4"/>
      <c r="C1481" s="75"/>
      <c r="D1481" s="76"/>
      <c r="E1481" s="5"/>
      <c r="F1481" s="5"/>
    </row>
    <row r="1482" spans="1:6" x14ac:dyDescent="0.3">
      <c r="A1482" s="1"/>
      <c r="B1482" s="4"/>
      <c r="C1482" s="75"/>
      <c r="D1482" s="76"/>
      <c r="E1482" s="5"/>
      <c r="F1482" s="5"/>
    </row>
    <row r="1483" spans="1:6" x14ac:dyDescent="0.3">
      <c r="A1483" s="1"/>
      <c r="B1483" s="4"/>
      <c r="C1483" s="75"/>
      <c r="D1483" s="76"/>
      <c r="E1483" s="5"/>
      <c r="F1483" s="5"/>
    </row>
    <row r="1484" spans="1:6" x14ac:dyDescent="0.3">
      <c r="A1484" s="1"/>
      <c r="B1484" s="4"/>
      <c r="C1484" s="75"/>
      <c r="D1484" s="76"/>
      <c r="E1484" s="5"/>
      <c r="F1484" s="5"/>
    </row>
    <row r="1485" spans="1:6" x14ac:dyDescent="0.3">
      <c r="A1485" s="1"/>
      <c r="B1485" s="4"/>
      <c r="C1485" s="75"/>
      <c r="D1485" s="76"/>
      <c r="E1485" s="5"/>
      <c r="F1485" s="5"/>
    </row>
    <row r="1486" spans="1:6" x14ac:dyDescent="0.3">
      <c r="A1486" s="1"/>
      <c r="B1486" s="4"/>
      <c r="C1486" s="75"/>
      <c r="D1486" s="76"/>
      <c r="E1486" s="5"/>
      <c r="F1486" s="5"/>
    </row>
    <row r="1487" spans="1:6" x14ac:dyDescent="0.3">
      <c r="A1487" s="1"/>
      <c r="B1487" s="4"/>
      <c r="C1487" s="75"/>
      <c r="D1487" s="76"/>
      <c r="E1487" s="5"/>
      <c r="F1487" s="5"/>
    </row>
    <row r="1488" spans="1:6" x14ac:dyDescent="0.3">
      <c r="A1488" s="1"/>
      <c r="B1488" s="4"/>
      <c r="C1488" s="75"/>
      <c r="D1488" s="76"/>
      <c r="E1488" s="5"/>
      <c r="F1488" s="5"/>
    </row>
    <row r="1489" spans="1:6" x14ac:dyDescent="0.3">
      <c r="A1489" s="1"/>
      <c r="B1489" s="4"/>
      <c r="C1489" s="75"/>
      <c r="D1489" s="76"/>
      <c r="E1489" s="5"/>
      <c r="F1489" s="5"/>
    </row>
    <row r="1490" spans="1:6" x14ac:dyDescent="0.3">
      <c r="A1490" s="1"/>
      <c r="B1490" s="4"/>
      <c r="C1490" s="75"/>
      <c r="D1490" s="76"/>
      <c r="E1490" s="5"/>
      <c r="F1490" s="5"/>
    </row>
    <row r="1491" spans="1:6" x14ac:dyDescent="0.3">
      <c r="A1491" s="1"/>
      <c r="B1491" s="4"/>
      <c r="C1491" s="75"/>
      <c r="D1491" s="76"/>
      <c r="E1491" s="5"/>
      <c r="F1491" s="5"/>
    </row>
    <row r="1492" spans="1:6" x14ac:dyDescent="0.3">
      <c r="A1492" s="1"/>
      <c r="B1492" s="4"/>
      <c r="C1492" s="75"/>
      <c r="D1492" s="76"/>
      <c r="E1492" s="5"/>
      <c r="F1492" s="5"/>
    </row>
    <row r="1493" spans="1:6" x14ac:dyDescent="0.3">
      <c r="A1493" s="1"/>
      <c r="B1493" s="4"/>
      <c r="C1493" s="75"/>
      <c r="D1493" s="76"/>
      <c r="E1493" s="5"/>
      <c r="F1493" s="5"/>
    </row>
    <row r="1494" spans="1:6" x14ac:dyDescent="0.3">
      <c r="A1494" s="1"/>
      <c r="B1494" s="4"/>
      <c r="C1494" s="75"/>
      <c r="D1494" s="76"/>
      <c r="E1494" s="5"/>
      <c r="F1494" s="5"/>
    </row>
    <row r="1495" spans="1:6" x14ac:dyDescent="0.3">
      <c r="A1495" s="1"/>
      <c r="B1495" s="4"/>
      <c r="C1495" s="75"/>
      <c r="D1495" s="76"/>
      <c r="E1495" s="5"/>
      <c r="F1495" s="5"/>
    </row>
    <row r="1496" spans="1:6" x14ac:dyDescent="0.3">
      <c r="A1496" s="1"/>
      <c r="B1496" s="4"/>
      <c r="C1496" s="75"/>
      <c r="D1496" s="76"/>
      <c r="E1496" s="5"/>
      <c r="F1496" s="5"/>
    </row>
    <row r="1497" spans="1:6" x14ac:dyDescent="0.3">
      <c r="A1497" s="1"/>
      <c r="B1497" s="4"/>
      <c r="C1497" s="75"/>
      <c r="D1497" s="76"/>
      <c r="E1497" s="5"/>
      <c r="F1497" s="5"/>
    </row>
    <row r="1498" spans="1:6" x14ac:dyDescent="0.3">
      <c r="A1498" s="1"/>
      <c r="B1498" s="4"/>
      <c r="C1498" s="75"/>
      <c r="D1498" s="76"/>
      <c r="E1498" s="5"/>
      <c r="F1498" s="5"/>
    </row>
    <row r="1499" spans="1:6" x14ac:dyDescent="0.3">
      <c r="A1499" s="1"/>
      <c r="B1499" s="4"/>
      <c r="C1499" s="75"/>
      <c r="D1499" s="76"/>
      <c r="E1499" s="5"/>
      <c r="F1499" s="5"/>
    </row>
    <row r="1500" spans="1:6" x14ac:dyDescent="0.3">
      <c r="A1500" s="1"/>
      <c r="B1500" s="4"/>
      <c r="C1500" s="75"/>
      <c r="D1500" s="76"/>
      <c r="E1500" s="5"/>
      <c r="F1500" s="5"/>
    </row>
    <row r="1501" spans="1:6" x14ac:dyDescent="0.3">
      <c r="A1501" s="1"/>
      <c r="B1501" s="4"/>
      <c r="C1501" s="75"/>
      <c r="D1501" s="76"/>
      <c r="E1501" s="5"/>
      <c r="F1501" s="5"/>
    </row>
    <row r="1502" spans="1:6" x14ac:dyDescent="0.3">
      <c r="A1502" s="1"/>
      <c r="B1502" s="4"/>
      <c r="C1502" s="75"/>
      <c r="D1502" s="76"/>
      <c r="E1502" s="5"/>
      <c r="F1502" s="5"/>
    </row>
    <row r="1503" spans="1:6" x14ac:dyDescent="0.3">
      <c r="A1503" s="1"/>
      <c r="B1503" s="4"/>
      <c r="C1503" s="75"/>
      <c r="D1503" s="76"/>
      <c r="E1503" s="5"/>
      <c r="F1503" s="5"/>
    </row>
    <row r="1504" spans="1:6" x14ac:dyDescent="0.3">
      <c r="A1504" s="1"/>
      <c r="B1504" s="4"/>
      <c r="C1504" s="75"/>
      <c r="D1504" s="76"/>
      <c r="E1504" s="5"/>
      <c r="F1504" s="5"/>
    </row>
    <row r="1505" spans="1:6" x14ac:dyDescent="0.3">
      <c r="A1505" s="1"/>
      <c r="B1505" s="4"/>
      <c r="C1505" s="75"/>
      <c r="D1505" s="76"/>
      <c r="E1505" s="5"/>
      <c r="F1505" s="5"/>
    </row>
    <row r="1506" spans="1:6" x14ac:dyDescent="0.3">
      <c r="A1506" s="1"/>
      <c r="B1506" s="4"/>
      <c r="C1506" s="75"/>
      <c r="D1506" s="76"/>
      <c r="E1506" s="5"/>
      <c r="F1506" s="5"/>
    </row>
    <row r="1507" spans="1:6" x14ac:dyDescent="0.3">
      <c r="A1507" s="1"/>
      <c r="B1507" s="4"/>
      <c r="C1507" s="75"/>
      <c r="D1507" s="76"/>
      <c r="E1507" s="5"/>
      <c r="F1507" s="5"/>
    </row>
    <row r="1508" spans="1:6" x14ac:dyDescent="0.3">
      <c r="A1508" s="1"/>
      <c r="B1508" s="4"/>
      <c r="C1508" s="75"/>
      <c r="D1508" s="76"/>
      <c r="E1508" s="5"/>
      <c r="F1508" s="5"/>
    </row>
    <row r="1509" spans="1:6" x14ac:dyDescent="0.3">
      <c r="A1509" s="1"/>
      <c r="B1509" s="4"/>
      <c r="C1509" s="75"/>
      <c r="D1509" s="76"/>
      <c r="E1509" s="5"/>
      <c r="F1509" s="5"/>
    </row>
    <row r="1510" spans="1:6" x14ac:dyDescent="0.3">
      <c r="A1510" s="1"/>
      <c r="B1510" s="4"/>
      <c r="C1510" s="75"/>
      <c r="D1510" s="76"/>
      <c r="E1510" s="5"/>
      <c r="F1510" s="5"/>
    </row>
    <row r="1511" spans="1:6" x14ac:dyDescent="0.3">
      <c r="A1511" s="1"/>
      <c r="B1511" s="4"/>
      <c r="C1511" s="75"/>
      <c r="D1511" s="76"/>
      <c r="E1511" s="5"/>
      <c r="F1511" s="5"/>
    </row>
    <row r="1512" spans="1:6" x14ac:dyDescent="0.3">
      <c r="A1512" s="1"/>
      <c r="B1512" s="4"/>
      <c r="C1512" s="75"/>
      <c r="D1512" s="76"/>
      <c r="E1512" s="5"/>
      <c r="F1512" s="5"/>
    </row>
    <row r="1513" spans="1:6" x14ac:dyDescent="0.3">
      <c r="A1513" s="1"/>
      <c r="B1513" s="4"/>
      <c r="C1513" s="75"/>
      <c r="D1513" s="76"/>
      <c r="E1513" s="5"/>
      <c r="F1513" s="5"/>
    </row>
    <row r="1514" spans="1:6" x14ac:dyDescent="0.3">
      <c r="A1514" s="1"/>
      <c r="B1514" s="4"/>
      <c r="C1514" s="75"/>
      <c r="D1514" s="76"/>
      <c r="E1514" s="5"/>
      <c r="F1514" s="5"/>
    </row>
    <row r="1515" spans="1:6" x14ac:dyDescent="0.3">
      <c r="A1515" s="1"/>
      <c r="B1515" s="4"/>
      <c r="C1515" s="75"/>
      <c r="D1515" s="76"/>
      <c r="E1515" s="5"/>
      <c r="F1515" s="5"/>
    </row>
    <row r="1516" spans="1:6" x14ac:dyDescent="0.3">
      <c r="A1516" s="1"/>
      <c r="B1516" s="4"/>
      <c r="C1516" s="75"/>
      <c r="D1516" s="76"/>
      <c r="E1516" s="5"/>
      <c r="F1516" s="5"/>
    </row>
    <row r="1517" spans="1:6" x14ac:dyDescent="0.3">
      <c r="A1517" s="1"/>
      <c r="B1517" s="4"/>
      <c r="C1517" s="75"/>
      <c r="D1517" s="76"/>
      <c r="E1517" s="5"/>
      <c r="F1517" s="5"/>
    </row>
    <row r="1518" spans="1:6" x14ac:dyDescent="0.3">
      <c r="A1518" s="1"/>
      <c r="B1518" s="4"/>
      <c r="C1518" s="75"/>
      <c r="D1518" s="76"/>
      <c r="E1518" s="5"/>
      <c r="F1518" s="5"/>
    </row>
    <row r="1519" spans="1:6" x14ac:dyDescent="0.3">
      <c r="A1519" s="1"/>
      <c r="B1519" s="4"/>
      <c r="C1519" s="75"/>
      <c r="D1519" s="76"/>
      <c r="E1519" s="5"/>
      <c r="F1519" s="5"/>
    </row>
    <row r="1520" spans="1:6" x14ac:dyDescent="0.3">
      <c r="A1520" s="1"/>
      <c r="B1520" s="4"/>
      <c r="C1520" s="75"/>
      <c r="D1520" s="76"/>
      <c r="E1520" s="5"/>
      <c r="F1520" s="5"/>
    </row>
    <row r="1521" spans="1:6" x14ac:dyDescent="0.3">
      <c r="A1521" s="1"/>
      <c r="B1521" s="4"/>
      <c r="C1521" s="75"/>
      <c r="D1521" s="76"/>
      <c r="E1521" s="5"/>
      <c r="F1521" s="5"/>
    </row>
    <row r="1522" spans="1:6" x14ac:dyDescent="0.3">
      <c r="A1522" s="1"/>
      <c r="B1522" s="4"/>
      <c r="C1522" s="75"/>
      <c r="D1522" s="76"/>
      <c r="E1522" s="5"/>
      <c r="F1522" s="5"/>
    </row>
    <row r="1523" spans="1:6" x14ac:dyDescent="0.3">
      <c r="A1523" s="1"/>
      <c r="B1523" s="4"/>
      <c r="C1523" s="75"/>
      <c r="D1523" s="76"/>
      <c r="E1523" s="5"/>
      <c r="F1523" s="5"/>
    </row>
    <row r="1524" spans="1:6" x14ac:dyDescent="0.3">
      <c r="A1524" s="1"/>
      <c r="B1524" s="4"/>
      <c r="C1524" s="75"/>
      <c r="D1524" s="76"/>
      <c r="E1524" s="5"/>
      <c r="F1524" s="5"/>
    </row>
    <row r="1525" spans="1:6" x14ac:dyDescent="0.3">
      <c r="A1525" s="1"/>
      <c r="B1525" s="4"/>
      <c r="C1525" s="75"/>
      <c r="D1525" s="76"/>
      <c r="E1525" s="5"/>
      <c r="F1525" s="5"/>
    </row>
    <row r="1526" spans="1:6" x14ac:dyDescent="0.3">
      <c r="A1526" s="1"/>
      <c r="B1526" s="4"/>
      <c r="C1526" s="75"/>
      <c r="D1526" s="76"/>
      <c r="E1526" s="5"/>
      <c r="F1526" s="5"/>
    </row>
    <row r="1527" spans="1:6" x14ac:dyDescent="0.3">
      <c r="A1527" s="1"/>
      <c r="B1527" s="4"/>
      <c r="C1527" s="75"/>
      <c r="D1527" s="76"/>
      <c r="E1527" s="5"/>
      <c r="F1527" s="5"/>
    </row>
    <row r="1528" spans="1:6" x14ac:dyDescent="0.3">
      <c r="A1528" s="1"/>
      <c r="B1528" s="4"/>
      <c r="C1528" s="75"/>
      <c r="D1528" s="76"/>
      <c r="E1528" s="5"/>
      <c r="F1528" s="5"/>
    </row>
    <row r="1529" spans="1:6" x14ac:dyDescent="0.3">
      <c r="A1529" s="1"/>
      <c r="B1529" s="4"/>
      <c r="C1529" s="75"/>
      <c r="D1529" s="76"/>
      <c r="E1529" s="5"/>
      <c r="F1529" s="5"/>
    </row>
    <row r="1530" spans="1:6" x14ac:dyDescent="0.3">
      <c r="A1530" s="1"/>
      <c r="B1530" s="4"/>
      <c r="C1530" s="75"/>
      <c r="D1530" s="76"/>
      <c r="E1530" s="5"/>
      <c r="F1530" s="5"/>
    </row>
    <row r="1531" spans="1:6" x14ac:dyDescent="0.3">
      <c r="A1531" s="1"/>
      <c r="B1531" s="4"/>
      <c r="C1531" s="75"/>
      <c r="D1531" s="76"/>
      <c r="E1531" s="5"/>
      <c r="F1531" s="5"/>
    </row>
    <row r="1532" spans="1:6" x14ac:dyDescent="0.3">
      <c r="A1532" s="1"/>
      <c r="B1532" s="4"/>
      <c r="C1532" s="75"/>
      <c r="D1532" s="76"/>
      <c r="E1532" s="5"/>
      <c r="F1532" s="5"/>
    </row>
    <row r="1533" spans="1:6" x14ac:dyDescent="0.3">
      <c r="A1533" s="1"/>
      <c r="B1533" s="4"/>
      <c r="C1533" s="75"/>
      <c r="D1533" s="76"/>
      <c r="E1533" s="5"/>
      <c r="F1533" s="5"/>
    </row>
    <row r="1534" spans="1:6" x14ac:dyDescent="0.3">
      <c r="A1534" s="1"/>
      <c r="B1534" s="4"/>
      <c r="C1534" s="75"/>
      <c r="D1534" s="76"/>
      <c r="E1534" s="5"/>
      <c r="F1534" s="5"/>
    </row>
    <row r="1535" spans="1:6" x14ac:dyDescent="0.3">
      <c r="A1535" s="1"/>
      <c r="B1535" s="4"/>
      <c r="C1535" s="75"/>
      <c r="D1535" s="76"/>
      <c r="E1535" s="5"/>
      <c r="F1535" s="5"/>
    </row>
    <row r="1536" spans="1:6" x14ac:dyDescent="0.3">
      <c r="A1536" s="1"/>
      <c r="B1536" s="4"/>
      <c r="C1536" s="75"/>
      <c r="D1536" s="76"/>
      <c r="E1536" s="5"/>
      <c r="F1536" s="5"/>
    </row>
    <row r="1537" spans="1:6" x14ac:dyDescent="0.3">
      <c r="A1537" s="1"/>
      <c r="B1537" s="4"/>
      <c r="C1537" s="75"/>
      <c r="D1537" s="76"/>
      <c r="E1537" s="5"/>
      <c r="F1537" s="5"/>
    </row>
    <row r="1538" spans="1:6" x14ac:dyDescent="0.3">
      <c r="A1538" s="1"/>
      <c r="B1538" s="4"/>
      <c r="C1538" s="75"/>
      <c r="D1538" s="76"/>
      <c r="E1538" s="5"/>
      <c r="F1538" s="5"/>
    </row>
    <row r="1539" spans="1:6" x14ac:dyDescent="0.3">
      <c r="A1539" s="1"/>
      <c r="B1539" s="4"/>
      <c r="C1539" s="75"/>
      <c r="D1539" s="76"/>
      <c r="E1539" s="5"/>
      <c r="F1539" s="5"/>
    </row>
    <row r="1540" spans="1:6" x14ac:dyDescent="0.3">
      <c r="A1540" s="1"/>
      <c r="B1540" s="4"/>
      <c r="C1540" s="75"/>
      <c r="D1540" s="76"/>
      <c r="E1540" s="5"/>
      <c r="F1540" s="5"/>
    </row>
    <row r="1541" spans="1:6" x14ac:dyDescent="0.3">
      <c r="A1541" s="1"/>
      <c r="B1541" s="4"/>
      <c r="C1541" s="75"/>
      <c r="D1541" s="76"/>
      <c r="E1541" s="5"/>
      <c r="F1541" s="5"/>
    </row>
    <row r="1542" spans="1:6" x14ac:dyDescent="0.3">
      <c r="A1542" s="1"/>
      <c r="B1542" s="4"/>
      <c r="C1542" s="75"/>
      <c r="D1542" s="76"/>
      <c r="E1542" s="5"/>
      <c r="F1542" s="5"/>
    </row>
    <row r="1543" spans="1:6" x14ac:dyDescent="0.3">
      <c r="A1543" s="1"/>
      <c r="B1543" s="4"/>
      <c r="C1543" s="75"/>
      <c r="D1543" s="76"/>
      <c r="E1543" s="5"/>
      <c r="F1543" s="5"/>
    </row>
    <row r="1544" spans="1:6" x14ac:dyDescent="0.3">
      <c r="A1544" s="1"/>
      <c r="B1544" s="4"/>
      <c r="C1544" s="75"/>
      <c r="D1544" s="76"/>
      <c r="E1544" s="5"/>
      <c r="F1544" s="5"/>
    </row>
    <row r="1545" spans="1:6" x14ac:dyDescent="0.3">
      <c r="A1545" s="1"/>
      <c r="B1545" s="4"/>
      <c r="C1545" s="75"/>
      <c r="D1545" s="76"/>
      <c r="E1545" s="5"/>
      <c r="F1545" s="5"/>
    </row>
    <row r="1546" spans="1:6" x14ac:dyDescent="0.3">
      <c r="A1546" s="1"/>
      <c r="B1546" s="4"/>
      <c r="C1546" s="75"/>
      <c r="D1546" s="76"/>
      <c r="E1546" s="5"/>
      <c r="F1546" s="5"/>
    </row>
    <row r="1547" spans="1:6" x14ac:dyDescent="0.3">
      <c r="A1547" s="1"/>
      <c r="B1547" s="4"/>
      <c r="C1547" s="75"/>
      <c r="D1547" s="76"/>
      <c r="E1547" s="5"/>
      <c r="F1547" s="5"/>
    </row>
    <row r="1548" spans="1:6" x14ac:dyDescent="0.3">
      <c r="A1548" s="1"/>
      <c r="B1548" s="4"/>
      <c r="C1548" s="75"/>
      <c r="D1548" s="76"/>
      <c r="E1548" s="5"/>
      <c r="F1548" s="5"/>
    </row>
    <row r="1549" spans="1:6" x14ac:dyDescent="0.3">
      <c r="A1549" s="1"/>
      <c r="B1549" s="4"/>
      <c r="C1549" s="75"/>
      <c r="D1549" s="76"/>
      <c r="E1549" s="5"/>
      <c r="F1549" s="5"/>
    </row>
    <row r="1550" spans="1:6" x14ac:dyDescent="0.3">
      <c r="A1550" s="1"/>
      <c r="B1550" s="4"/>
      <c r="C1550" s="75"/>
      <c r="D1550" s="76"/>
      <c r="E1550" s="5"/>
      <c r="F1550" s="5"/>
    </row>
    <row r="1551" spans="1:6" x14ac:dyDescent="0.3">
      <c r="A1551" s="1"/>
      <c r="B1551" s="4"/>
      <c r="C1551" s="75"/>
      <c r="D1551" s="76"/>
      <c r="E1551" s="5"/>
      <c r="F1551" s="5"/>
    </row>
    <row r="1552" spans="1:6" x14ac:dyDescent="0.3">
      <c r="A1552" s="1"/>
      <c r="B1552" s="4"/>
      <c r="C1552" s="75"/>
      <c r="D1552" s="76"/>
      <c r="E1552" s="5"/>
      <c r="F1552" s="5"/>
    </row>
    <row r="1553" spans="1:6" x14ac:dyDescent="0.3">
      <c r="A1553" s="1"/>
      <c r="B1553" s="4"/>
      <c r="C1553" s="75"/>
      <c r="D1553" s="76"/>
      <c r="E1553" s="5"/>
      <c r="F1553" s="5"/>
    </row>
    <row r="1554" spans="1:6" x14ac:dyDescent="0.3">
      <c r="A1554" s="1"/>
      <c r="B1554" s="4"/>
      <c r="C1554" s="75"/>
      <c r="D1554" s="76"/>
      <c r="E1554" s="5"/>
      <c r="F1554" s="5"/>
    </row>
    <row r="1555" spans="1:6" x14ac:dyDescent="0.3">
      <c r="A1555" s="1"/>
      <c r="B1555" s="4"/>
      <c r="C1555" s="75"/>
      <c r="D1555" s="76"/>
      <c r="E1555" s="5"/>
      <c r="F1555" s="5"/>
    </row>
    <row r="1556" spans="1:6" x14ac:dyDescent="0.3">
      <c r="A1556" s="1"/>
      <c r="B1556" s="4"/>
      <c r="C1556" s="75"/>
      <c r="D1556" s="76"/>
      <c r="E1556" s="5"/>
      <c r="F1556" s="5"/>
    </row>
    <row r="1557" spans="1:6" x14ac:dyDescent="0.3">
      <c r="A1557" s="1"/>
      <c r="B1557" s="4"/>
      <c r="C1557" s="75"/>
      <c r="D1557" s="76"/>
      <c r="E1557" s="5"/>
      <c r="F1557" s="5"/>
    </row>
    <row r="1558" spans="1:6" x14ac:dyDescent="0.3">
      <c r="A1558" s="1"/>
      <c r="B1558" s="4"/>
      <c r="C1558" s="75"/>
      <c r="D1558" s="76"/>
      <c r="E1558" s="5"/>
      <c r="F1558" s="5"/>
    </row>
    <row r="1559" spans="1:6" x14ac:dyDescent="0.3">
      <c r="A1559" s="1"/>
      <c r="B1559" s="4"/>
      <c r="C1559" s="75"/>
      <c r="D1559" s="76"/>
      <c r="E1559" s="5"/>
      <c r="F1559" s="5"/>
    </row>
    <row r="1560" spans="1:6" x14ac:dyDescent="0.3">
      <c r="A1560" s="1"/>
      <c r="B1560" s="4"/>
      <c r="C1560" s="75"/>
      <c r="D1560" s="76"/>
      <c r="E1560" s="5"/>
      <c r="F1560" s="5"/>
    </row>
    <row r="1561" spans="1:6" x14ac:dyDescent="0.3">
      <c r="A1561" s="1"/>
      <c r="B1561" s="4"/>
      <c r="C1561" s="75"/>
      <c r="D1561" s="76"/>
      <c r="E1561" s="5"/>
      <c r="F1561" s="5"/>
    </row>
    <row r="1562" spans="1:6" x14ac:dyDescent="0.3">
      <c r="A1562" s="1"/>
      <c r="B1562" s="4"/>
      <c r="C1562" s="75"/>
      <c r="D1562" s="76"/>
      <c r="E1562" s="5"/>
      <c r="F1562" s="5"/>
    </row>
    <row r="1563" spans="1:6" x14ac:dyDescent="0.3">
      <c r="A1563" s="1"/>
      <c r="B1563" s="4"/>
      <c r="C1563" s="75"/>
      <c r="D1563" s="76"/>
      <c r="E1563" s="5"/>
      <c r="F1563" s="5"/>
    </row>
    <row r="1564" spans="1:6" x14ac:dyDescent="0.3">
      <c r="A1564" s="1"/>
      <c r="B1564" s="4"/>
      <c r="C1564" s="75"/>
      <c r="D1564" s="76"/>
      <c r="E1564" s="5"/>
      <c r="F1564" s="5"/>
    </row>
    <row r="1565" spans="1:6" x14ac:dyDescent="0.3">
      <c r="A1565" s="1"/>
      <c r="B1565" s="4"/>
      <c r="C1565" s="75"/>
      <c r="D1565" s="76"/>
      <c r="E1565" s="5"/>
      <c r="F1565" s="5"/>
    </row>
    <row r="1566" spans="1:6" x14ac:dyDescent="0.3">
      <c r="A1566" s="1"/>
      <c r="B1566" s="4"/>
      <c r="C1566" s="75"/>
      <c r="D1566" s="76"/>
      <c r="E1566" s="5"/>
      <c r="F1566" s="5"/>
    </row>
    <row r="1567" spans="1:6" x14ac:dyDescent="0.3">
      <c r="A1567" s="1"/>
      <c r="B1567" s="4"/>
      <c r="C1567" s="75"/>
      <c r="D1567" s="76"/>
      <c r="E1567" s="5"/>
      <c r="F1567" s="5"/>
    </row>
    <row r="1568" spans="1:6" x14ac:dyDescent="0.3">
      <c r="A1568" s="1"/>
      <c r="B1568" s="4"/>
      <c r="C1568" s="75"/>
      <c r="D1568" s="76"/>
      <c r="E1568" s="5"/>
      <c r="F1568" s="5"/>
    </row>
    <row r="1569" spans="1:6" x14ac:dyDescent="0.3">
      <c r="A1569" s="1"/>
      <c r="B1569" s="4"/>
      <c r="C1569" s="75"/>
      <c r="D1569" s="76"/>
      <c r="E1569" s="5"/>
      <c r="F1569" s="5"/>
    </row>
    <row r="1570" spans="1:6" x14ac:dyDescent="0.3">
      <c r="A1570" s="1"/>
      <c r="B1570" s="4"/>
      <c r="C1570" s="75"/>
      <c r="D1570" s="76"/>
      <c r="E1570" s="5"/>
      <c r="F1570" s="5"/>
    </row>
    <row r="1571" spans="1:6" x14ac:dyDescent="0.3">
      <c r="A1571" s="1"/>
      <c r="B1571" s="4"/>
      <c r="C1571" s="75"/>
      <c r="D1571" s="76"/>
      <c r="E1571" s="5"/>
      <c r="F1571" s="5"/>
    </row>
    <row r="1572" spans="1:6" x14ac:dyDescent="0.3">
      <c r="A1572" s="1"/>
      <c r="B1572" s="4"/>
      <c r="C1572" s="75"/>
      <c r="D1572" s="76"/>
      <c r="E1572" s="5"/>
      <c r="F1572" s="5"/>
    </row>
    <row r="1573" spans="1:6" x14ac:dyDescent="0.3">
      <c r="A1573" s="1"/>
      <c r="B1573" s="4"/>
      <c r="C1573" s="75"/>
      <c r="D1573" s="76"/>
      <c r="E1573" s="5"/>
      <c r="F1573" s="5"/>
    </row>
    <row r="1574" spans="1:6" x14ac:dyDescent="0.3">
      <c r="A1574" s="1"/>
      <c r="B1574" s="4"/>
      <c r="C1574" s="75"/>
      <c r="D1574" s="76"/>
      <c r="E1574" s="5"/>
      <c r="F1574" s="5"/>
    </row>
    <row r="1575" spans="1:6" x14ac:dyDescent="0.3">
      <c r="A1575" s="1"/>
      <c r="B1575" s="4"/>
      <c r="C1575" s="75"/>
      <c r="D1575" s="76"/>
      <c r="E1575" s="5"/>
      <c r="F1575" s="5"/>
    </row>
    <row r="1576" spans="1:6" x14ac:dyDescent="0.3">
      <c r="A1576" s="1"/>
      <c r="B1576" s="4"/>
      <c r="C1576" s="75"/>
      <c r="D1576" s="76"/>
      <c r="E1576" s="5"/>
      <c r="F1576" s="5"/>
    </row>
    <row r="1577" spans="1:6" x14ac:dyDescent="0.3">
      <c r="A1577" s="1"/>
      <c r="B1577" s="4"/>
      <c r="C1577" s="75"/>
      <c r="D1577" s="76"/>
      <c r="E1577" s="5"/>
      <c r="F1577" s="5"/>
    </row>
    <row r="1578" spans="1:6" x14ac:dyDescent="0.3">
      <c r="A1578" s="1"/>
      <c r="B1578" s="4"/>
      <c r="C1578" s="75"/>
      <c r="D1578" s="76"/>
      <c r="E1578" s="5"/>
      <c r="F1578" s="5"/>
    </row>
    <row r="1579" spans="1:6" x14ac:dyDescent="0.3">
      <c r="A1579" s="1"/>
      <c r="B1579" s="4"/>
      <c r="C1579" s="75"/>
      <c r="D1579" s="76"/>
      <c r="E1579" s="5"/>
      <c r="F1579" s="5"/>
    </row>
    <row r="1580" spans="1:6" x14ac:dyDescent="0.3">
      <c r="A1580" s="1"/>
      <c r="B1580" s="4"/>
      <c r="C1580" s="75"/>
      <c r="D1580" s="76"/>
      <c r="E1580" s="5"/>
      <c r="F1580" s="5"/>
    </row>
    <row r="1581" spans="1:6" x14ac:dyDescent="0.3">
      <c r="A1581" s="1"/>
      <c r="B1581" s="4"/>
      <c r="C1581" s="75"/>
      <c r="D1581" s="76"/>
      <c r="E1581" s="5"/>
      <c r="F1581" s="5"/>
    </row>
    <row r="1582" spans="1:6" x14ac:dyDescent="0.3">
      <c r="A1582" s="1"/>
      <c r="B1582" s="4"/>
      <c r="C1582" s="75"/>
      <c r="D1582" s="76"/>
      <c r="E1582" s="5"/>
      <c r="F1582" s="5"/>
    </row>
    <row r="1583" spans="1:6" x14ac:dyDescent="0.3">
      <c r="A1583" s="1"/>
      <c r="B1583" s="4"/>
      <c r="C1583" s="75"/>
      <c r="D1583" s="76"/>
      <c r="E1583" s="5"/>
      <c r="F1583" s="5"/>
    </row>
    <row r="1584" spans="1:6" x14ac:dyDescent="0.3">
      <c r="A1584" s="1"/>
      <c r="B1584" s="4"/>
      <c r="C1584" s="75"/>
      <c r="D1584" s="76"/>
      <c r="E1584" s="5"/>
      <c r="F1584" s="5"/>
    </row>
    <row r="1585" spans="1:6" x14ac:dyDescent="0.3">
      <c r="A1585" s="1"/>
      <c r="B1585" s="4"/>
      <c r="C1585" s="75"/>
      <c r="D1585" s="76"/>
      <c r="E1585" s="5"/>
      <c r="F1585" s="5"/>
    </row>
    <row r="1586" spans="1:6" x14ac:dyDescent="0.3">
      <c r="A1586" s="1"/>
      <c r="B1586" s="4"/>
      <c r="C1586" s="75"/>
      <c r="D1586" s="76"/>
      <c r="E1586" s="5"/>
      <c r="F1586" s="5"/>
    </row>
    <row r="1587" spans="1:6" x14ac:dyDescent="0.3">
      <c r="A1587" s="1"/>
      <c r="B1587" s="4"/>
      <c r="C1587" s="75"/>
      <c r="D1587" s="76"/>
      <c r="E1587" s="5"/>
      <c r="F1587" s="5"/>
    </row>
    <row r="1588" spans="1:6" x14ac:dyDescent="0.3">
      <c r="A1588" s="1"/>
      <c r="B1588" s="4"/>
      <c r="C1588" s="75"/>
      <c r="D1588" s="76"/>
      <c r="E1588" s="5"/>
      <c r="F1588" s="5"/>
    </row>
    <row r="1589" spans="1:6" x14ac:dyDescent="0.3">
      <c r="A1589" s="1"/>
      <c r="B1589" s="4"/>
      <c r="C1589" s="75"/>
      <c r="D1589" s="76"/>
      <c r="E1589" s="5"/>
      <c r="F1589" s="5"/>
    </row>
    <row r="1590" spans="1:6" x14ac:dyDescent="0.3">
      <c r="A1590" s="1"/>
      <c r="B1590" s="4"/>
      <c r="C1590" s="75"/>
      <c r="D1590" s="76"/>
      <c r="E1590" s="5"/>
      <c r="F1590" s="5"/>
    </row>
    <row r="1591" spans="1:6" x14ac:dyDescent="0.3">
      <c r="A1591" s="1"/>
      <c r="B1591" s="4"/>
      <c r="C1591" s="75"/>
      <c r="D1591" s="76"/>
      <c r="E1591" s="5"/>
      <c r="F1591" s="5"/>
    </row>
    <row r="1592" spans="1:6" x14ac:dyDescent="0.3">
      <c r="A1592" s="1"/>
      <c r="B1592" s="4"/>
      <c r="C1592" s="75"/>
      <c r="D1592" s="76"/>
      <c r="E1592" s="5"/>
      <c r="F1592" s="5"/>
    </row>
    <row r="1593" spans="1:6" x14ac:dyDescent="0.3">
      <c r="A1593" s="1"/>
      <c r="B1593" s="4"/>
      <c r="C1593" s="75"/>
      <c r="D1593" s="76"/>
      <c r="E1593" s="5"/>
      <c r="F1593" s="5"/>
    </row>
    <row r="1594" spans="1:6" x14ac:dyDescent="0.3">
      <c r="A1594" s="1"/>
      <c r="B1594" s="4"/>
      <c r="C1594" s="75"/>
      <c r="D1594" s="76"/>
      <c r="E1594" s="5"/>
      <c r="F1594" s="5"/>
    </row>
    <row r="1595" spans="1:6" x14ac:dyDescent="0.3">
      <c r="A1595" s="1"/>
      <c r="B1595" s="4"/>
      <c r="C1595" s="75"/>
      <c r="D1595" s="76"/>
      <c r="E1595" s="5"/>
      <c r="F1595" s="5"/>
    </row>
    <row r="1596" spans="1:6" x14ac:dyDescent="0.3">
      <c r="A1596" s="1"/>
      <c r="B1596" s="4"/>
      <c r="C1596" s="75"/>
      <c r="D1596" s="76"/>
      <c r="E1596" s="5"/>
      <c r="F1596" s="5"/>
    </row>
    <row r="1597" spans="1:6" x14ac:dyDescent="0.3">
      <c r="A1597" s="1"/>
      <c r="B1597" s="4"/>
      <c r="C1597" s="75"/>
      <c r="D1597" s="76"/>
      <c r="E1597" s="5"/>
      <c r="F1597" s="5"/>
    </row>
    <row r="1598" spans="1:6" x14ac:dyDescent="0.3">
      <c r="A1598" s="1"/>
      <c r="B1598" s="4"/>
      <c r="C1598" s="75"/>
      <c r="D1598" s="76"/>
      <c r="E1598" s="5"/>
      <c r="F1598" s="5"/>
    </row>
    <row r="1599" spans="1:6" x14ac:dyDescent="0.3">
      <c r="A1599" s="1"/>
      <c r="B1599" s="4"/>
      <c r="C1599" s="75"/>
      <c r="D1599" s="76"/>
      <c r="E1599" s="5"/>
      <c r="F1599" s="5"/>
    </row>
    <row r="1600" spans="1:6" x14ac:dyDescent="0.3">
      <c r="A1600" s="1"/>
      <c r="B1600" s="4"/>
      <c r="C1600" s="75"/>
      <c r="D1600" s="76"/>
      <c r="E1600" s="5"/>
      <c r="F1600" s="5"/>
    </row>
    <row r="1601" spans="1:6" x14ac:dyDescent="0.3">
      <c r="A1601" s="1"/>
      <c r="B1601" s="4"/>
      <c r="C1601" s="75"/>
      <c r="D1601" s="76"/>
      <c r="E1601" s="5"/>
      <c r="F1601" s="5"/>
    </row>
    <row r="1602" spans="1:6" x14ac:dyDescent="0.3">
      <c r="A1602" s="1"/>
      <c r="B1602" s="4"/>
      <c r="C1602" s="75"/>
      <c r="D1602" s="76"/>
      <c r="E1602" s="5"/>
      <c r="F1602" s="5"/>
    </row>
    <row r="1603" spans="1:6" x14ac:dyDescent="0.3">
      <c r="A1603" s="1"/>
      <c r="B1603" s="4"/>
      <c r="C1603" s="75"/>
      <c r="D1603" s="76"/>
      <c r="E1603" s="5"/>
      <c r="F1603" s="5"/>
    </row>
    <row r="1604" spans="1:6" x14ac:dyDescent="0.3">
      <c r="A1604" s="1"/>
      <c r="B1604" s="4"/>
      <c r="C1604" s="75"/>
      <c r="D1604" s="76"/>
      <c r="E1604" s="5"/>
      <c r="F1604" s="5"/>
    </row>
    <row r="1605" spans="1:6" x14ac:dyDescent="0.3">
      <c r="A1605" s="1"/>
      <c r="B1605" s="4"/>
      <c r="C1605" s="75"/>
      <c r="D1605" s="76"/>
      <c r="E1605" s="5"/>
      <c r="F1605" s="5"/>
    </row>
    <row r="1606" spans="1:6" x14ac:dyDescent="0.3">
      <c r="A1606" s="1"/>
      <c r="B1606" s="4"/>
      <c r="C1606" s="75"/>
      <c r="D1606" s="76"/>
      <c r="E1606" s="5"/>
      <c r="F1606" s="5"/>
    </row>
    <row r="1607" spans="1:6" x14ac:dyDescent="0.3">
      <c r="A1607" s="1"/>
      <c r="B1607" s="4"/>
      <c r="C1607" s="75"/>
      <c r="D1607" s="76"/>
      <c r="E1607" s="5"/>
      <c r="F1607" s="5"/>
    </row>
    <row r="1608" spans="1:6" x14ac:dyDescent="0.3">
      <c r="A1608" s="1"/>
      <c r="B1608" s="4"/>
      <c r="C1608" s="75"/>
      <c r="D1608" s="76"/>
      <c r="E1608" s="5"/>
      <c r="F1608" s="5"/>
    </row>
    <row r="1609" spans="1:6" x14ac:dyDescent="0.3">
      <c r="A1609" s="1"/>
      <c r="B1609" s="4"/>
      <c r="C1609" s="75"/>
      <c r="D1609" s="76"/>
      <c r="E1609" s="5"/>
      <c r="F1609" s="5"/>
    </row>
    <row r="1610" spans="1:6" x14ac:dyDescent="0.3">
      <c r="A1610" s="1"/>
      <c r="B1610" s="4"/>
      <c r="C1610" s="75"/>
      <c r="D1610" s="76"/>
      <c r="E1610" s="5"/>
      <c r="F1610" s="5"/>
    </row>
    <row r="1611" spans="1:6" x14ac:dyDescent="0.3">
      <c r="A1611" s="1"/>
      <c r="B1611" s="4"/>
      <c r="C1611" s="75"/>
      <c r="D1611" s="76"/>
      <c r="E1611" s="5"/>
      <c r="F1611" s="5"/>
    </row>
    <row r="1612" spans="1:6" x14ac:dyDescent="0.3">
      <c r="A1612" s="1"/>
      <c r="B1612" s="4"/>
      <c r="C1612" s="75"/>
      <c r="D1612" s="76"/>
      <c r="E1612" s="5"/>
      <c r="F1612" s="5"/>
    </row>
    <row r="1613" spans="1:6" x14ac:dyDescent="0.3">
      <c r="A1613" s="1"/>
      <c r="B1613" s="4"/>
      <c r="C1613" s="75"/>
      <c r="D1613" s="76"/>
      <c r="E1613" s="5"/>
      <c r="F1613" s="5"/>
    </row>
    <row r="1614" spans="1:6" x14ac:dyDescent="0.3">
      <c r="A1614" s="1"/>
      <c r="B1614" s="4"/>
      <c r="C1614" s="75"/>
      <c r="D1614" s="76"/>
      <c r="E1614" s="5"/>
      <c r="F1614" s="5"/>
    </row>
    <row r="1615" spans="1:6" x14ac:dyDescent="0.3">
      <c r="A1615" s="1"/>
      <c r="B1615" s="4"/>
      <c r="C1615" s="75"/>
      <c r="D1615" s="76"/>
      <c r="E1615" s="5"/>
      <c r="F1615" s="5"/>
    </row>
    <row r="1616" spans="1:6" x14ac:dyDescent="0.3">
      <c r="A1616" s="1"/>
      <c r="B1616" s="4"/>
      <c r="C1616" s="75"/>
      <c r="D1616" s="76"/>
      <c r="E1616" s="5"/>
      <c r="F1616" s="5"/>
    </row>
    <row r="1617" spans="1:6" x14ac:dyDescent="0.3">
      <c r="A1617" s="1"/>
      <c r="B1617" s="4"/>
      <c r="C1617" s="75"/>
      <c r="D1617" s="76"/>
      <c r="E1617" s="5"/>
      <c r="F1617" s="5"/>
    </row>
    <row r="1618" spans="1:6" x14ac:dyDescent="0.3">
      <c r="A1618" s="1"/>
      <c r="B1618" s="4"/>
      <c r="C1618" s="75"/>
      <c r="D1618" s="76"/>
      <c r="E1618" s="5"/>
      <c r="F1618" s="5"/>
    </row>
    <row r="1619" spans="1:6" x14ac:dyDescent="0.3">
      <c r="A1619" s="1"/>
      <c r="B1619" s="4"/>
      <c r="C1619" s="75"/>
      <c r="D1619" s="76"/>
      <c r="E1619" s="5"/>
      <c r="F1619" s="5"/>
    </row>
    <row r="1620" spans="1:6" x14ac:dyDescent="0.3">
      <c r="A1620" s="1"/>
      <c r="B1620" s="4"/>
      <c r="C1620" s="75"/>
      <c r="D1620" s="76"/>
      <c r="E1620" s="5"/>
      <c r="F1620" s="5"/>
    </row>
    <row r="1621" spans="1:6" x14ac:dyDescent="0.3">
      <c r="A1621" s="1"/>
      <c r="B1621" s="4"/>
      <c r="C1621" s="75"/>
      <c r="D1621" s="76"/>
      <c r="E1621" s="5"/>
      <c r="F1621" s="5"/>
    </row>
    <row r="1622" spans="1:6" x14ac:dyDescent="0.3">
      <c r="A1622" s="1"/>
      <c r="B1622" s="4"/>
      <c r="C1622" s="75"/>
      <c r="D1622" s="76"/>
      <c r="E1622" s="5"/>
      <c r="F1622" s="5"/>
    </row>
    <row r="1623" spans="1:6" x14ac:dyDescent="0.3">
      <c r="A1623" s="1"/>
      <c r="B1623" s="4"/>
      <c r="C1623" s="75"/>
      <c r="D1623" s="76"/>
      <c r="E1623" s="5"/>
      <c r="F1623" s="5"/>
    </row>
    <row r="1624" spans="1:6" x14ac:dyDescent="0.3">
      <c r="A1624" s="1"/>
      <c r="B1624" s="4"/>
      <c r="C1624" s="75"/>
      <c r="D1624" s="76"/>
      <c r="E1624" s="5"/>
      <c r="F1624" s="5"/>
    </row>
    <row r="1625" spans="1:6" x14ac:dyDescent="0.3">
      <c r="A1625" s="1"/>
      <c r="B1625" s="4"/>
      <c r="C1625" s="75"/>
      <c r="D1625" s="76"/>
      <c r="E1625" s="5"/>
      <c r="F1625" s="5"/>
    </row>
    <row r="1626" spans="1:6" x14ac:dyDescent="0.3">
      <c r="A1626" s="1"/>
      <c r="B1626" s="4"/>
      <c r="C1626" s="75"/>
      <c r="D1626" s="76"/>
      <c r="E1626" s="5"/>
      <c r="F1626" s="5"/>
    </row>
    <row r="1627" spans="1:6" x14ac:dyDescent="0.3">
      <c r="A1627" s="1"/>
      <c r="B1627" s="4"/>
      <c r="C1627" s="75"/>
      <c r="D1627" s="76"/>
      <c r="E1627" s="5"/>
      <c r="F1627" s="5"/>
    </row>
    <row r="1628" spans="1:6" x14ac:dyDescent="0.3">
      <c r="A1628" s="1"/>
      <c r="B1628" s="4"/>
      <c r="C1628" s="75"/>
      <c r="D1628" s="76"/>
      <c r="E1628" s="5"/>
      <c r="F1628" s="5"/>
    </row>
    <row r="1629" spans="1:6" x14ac:dyDescent="0.3">
      <c r="A1629" s="1"/>
      <c r="B1629" s="4"/>
      <c r="C1629" s="75"/>
      <c r="D1629" s="76"/>
      <c r="E1629" s="5"/>
      <c r="F1629" s="5"/>
    </row>
    <row r="1630" spans="1:6" x14ac:dyDescent="0.3">
      <c r="A1630" s="1"/>
      <c r="B1630" s="4"/>
      <c r="C1630" s="75"/>
      <c r="D1630" s="76"/>
      <c r="E1630" s="5"/>
      <c r="F1630" s="5"/>
    </row>
    <row r="1631" spans="1:6" x14ac:dyDescent="0.3">
      <c r="A1631" s="1"/>
      <c r="B1631" s="4"/>
      <c r="C1631" s="75"/>
      <c r="D1631" s="76"/>
      <c r="E1631" s="5"/>
      <c r="F1631" s="5"/>
    </row>
    <row r="1632" spans="1:6" x14ac:dyDescent="0.3">
      <c r="A1632" s="1"/>
      <c r="B1632" s="4"/>
      <c r="C1632" s="75"/>
      <c r="D1632" s="76"/>
      <c r="E1632" s="5"/>
      <c r="F1632" s="5"/>
    </row>
    <row r="1633" spans="1:6" x14ac:dyDescent="0.3">
      <c r="A1633" s="1"/>
      <c r="B1633" s="4"/>
      <c r="C1633" s="75"/>
      <c r="D1633" s="76"/>
      <c r="E1633" s="5"/>
      <c r="F1633" s="5"/>
    </row>
    <row r="1634" spans="1:6" x14ac:dyDescent="0.3">
      <c r="A1634" s="1"/>
      <c r="B1634" s="4"/>
      <c r="C1634" s="75"/>
      <c r="D1634" s="76"/>
      <c r="E1634" s="5"/>
      <c r="F1634" s="5"/>
    </row>
    <row r="1635" spans="1:6" x14ac:dyDescent="0.3">
      <c r="A1635" s="1"/>
      <c r="B1635" s="4"/>
      <c r="C1635" s="75"/>
      <c r="D1635" s="76"/>
      <c r="E1635" s="5"/>
      <c r="F1635" s="5"/>
    </row>
    <row r="1636" spans="1:6" x14ac:dyDescent="0.3">
      <c r="A1636" s="1"/>
      <c r="B1636" s="4"/>
      <c r="C1636" s="75"/>
      <c r="D1636" s="76"/>
      <c r="E1636" s="5"/>
      <c r="F1636" s="5"/>
    </row>
    <row r="1637" spans="1:6" x14ac:dyDescent="0.3">
      <c r="A1637" s="1"/>
      <c r="B1637" s="4"/>
      <c r="C1637" s="75"/>
      <c r="D1637" s="76"/>
      <c r="E1637" s="5"/>
      <c r="F1637" s="5"/>
    </row>
    <row r="1638" spans="1:6" x14ac:dyDescent="0.3">
      <c r="A1638" s="1"/>
      <c r="B1638" s="4"/>
      <c r="C1638" s="75"/>
      <c r="D1638" s="76"/>
      <c r="E1638" s="5"/>
      <c r="F1638" s="5"/>
    </row>
    <row r="1639" spans="1:6" x14ac:dyDescent="0.3">
      <c r="A1639" s="1"/>
      <c r="B1639" s="4"/>
      <c r="C1639" s="75"/>
      <c r="D1639" s="76"/>
      <c r="E1639" s="5"/>
      <c r="F1639" s="5"/>
    </row>
    <row r="1640" spans="1:6" x14ac:dyDescent="0.3">
      <c r="A1640" s="1"/>
      <c r="B1640" s="4"/>
      <c r="C1640" s="75"/>
      <c r="D1640" s="76"/>
      <c r="E1640" s="5"/>
      <c r="F1640" s="5"/>
    </row>
    <row r="1641" spans="1:6" x14ac:dyDescent="0.3">
      <c r="A1641" s="1"/>
      <c r="B1641" s="4"/>
      <c r="C1641" s="75"/>
      <c r="D1641" s="76"/>
      <c r="E1641" s="5"/>
      <c r="F1641" s="5"/>
    </row>
    <row r="1642" spans="1:6" x14ac:dyDescent="0.3">
      <c r="A1642" s="1"/>
      <c r="B1642" s="4"/>
      <c r="C1642" s="75"/>
      <c r="D1642" s="76"/>
      <c r="E1642" s="5"/>
      <c r="F1642" s="5"/>
    </row>
    <row r="1643" spans="1:6" x14ac:dyDescent="0.3">
      <c r="A1643" s="1"/>
      <c r="B1643" s="4"/>
      <c r="C1643" s="75"/>
      <c r="D1643" s="76"/>
      <c r="E1643" s="5"/>
      <c r="F1643" s="5"/>
    </row>
    <row r="1644" spans="1:6" x14ac:dyDescent="0.3">
      <c r="A1644" s="1"/>
      <c r="B1644" s="4"/>
      <c r="C1644" s="75"/>
      <c r="D1644" s="76"/>
      <c r="E1644" s="5"/>
      <c r="F1644" s="5"/>
    </row>
    <row r="1645" spans="1:6" x14ac:dyDescent="0.3">
      <c r="A1645" s="1"/>
      <c r="B1645" s="4"/>
      <c r="C1645" s="75"/>
      <c r="D1645" s="76"/>
      <c r="E1645" s="5"/>
      <c r="F1645" s="5"/>
    </row>
    <row r="1646" spans="1:6" x14ac:dyDescent="0.3">
      <c r="A1646" s="1"/>
      <c r="B1646" s="4"/>
      <c r="C1646" s="75"/>
      <c r="D1646" s="76"/>
      <c r="E1646" s="5"/>
      <c r="F1646" s="5"/>
    </row>
    <row r="1647" spans="1:6" x14ac:dyDescent="0.3">
      <c r="A1647" s="1"/>
      <c r="B1647" s="4"/>
      <c r="C1647" s="75"/>
      <c r="D1647" s="76"/>
      <c r="E1647" s="5"/>
      <c r="F1647" s="5"/>
    </row>
    <row r="1648" spans="1:6" x14ac:dyDescent="0.3">
      <c r="A1648" s="1"/>
      <c r="B1648" s="4"/>
      <c r="C1648" s="75"/>
      <c r="D1648" s="76"/>
      <c r="E1648" s="5"/>
      <c r="F1648" s="5"/>
    </row>
    <row r="1649" spans="1:6" x14ac:dyDescent="0.3">
      <c r="A1649" s="1"/>
      <c r="B1649" s="4"/>
      <c r="C1649" s="75"/>
      <c r="D1649" s="76"/>
      <c r="E1649" s="5"/>
      <c r="F1649" s="5"/>
    </row>
    <row r="1650" spans="1:6" x14ac:dyDescent="0.3">
      <c r="A1650" s="1"/>
      <c r="B1650" s="4"/>
      <c r="C1650" s="75"/>
      <c r="D1650" s="76"/>
      <c r="E1650" s="5"/>
      <c r="F1650" s="5"/>
    </row>
    <row r="1651" spans="1:6" x14ac:dyDescent="0.3">
      <c r="A1651" s="1"/>
      <c r="B1651" s="4"/>
      <c r="C1651" s="75"/>
      <c r="D1651" s="76"/>
      <c r="E1651" s="5"/>
      <c r="F1651" s="5"/>
    </row>
    <row r="1652" spans="1:6" x14ac:dyDescent="0.3">
      <c r="A1652" s="1"/>
      <c r="B1652" s="4"/>
      <c r="C1652" s="75"/>
      <c r="D1652" s="76"/>
      <c r="E1652" s="5"/>
      <c r="F1652" s="5"/>
    </row>
    <row r="1653" spans="1:6" x14ac:dyDescent="0.3">
      <c r="A1653" s="1"/>
      <c r="B1653" s="4"/>
      <c r="C1653" s="75"/>
      <c r="D1653" s="76"/>
      <c r="E1653" s="5"/>
      <c r="F1653" s="5"/>
    </row>
    <row r="1654" spans="1:6" x14ac:dyDescent="0.3">
      <c r="A1654" s="1"/>
      <c r="B1654" s="4"/>
      <c r="C1654" s="75"/>
      <c r="D1654" s="76"/>
      <c r="E1654" s="5"/>
      <c r="F1654" s="5"/>
    </row>
    <row r="1655" spans="1:6" x14ac:dyDescent="0.3">
      <c r="A1655" s="1"/>
      <c r="B1655" s="4"/>
      <c r="C1655" s="75"/>
      <c r="D1655" s="76"/>
      <c r="E1655" s="5"/>
      <c r="F1655" s="5"/>
    </row>
    <row r="1656" spans="1:6" x14ac:dyDescent="0.3">
      <c r="A1656" s="1"/>
      <c r="B1656" s="4"/>
      <c r="C1656" s="75"/>
      <c r="D1656" s="76"/>
      <c r="E1656" s="5"/>
      <c r="F1656" s="5"/>
    </row>
    <row r="1657" spans="1:6" x14ac:dyDescent="0.3">
      <c r="A1657" s="1"/>
      <c r="B1657" s="4"/>
      <c r="C1657" s="75"/>
      <c r="D1657" s="76"/>
      <c r="E1657" s="5"/>
      <c r="F1657" s="5"/>
    </row>
    <row r="1658" spans="1:6" x14ac:dyDescent="0.3">
      <c r="A1658" s="1"/>
      <c r="B1658" s="4"/>
      <c r="C1658" s="75"/>
      <c r="D1658" s="76"/>
      <c r="E1658" s="5"/>
      <c r="F1658" s="5"/>
    </row>
    <row r="1659" spans="1:6" x14ac:dyDescent="0.3">
      <c r="A1659" s="1"/>
      <c r="B1659" s="4"/>
      <c r="C1659" s="75"/>
      <c r="D1659" s="76"/>
      <c r="E1659" s="5"/>
      <c r="F1659" s="5"/>
    </row>
    <row r="1660" spans="1:6" x14ac:dyDescent="0.3">
      <c r="A1660" s="1"/>
      <c r="B1660" s="4"/>
      <c r="C1660" s="75"/>
      <c r="D1660" s="76"/>
      <c r="E1660" s="5"/>
      <c r="F1660" s="5"/>
    </row>
    <row r="1661" spans="1:6" x14ac:dyDescent="0.3">
      <c r="A1661" s="1"/>
      <c r="B1661" s="4"/>
      <c r="C1661" s="75"/>
      <c r="D1661" s="76"/>
      <c r="E1661" s="5"/>
      <c r="F1661" s="5"/>
    </row>
    <row r="1662" spans="1:6" x14ac:dyDescent="0.3">
      <c r="A1662" s="1"/>
      <c r="B1662" s="4"/>
      <c r="C1662" s="75"/>
      <c r="D1662" s="76"/>
      <c r="E1662" s="5"/>
      <c r="F1662" s="5"/>
    </row>
    <row r="1663" spans="1:6" x14ac:dyDescent="0.3">
      <c r="A1663" s="1"/>
      <c r="B1663" s="4"/>
      <c r="C1663" s="75"/>
      <c r="D1663" s="76"/>
      <c r="E1663" s="5"/>
      <c r="F1663" s="5"/>
    </row>
    <row r="1664" spans="1:6" x14ac:dyDescent="0.3">
      <c r="A1664" s="1"/>
      <c r="B1664" s="4"/>
      <c r="C1664" s="75"/>
      <c r="D1664" s="76"/>
      <c r="E1664" s="5"/>
      <c r="F1664" s="5"/>
    </row>
    <row r="1665" spans="1:6" x14ac:dyDescent="0.3">
      <c r="A1665" s="1"/>
      <c r="B1665" s="4"/>
      <c r="C1665" s="75"/>
      <c r="D1665" s="76"/>
      <c r="E1665" s="5"/>
      <c r="F1665" s="5"/>
    </row>
    <row r="1666" spans="1:6" x14ac:dyDescent="0.3">
      <c r="A1666" s="1"/>
      <c r="B1666" s="4"/>
      <c r="C1666" s="75"/>
      <c r="D1666" s="76"/>
      <c r="E1666" s="5"/>
      <c r="F1666" s="5"/>
    </row>
    <row r="1667" spans="1:6" x14ac:dyDescent="0.3">
      <c r="A1667" s="1"/>
      <c r="B1667" s="4"/>
      <c r="C1667" s="75"/>
      <c r="D1667" s="76"/>
      <c r="E1667" s="5"/>
      <c r="F1667" s="5"/>
    </row>
    <row r="1668" spans="1:6" x14ac:dyDescent="0.3">
      <c r="A1668" s="1"/>
      <c r="B1668" s="4"/>
      <c r="C1668" s="75"/>
      <c r="D1668" s="76"/>
      <c r="E1668" s="5"/>
      <c r="F1668" s="5"/>
    </row>
    <row r="1669" spans="1:6" x14ac:dyDescent="0.3">
      <c r="A1669" s="1"/>
      <c r="B1669" s="4"/>
      <c r="C1669" s="75"/>
      <c r="D1669" s="76"/>
      <c r="E1669" s="5"/>
      <c r="F1669" s="5"/>
    </row>
    <row r="1670" spans="1:6" x14ac:dyDescent="0.3">
      <c r="A1670" s="1"/>
      <c r="B1670" s="4"/>
      <c r="C1670" s="75"/>
      <c r="D1670" s="76"/>
      <c r="E1670" s="5"/>
      <c r="F1670" s="5"/>
    </row>
    <row r="1671" spans="1:6" x14ac:dyDescent="0.3">
      <c r="A1671" s="1"/>
      <c r="B1671" s="4"/>
      <c r="C1671" s="75"/>
      <c r="D1671" s="76"/>
      <c r="E1671" s="5"/>
      <c r="F1671" s="5"/>
    </row>
    <row r="1672" spans="1:6" x14ac:dyDescent="0.3">
      <c r="A1672" s="1"/>
      <c r="B1672" s="4"/>
      <c r="C1672" s="75"/>
      <c r="D1672" s="76"/>
      <c r="E1672" s="5"/>
      <c r="F1672" s="5"/>
    </row>
    <row r="1673" spans="1:6" x14ac:dyDescent="0.3">
      <c r="A1673" s="1"/>
      <c r="B1673" s="4"/>
      <c r="C1673" s="75"/>
      <c r="D1673" s="76"/>
      <c r="E1673" s="5"/>
      <c r="F1673" s="5"/>
    </row>
    <row r="1674" spans="1:6" x14ac:dyDescent="0.3">
      <c r="A1674" s="1"/>
      <c r="B1674" s="4"/>
      <c r="C1674" s="75"/>
      <c r="D1674" s="76"/>
      <c r="E1674" s="5"/>
      <c r="F1674" s="5"/>
    </row>
    <row r="1675" spans="1:6" x14ac:dyDescent="0.3">
      <c r="A1675" s="1"/>
      <c r="B1675" s="4"/>
      <c r="C1675" s="75"/>
      <c r="D1675" s="76"/>
      <c r="E1675" s="5"/>
      <c r="F1675" s="5"/>
    </row>
    <row r="1676" spans="1:6" x14ac:dyDescent="0.3">
      <c r="A1676" s="1"/>
      <c r="B1676" s="4"/>
      <c r="C1676" s="75"/>
      <c r="D1676" s="76"/>
      <c r="E1676" s="5"/>
      <c r="F1676" s="5"/>
    </row>
    <row r="1677" spans="1:6" x14ac:dyDescent="0.3">
      <c r="A1677" s="1"/>
      <c r="B1677" s="4"/>
      <c r="C1677" s="75"/>
      <c r="D1677" s="76"/>
      <c r="E1677" s="5"/>
      <c r="F1677" s="5"/>
    </row>
    <row r="1678" spans="1:6" x14ac:dyDescent="0.3">
      <c r="A1678" s="1"/>
      <c r="B1678" s="4"/>
      <c r="C1678" s="75"/>
      <c r="D1678" s="76"/>
      <c r="E1678" s="5"/>
      <c r="F1678" s="5"/>
    </row>
    <row r="1679" spans="1:6" x14ac:dyDescent="0.3">
      <c r="A1679" s="1"/>
      <c r="B1679" s="4"/>
      <c r="C1679" s="75"/>
      <c r="D1679" s="76"/>
      <c r="E1679" s="5"/>
      <c r="F1679" s="5"/>
    </row>
    <row r="1680" spans="1:6" x14ac:dyDescent="0.3">
      <c r="A1680" s="1"/>
      <c r="B1680" s="4"/>
      <c r="C1680" s="75"/>
      <c r="D1680" s="76"/>
      <c r="E1680" s="5"/>
      <c r="F1680" s="5"/>
    </row>
    <row r="1681" spans="1:6" x14ac:dyDescent="0.3">
      <c r="A1681" s="1"/>
      <c r="B1681" s="4"/>
      <c r="C1681" s="75"/>
      <c r="D1681" s="76"/>
      <c r="E1681" s="5"/>
      <c r="F1681" s="5"/>
    </row>
    <row r="1682" spans="1:6" x14ac:dyDescent="0.3">
      <c r="A1682" s="1"/>
      <c r="B1682" s="4"/>
      <c r="C1682" s="75"/>
      <c r="D1682" s="76"/>
      <c r="E1682" s="5"/>
      <c r="F1682" s="5"/>
    </row>
    <row r="1683" spans="1:6" x14ac:dyDescent="0.3">
      <c r="A1683" s="1"/>
      <c r="B1683" s="4"/>
      <c r="C1683" s="75"/>
      <c r="D1683" s="76"/>
      <c r="E1683" s="5"/>
      <c r="F1683" s="5"/>
    </row>
    <row r="1684" spans="1:6" x14ac:dyDescent="0.3">
      <c r="A1684" s="1"/>
      <c r="B1684" s="4"/>
      <c r="C1684" s="75"/>
      <c r="D1684" s="76"/>
      <c r="E1684" s="5"/>
      <c r="F1684" s="5"/>
    </row>
    <row r="1685" spans="1:6" x14ac:dyDescent="0.3">
      <c r="A1685" s="1"/>
      <c r="B1685" s="4"/>
      <c r="C1685" s="75"/>
      <c r="D1685" s="76"/>
      <c r="E1685" s="5"/>
      <c r="F1685" s="5"/>
    </row>
    <row r="1686" spans="1:6" x14ac:dyDescent="0.3">
      <c r="A1686" s="1"/>
      <c r="B1686" s="4"/>
      <c r="C1686" s="75"/>
      <c r="D1686" s="76"/>
      <c r="E1686" s="5"/>
      <c r="F1686" s="5"/>
    </row>
    <row r="1687" spans="1:6" x14ac:dyDescent="0.3">
      <c r="A1687" s="1"/>
      <c r="B1687" s="4"/>
      <c r="C1687" s="75"/>
      <c r="D1687" s="76"/>
      <c r="E1687" s="5"/>
      <c r="F1687" s="5"/>
    </row>
    <row r="1688" spans="1:6" x14ac:dyDescent="0.3">
      <c r="A1688" s="1"/>
      <c r="B1688" s="4"/>
      <c r="C1688" s="75"/>
      <c r="D1688" s="76"/>
      <c r="E1688" s="5"/>
      <c r="F1688" s="5"/>
    </row>
    <row r="1689" spans="1:6" x14ac:dyDescent="0.3">
      <c r="A1689" s="1"/>
      <c r="B1689" s="4"/>
      <c r="C1689" s="75"/>
      <c r="D1689" s="76"/>
      <c r="E1689" s="5"/>
      <c r="F1689" s="5"/>
    </row>
    <row r="1690" spans="1:6" x14ac:dyDescent="0.3">
      <c r="A1690" s="1"/>
      <c r="B1690" s="4"/>
      <c r="C1690" s="75"/>
      <c r="D1690" s="76"/>
      <c r="E1690" s="5"/>
      <c r="F1690" s="5"/>
    </row>
    <row r="1691" spans="1:6" x14ac:dyDescent="0.3">
      <c r="A1691" s="1"/>
      <c r="B1691" s="4"/>
      <c r="C1691" s="75"/>
      <c r="D1691" s="76"/>
      <c r="E1691" s="5"/>
      <c r="F1691" s="5"/>
    </row>
    <row r="1692" spans="1:6" x14ac:dyDescent="0.3">
      <c r="A1692" s="1"/>
      <c r="B1692" s="4"/>
      <c r="C1692" s="75"/>
      <c r="D1692" s="76"/>
      <c r="E1692" s="5"/>
      <c r="F1692" s="5"/>
    </row>
    <row r="1693" spans="1:6" x14ac:dyDescent="0.3">
      <c r="A1693" s="1"/>
      <c r="B1693" s="4"/>
      <c r="C1693" s="75"/>
      <c r="D1693" s="76"/>
      <c r="E1693" s="5"/>
      <c r="F1693" s="5"/>
    </row>
    <row r="1694" spans="1:6" x14ac:dyDescent="0.3">
      <c r="A1694" s="1"/>
      <c r="B1694" s="4"/>
      <c r="C1694" s="75"/>
      <c r="D1694" s="76"/>
      <c r="E1694" s="5"/>
      <c r="F1694" s="5"/>
    </row>
    <row r="1695" spans="1:6" x14ac:dyDescent="0.3">
      <c r="A1695" s="1"/>
      <c r="B1695" s="4"/>
      <c r="C1695" s="75"/>
      <c r="D1695" s="76"/>
      <c r="E1695" s="5"/>
      <c r="F1695" s="5"/>
    </row>
    <row r="1696" spans="1:6" x14ac:dyDescent="0.3">
      <c r="A1696" s="1"/>
      <c r="B1696" s="4"/>
      <c r="C1696" s="75"/>
      <c r="D1696" s="76"/>
      <c r="E1696" s="5"/>
      <c r="F1696" s="5"/>
    </row>
    <row r="1697" spans="1:6" x14ac:dyDescent="0.3">
      <c r="A1697" s="1"/>
      <c r="B1697" s="4"/>
      <c r="C1697" s="75"/>
      <c r="D1697" s="76"/>
      <c r="E1697" s="5"/>
      <c r="F1697" s="5"/>
    </row>
    <row r="1698" spans="1:6" x14ac:dyDescent="0.3">
      <c r="A1698" s="1"/>
      <c r="B1698" s="4"/>
      <c r="C1698" s="75"/>
      <c r="D1698" s="76"/>
      <c r="E1698" s="5"/>
      <c r="F1698" s="5"/>
    </row>
    <row r="1699" spans="1:6" x14ac:dyDescent="0.3">
      <c r="A1699" s="1"/>
      <c r="B1699" s="4"/>
      <c r="C1699" s="75"/>
      <c r="D1699" s="76"/>
      <c r="E1699" s="5"/>
      <c r="F1699" s="5"/>
    </row>
    <row r="1700" spans="1:6" x14ac:dyDescent="0.3">
      <c r="A1700" s="1"/>
      <c r="B1700" s="4"/>
      <c r="C1700" s="75"/>
      <c r="D1700" s="76"/>
      <c r="E1700" s="5"/>
      <c r="F1700" s="5"/>
    </row>
    <row r="1701" spans="1:6" x14ac:dyDescent="0.3">
      <c r="A1701" s="1"/>
      <c r="B1701" s="4"/>
      <c r="C1701" s="75"/>
      <c r="D1701" s="76"/>
      <c r="E1701" s="5"/>
      <c r="F1701" s="5"/>
    </row>
    <row r="1702" spans="1:6" x14ac:dyDescent="0.3">
      <c r="A1702" s="1"/>
      <c r="B1702" s="4"/>
      <c r="C1702" s="75"/>
      <c r="D1702" s="76"/>
      <c r="E1702" s="5"/>
      <c r="F1702" s="5"/>
    </row>
    <row r="1703" spans="1:6" x14ac:dyDescent="0.3">
      <c r="A1703" s="1"/>
      <c r="B1703" s="4"/>
      <c r="C1703" s="75"/>
      <c r="D1703" s="76"/>
      <c r="E1703" s="5"/>
      <c r="F1703" s="5"/>
    </row>
    <row r="1704" spans="1:6" x14ac:dyDescent="0.3">
      <c r="A1704" s="1"/>
      <c r="B1704" s="4"/>
      <c r="C1704" s="75"/>
      <c r="D1704" s="76"/>
      <c r="E1704" s="5"/>
      <c r="F1704" s="5"/>
    </row>
    <row r="1705" spans="1:6" x14ac:dyDescent="0.3">
      <c r="A1705" s="1"/>
      <c r="B1705" s="4"/>
      <c r="C1705" s="75"/>
      <c r="D1705" s="76"/>
      <c r="E1705" s="5"/>
      <c r="F1705" s="5"/>
    </row>
    <row r="1706" spans="1:6" x14ac:dyDescent="0.3">
      <c r="A1706" s="1"/>
      <c r="B1706" s="4"/>
      <c r="C1706" s="75"/>
      <c r="D1706" s="76"/>
      <c r="E1706" s="5"/>
      <c r="F1706" s="5"/>
    </row>
    <row r="1707" spans="1:6" x14ac:dyDescent="0.3">
      <c r="A1707" s="1"/>
      <c r="B1707" s="4"/>
      <c r="C1707" s="75"/>
      <c r="D1707" s="76"/>
      <c r="E1707" s="5"/>
      <c r="F1707" s="5"/>
    </row>
    <row r="1708" spans="1:6" x14ac:dyDescent="0.3">
      <c r="A1708" s="1"/>
      <c r="B1708" s="4"/>
      <c r="C1708" s="75"/>
      <c r="D1708" s="76"/>
      <c r="E1708" s="5"/>
      <c r="F1708" s="5"/>
    </row>
    <row r="1709" spans="1:6" x14ac:dyDescent="0.3">
      <c r="A1709" s="1"/>
      <c r="B1709" s="4"/>
      <c r="C1709" s="75"/>
      <c r="D1709" s="76"/>
      <c r="E1709" s="5"/>
      <c r="F1709" s="5"/>
    </row>
    <row r="1710" spans="1:6" x14ac:dyDescent="0.3">
      <c r="A1710" s="1"/>
      <c r="B1710" s="4"/>
      <c r="C1710" s="75"/>
      <c r="D1710" s="76"/>
      <c r="E1710" s="5"/>
      <c r="F1710" s="5"/>
    </row>
    <row r="1711" spans="1:6" x14ac:dyDescent="0.3">
      <c r="A1711" s="1"/>
      <c r="B1711" s="4"/>
      <c r="C1711" s="75"/>
      <c r="D1711" s="76"/>
      <c r="E1711" s="5"/>
      <c r="F1711" s="5"/>
    </row>
    <row r="1712" spans="1:6" x14ac:dyDescent="0.3">
      <c r="A1712" s="1"/>
      <c r="B1712" s="4"/>
      <c r="C1712" s="75"/>
      <c r="D1712" s="76"/>
      <c r="E1712" s="5"/>
      <c r="F1712" s="5"/>
    </row>
    <row r="1713" spans="1:6" x14ac:dyDescent="0.3">
      <c r="A1713" s="1"/>
      <c r="B1713" s="4"/>
      <c r="C1713" s="75"/>
      <c r="D1713" s="76"/>
      <c r="E1713" s="5"/>
      <c r="F1713" s="5"/>
    </row>
    <row r="1714" spans="1:6" x14ac:dyDescent="0.3">
      <c r="A1714" s="1"/>
      <c r="B1714" s="4"/>
      <c r="C1714" s="75"/>
      <c r="D1714" s="76"/>
      <c r="E1714" s="5"/>
      <c r="F1714" s="5"/>
    </row>
    <row r="1715" spans="1:6" x14ac:dyDescent="0.3">
      <c r="A1715" s="1"/>
      <c r="B1715" s="4"/>
      <c r="C1715" s="75"/>
      <c r="D1715" s="76"/>
      <c r="E1715" s="5"/>
      <c r="F1715" s="5"/>
    </row>
    <row r="1716" spans="1:6" x14ac:dyDescent="0.3">
      <c r="A1716" s="1"/>
      <c r="B1716" s="4"/>
      <c r="C1716" s="75"/>
      <c r="D1716" s="76"/>
      <c r="E1716" s="5"/>
      <c r="F1716" s="5"/>
    </row>
    <row r="1717" spans="1:6" x14ac:dyDescent="0.3">
      <c r="A1717" s="1"/>
      <c r="B1717" s="4"/>
      <c r="C1717" s="75"/>
      <c r="D1717" s="76"/>
      <c r="E1717" s="5"/>
      <c r="F1717" s="5"/>
    </row>
    <row r="1718" spans="1:6" x14ac:dyDescent="0.3">
      <c r="A1718" s="1"/>
      <c r="B1718" s="4"/>
      <c r="C1718" s="75"/>
      <c r="D1718" s="76"/>
      <c r="E1718" s="5"/>
      <c r="F1718" s="5"/>
    </row>
    <row r="1719" spans="1:6" x14ac:dyDescent="0.3">
      <c r="A1719" s="1"/>
      <c r="B1719" s="4"/>
      <c r="C1719" s="75"/>
      <c r="D1719" s="76"/>
      <c r="E1719" s="5"/>
      <c r="F1719" s="5"/>
    </row>
    <row r="1720" spans="1:6" x14ac:dyDescent="0.3">
      <c r="A1720" s="1"/>
      <c r="B1720" s="4"/>
      <c r="C1720" s="75"/>
      <c r="D1720" s="76"/>
      <c r="E1720" s="5"/>
      <c r="F1720" s="5"/>
    </row>
    <row r="1721" spans="1:6" x14ac:dyDescent="0.3">
      <c r="A1721" s="1"/>
      <c r="B1721" s="4"/>
      <c r="C1721" s="75"/>
      <c r="D1721" s="76"/>
      <c r="E1721" s="5"/>
      <c r="F1721" s="5"/>
    </row>
    <row r="1722" spans="1:6" x14ac:dyDescent="0.3">
      <c r="A1722" s="1"/>
      <c r="B1722" s="4"/>
      <c r="C1722" s="75"/>
      <c r="D1722" s="76"/>
      <c r="E1722" s="5"/>
      <c r="F1722" s="5"/>
    </row>
    <row r="1723" spans="1:6" x14ac:dyDescent="0.3">
      <c r="A1723" s="1"/>
      <c r="B1723" s="4"/>
      <c r="C1723" s="75"/>
      <c r="D1723" s="76"/>
      <c r="E1723" s="5"/>
      <c r="F1723" s="5"/>
    </row>
    <row r="1724" spans="1:6" x14ac:dyDescent="0.3">
      <c r="A1724" s="1"/>
      <c r="B1724" s="4"/>
      <c r="C1724" s="75"/>
      <c r="D1724" s="76"/>
      <c r="E1724" s="5"/>
      <c r="F1724" s="5"/>
    </row>
    <row r="1725" spans="1:6" x14ac:dyDescent="0.3">
      <c r="A1725" s="1"/>
      <c r="B1725" s="4"/>
      <c r="C1725" s="75"/>
      <c r="D1725" s="76"/>
      <c r="E1725" s="5"/>
      <c r="F1725" s="5"/>
    </row>
    <row r="1726" spans="1:6" x14ac:dyDescent="0.3">
      <c r="A1726" s="1"/>
      <c r="B1726" s="4"/>
      <c r="C1726" s="75"/>
      <c r="D1726" s="76"/>
      <c r="E1726" s="5"/>
      <c r="F1726" s="5"/>
    </row>
    <row r="1727" spans="1:6" x14ac:dyDescent="0.3">
      <c r="A1727" s="1"/>
      <c r="B1727" s="4"/>
      <c r="C1727" s="75"/>
      <c r="D1727" s="76"/>
      <c r="E1727" s="5"/>
      <c r="F1727" s="5"/>
    </row>
    <row r="1728" spans="1:6" x14ac:dyDescent="0.3">
      <c r="A1728" s="1"/>
      <c r="B1728" s="4"/>
      <c r="C1728" s="75"/>
      <c r="D1728" s="76"/>
      <c r="E1728" s="5"/>
      <c r="F1728" s="5"/>
    </row>
    <row r="1729" spans="1:6" x14ac:dyDescent="0.3">
      <c r="A1729" s="1"/>
      <c r="B1729" s="4"/>
      <c r="C1729" s="75"/>
      <c r="D1729" s="76"/>
      <c r="E1729" s="5"/>
      <c r="F1729" s="5"/>
    </row>
    <row r="1730" spans="1:6" x14ac:dyDescent="0.3">
      <c r="A1730" s="1"/>
      <c r="B1730" s="4"/>
      <c r="C1730" s="75"/>
      <c r="D1730" s="76"/>
      <c r="E1730" s="5"/>
      <c r="F1730" s="5"/>
    </row>
    <row r="1731" spans="1:6" x14ac:dyDescent="0.3">
      <c r="A1731" s="1"/>
      <c r="B1731" s="4"/>
      <c r="C1731" s="75"/>
      <c r="D1731" s="76"/>
      <c r="E1731" s="5"/>
      <c r="F1731" s="5"/>
    </row>
    <row r="1732" spans="1:6" x14ac:dyDescent="0.3">
      <c r="A1732" s="1"/>
      <c r="B1732" s="4"/>
      <c r="C1732" s="75"/>
      <c r="D1732" s="76"/>
      <c r="E1732" s="5"/>
      <c r="F1732" s="5"/>
    </row>
    <row r="1733" spans="1:6" x14ac:dyDescent="0.3">
      <c r="A1733" s="1"/>
      <c r="B1733" s="4"/>
      <c r="C1733" s="75"/>
      <c r="D1733" s="76"/>
      <c r="E1733" s="5"/>
      <c r="F1733" s="5"/>
    </row>
    <row r="1734" spans="1:6" x14ac:dyDescent="0.3">
      <c r="A1734" s="1"/>
      <c r="B1734" s="4"/>
      <c r="C1734" s="75"/>
      <c r="D1734" s="76"/>
      <c r="E1734" s="5"/>
      <c r="F1734" s="5"/>
    </row>
    <row r="1735" spans="1:6" x14ac:dyDescent="0.3">
      <c r="A1735" s="1"/>
      <c r="B1735" s="4"/>
      <c r="C1735" s="75"/>
      <c r="D1735" s="76"/>
      <c r="E1735" s="5"/>
      <c r="F1735" s="5"/>
    </row>
    <row r="1736" spans="1:6" x14ac:dyDescent="0.3">
      <c r="A1736" s="1"/>
      <c r="B1736" s="4"/>
      <c r="C1736" s="75"/>
      <c r="D1736" s="76"/>
      <c r="E1736" s="5"/>
      <c r="F1736" s="5"/>
    </row>
    <row r="1737" spans="1:6" x14ac:dyDescent="0.3">
      <c r="A1737" s="1"/>
      <c r="B1737" s="4"/>
      <c r="C1737" s="75"/>
      <c r="D1737" s="76"/>
      <c r="E1737" s="5"/>
      <c r="F1737" s="5"/>
    </row>
    <row r="1738" spans="1:6" x14ac:dyDescent="0.3">
      <c r="A1738" s="1"/>
      <c r="B1738" s="4"/>
      <c r="C1738" s="75"/>
      <c r="D1738" s="76"/>
      <c r="E1738" s="5"/>
      <c r="F1738" s="5"/>
    </row>
    <row r="1739" spans="1:6" x14ac:dyDescent="0.3">
      <c r="A1739" s="1"/>
      <c r="B1739" s="4"/>
      <c r="C1739" s="75"/>
      <c r="D1739" s="76"/>
      <c r="E1739" s="5"/>
      <c r="F1739" s="5"/>
    </row>
    <row r="1740" spans="1:6" x14ac:dyDescent="0.3">
      <c r="A1740" s="1"/>
      <c r="B1740" s="4"/>
      <c r="C1740" s="75"/>
      <c r="D1740" s="76"/>
      <c r="E1740" s="5"/>
      <c r="F1740" s="5"/>
    </row>
    <row r="1741" spans="1:6" x14ac:dyDescent="0.3">
      <c r="A1741" s="1"/>
      <c r="B1741" s="4"/>
      <c r="C1741" s="75"/>
      <c r="D1741" s="76"/>
      <c r="E1741" s="5"/>
      <c r="F1741" s="5"/>
    </row>
    <row r="1742" spans="1:6" x14ac:dyDescent="0.3">
      <c r="A1742" s="1"/>
      <c r="B1742" s="4"/>
      <c r="C1742" s="75"/>
      <c r="D1742" s="76"/>
      <c r="E1742" s="5"/>
      <c r="F1742" s="5"/>
    </row>
    <row r="1743" spans="1:6" x14ac:dyDescent="0.3">
      <c r="A1743" s="1"/>
      <c r="B1743" s="4"/>
      <c r="C1743" s="75"/>
      <c r="D1743" s="76"/>
      <c r="E1743" s="5"/>
      <c r="F1743" s="5"/>
    </row>
    <row r="1744" spans="1:6" x14ac:dyDescent="0.3">
      <c r="A1744" s="1"/>
      <c r="B1744" s="4"/>
      <c r="C1744" s="75"/>
      <c r="D1744" s="76"/>
      <c r="E1744" s="5"/>
      <c r="F1744" s="5"/>
    </row>
    <row r="1745" spans="1:6" x14ac:dyDescent="0.3">
      <c r="A1745" s="1"/>
      <c r="B1745" s="4"/>
      <c r="C1745" s="75"/>
      <c r="D1745" s="76"/>
      <c r="E1745" s="5"/>
      <c r="F1745" s="5"/>
    </row>
    <row r="1746" spans="1:6" x14ac:dyDescent="0.3">
      <c r="A1746" s="1"/>
      <c r="B1746" s="4"/>
      <c r="C1746" s="75"/>
      <c r="D1746" s="76"/>
      <c r="E1746" s="5"/>
      <c r="F1746" s="5"/>
    </row>
    <row r="1747" spans="1:6" x14ac:dyDescent="0.3">
      <c r="A1747" s="1"/>
      <c r="B1747" s="4"/>
      <c r="C1747" s="75"/>
      <c r="D1747" s="76"/>
      <c r="E1747" s="5"/>
      <c r="F1747" s="5"/>
    </row>
    <row r="1748" spans="1:6" x14ac:dyDescent="0.3">
      <c r="A1748" s="1"/>
      <c r="B1748" s="4"/>
      <c r="C1748" s="75"/>
      <c r="D1748" s="76"/>
      <c r="E1748" s="5"/>
      <c r="F1748" s="5"/>
    </row>
    <row r="1749" spans="1:6" x14ac:dyDescent="0.3">
      <c r="A1749" s="1"/>
      <c r="B1749" s="4"/>
      <c r="C1749" s="75"/>
      <c r="D1749" s="76"/>
      <c r="E1749" s="5"/>
      <c r="F1749" s="5"/>
    </row>
    <row r="1750" spans="1:6" x14ac:dyDescent="0.3">
      <c r="A1750" s="1"/>
      <c r="B1750" s="4"/>
      <c r="C1750" s="75"/>
      <c r="D1750" s="76"/>
      <c r="E1750" s="5"/>
      <c r="F1750" s="5"/>
    </row>
    <row r="1751" spans="1:6" x14ac:dyDescent="0.3">
      <c r="A1751" s="1"/>
      <c r="B1751" s="4"/>
      <c r="C1751" s="75"/>
      <c r="D1751" s="76"/>
      <c r="E1751" s="5"/>
      <c r="F1751" s="5"/>
    </row>
    <row r="1752" spans="1:6" x14ac:dyDescent="0.3">
      <c r="A1752" s="1"/>
      <c r="B1752" s="4"/>
      <c r="C1752" s="75"/>
      <c r="D1752" s="76"/>
      <c r="E1752" s="5"/>
      <c r="F1752" s="5"/>
    </row>
    <row r="1753" spans="1:6" x14ac:dyDescent="0.3">
      <c r="A1753" s="1"/>
      <c r="B1753" s="4"/>
      <c r="C1753" s="75"/>
      <c r="D1753" s="76"/>
      <c r="E1753" s="5"/>
      <c r="F1753" s="5"/>
    </row>
    <row r="1754" spans="1:6" x14ac:dyDescent="0.3">
      <c r="A1754" s="1"/>
      <c r="B1754" s="4"/>
      <c r="C1754" s="75"/>
      <c r="D1754" s="76"/>
      <c r="E1754" s="5"/>
      <c r="F1754" s="5"/>
    </row>
    <row r="1755" spans="1:6" x14ac:dyDescent="0.3">
      <c r="A1755" s="1"/>
      <c r="B1755" s="4"/>
      <c r="C1755" s="75"/>
      <c r="D1755" s="76"/>
      <c r="E1755" s="5"/>
      <c r="F1755" s="5"/>
    </row>
    <row r="1756" spans="1:6" x14ac:dyDescent="0.3">
      <c r="A1756" s="1"/>
      <c r="B1756" s="4"/>
      <c r="C1756" s="75"/>
      <c r="D1756" s="76"/>
      <c r="E1756" s="5"/>
      <c r="F1756" s="5"/>
    </row>
    <row r="1757" spans="1:6" x14ac:dyDescent="0.3">
      <c r="A1757" s="1"/>
      <c r="B1757" s="4"/>
      <c r="C1757" s="75"/>
      <c r="D1757" s="76"/>
      <c r="E1757" s="5"/>
      <c r="F1757" s="5"/>
    </row>
    <row r="1758" spans="1:6" x14ac:dyDescent="0.3">
      <c r="A1758" s="1"/>
      <c r="B1758" s="4"/>
      <c r="C1758" s="75"/>
      <c r="D1758" s="76"/>
      <c r="E1758" s="5"/>
      <c r="F1758" s="5"/>
    </row>
    <row r="1759" spans="1:6" x14ac:dyDescent="0.3">
      <c r="A1759" s="1"/>
      <c r="B1759" s="4"/>
      <c r="C1759" s="75"/>
      <c r="D1759" s="76"/>
      <c r="E1759" s="5"/>
      <c r="F1759" s="5"/>
    </row>
    <row r="1760" spans="1:6" x14ac:dyDescent="0.3">
      <c r="A1760" s="1"/>
      <c r="B1760" s="4"/>
      <c r="C1760" s="75"/>
      <c r="D1760" s="76"/>
      <c r="E1760" s="5"/>
      <c r="F1760" s="5"/>
    </row>
    <row r="1761" spans="1:6" x14ac:dyDescent="0.3">
      <c r="A1761" s="1"/>
      <c r="B1761" s="4"/>
      <c r="C1761" s="75"/>
      <c r="D1761" s="76"/>
      <c r="E1761" s="5"/>
      <c r="F1761" s="5"/>
    </row>
    <row r="1762" spans="1:6" x14ac:dyDescent="0.3">
      <c r="A1762" s="1"/>
      <c r="B1762" s="4"/>
      <c r="C1762" s="75"/>
      <c r="D1762" s="76"/>
      <c r="E1762" s="5"/>
      <c r="F1762" s="5"/>
    </row>
    <row r="1763" spans="1:6" x14ac:dyDescent="0.3">
      <c r="A1763" s="1"/>
      <c r="B1763" s="4"/>
      <c r="C1763" s="75"/>
      <c r="D1763" s="76"/>
      <c r="E1763" s="5"/>
      <c r="F1763" s="5"/>
    </row>
    <row r="1764" spans="1:6" x14ac:dyDescent="0.3">
      <c r="A1764" s="1"/>
      <c r="B1764" s="4"/>
      <c r="C1764" s="75"/>
      <c r="D1764" s="76"/>
      <c r="E1764" s="5"/>
      <c r="F1764" s="5"/>
    </row>
    <row r="1765" spans="1:6" x14ac:dyDescent="0.3">
      <c r="A1765" s="1"/>
      <c r="B1765" s="4"/>
      <c r="C1765" s="75"/>
      <c r="D1765" s="76"/>
      <c r="E1765" s="5"/>
      <c r="F1765" s="5"/>
    </row>
    <row r="1766" spans="1:6" x14ac:dyDescent="0.3">
      <c r="A1766" s="1"/>
      <c r="B1766" s="4"/>
      <c r="C1766" s="75"/>
      <c r="D1766" s="76"/>
      <c r="E1766" s="5"/>
      <c r="F1766" s="5"/>
    </row>
    <row r="1767" spans="1:6" x14ac:dyDescent="0.3">
      <c r="A1767" s="1"/>
      <c r="B1767" s="4"/>
      <c r="C1767" s="75"/>
      <c r="D1767" s="76"/>
      <c r="E1767" s="5"/>
      <c r="F1767" s="5"/>
    </row>
    <row r="1768" spans="1:6" x14ac:dyDescent="0.3">
      <c r="A1768" s="1"/>
      <c r="B1768" s="4"/>
      <c r="C1768" s="75"/>
      <c r="D1768" s="76"/>
      <c r="E1768" s="5"/>
      <c r="F1768" s="5"/>
    </row>
    <row r="1769" spans="1:6" x14ac:dyDescent="0.3">
      <c r="A1769" s="1"/>
      <c r="B1769" s="4"/>
      <c r="C1769" s="75"/>
      <c r="D1769" s="76"/>
      <c r="E1769" s="5"/>
      <c r="F1769" s="5"/>
    </row>
    <row r="1770" spans="1:6" x14ac:dyDescent="0.3">
      <c r="A1770" s="1"/>
      <c r="B1770" s="4"/>
      <c r="C1770" s="75"/>
      <c r="D1770" s="76"/>
      <c r="E1770" s="5"/>
      <c r="F1770" s="5"/>
    </row>
    <row r="1771" spans="1:6" x14ac:dyDescent="0.3">
      <c r="A1771" s="1"/>
      <c r="B1771" s="4"/>
      <c r="C1771" s="75"/>
      <c r="D1771" s="76"/>
      <c r="E1771" s="5"/>
      <c r="F1771" s="5"/>
    </row>
    <row r="1772" spans="1:6" x14ac:dyDescent="0.3">
      <c r="A1772" s="1"/>
      <c r="B1772" s="4"/>
      <c r="C1772" s="75"/>
      <c r="D1772" s="76"/>
      <c r="E1772" s="5"/>
      <c r="F1772" s="5"/>
    </row>
    <row r="1773" spans="1:6" x14ac:dyDescent="0.3">
      <c r="A1773" s="1"/>
      <c r="B1773" s="4"/>
      <c r="C1773" s="75"/>
      <c r="D1773" s="76"/>
      <c r="E1773" s="5"/>
      <c r="F1773" s="5"/>
    </row>
    <row r="1774" spans="1:6" x14ac:dyDescent="0.3">
      <c r="A1774" s="1"/>
      <c r="B1774" s="4"/>
      <c r="C1774" s="75"/>
      <c r="D1774" s="76"/>
      <c r="E1774" s="5"/>
      <c r="F1774" s="5"/>
    </row>
    <row r="1775" spans="1:6" x14ac:dyDescent="0.3">
      <c r="A1775" s="1"/>
      <c r="B1775" s="4"/>
      <c r="C1775" s="75"/>
      <c r="D1775" s="76"/>
      <c r="E1775" s="5"/>
      <c r="F1775" s="5"/>
    </row>
    <row r="1776" spans="1:6" x14ac:dyDescent="0.3">
      <c r="A1776" s="1"/>
      <c r="B1776" s="4"/>
      <c r="C1776" s="75"/>
      <c r="D1776" s="76"/>
      <c r="E1776" s="5"/>
      <c r="F1776" s="5"/>
    </row>
    <row r="1777" spans="1:6" x14ac:dyDescent="0.3">
      <c r="A1777" s="1"/>
      <c r="B1777" s="4"/>
      <c r="C1777" s="75"/>
      <c r="D1777" s="76"/>
      <c r="E1777" s="5"/>
      <c r="F1777" s="5"/>
    </row>
    <row r="1778" spans="1:6" x14ac:dyDescent="0.3">
      <c r="A1778" s="1"/>
      <c r="B1778" s="4"/>
      <c r="C1778" s="75"/>
      <c r="D1778" s="76"/>
      <c r="E1778" s="5"/>
      <c r="F1778" s="5"/>
    </row>
    <row r="1779" spans="1:6" x14ac:dyDescent="0.3">
      <c r="A1779" s="1"/>
      <c r="B1779" s="4"/>
      <c r="C1779" s="75"/>
      <c r="D1779" s="76"/>
      <c r="E1779" s="5"/>
      <c r="F1779" s="5"/>
    </row>
    <row r="1780" spans="1:6" x14ac:dyDescent="0.3">
      <c r="A1780" s="1"/>
      <c r="B1780" s="4"/>
      <c r="C1780" s="75"/>
      <c r="D1780" s="76"/>
      <c r="E1780" s="5"/>
      <c r="F1780" s="5"/>
    </row>
    <row r="1781" spans="1:6" x14ac:dyDescent="0.3">
      <c r="A1781" s="1"/>
      <c r="B1781" s="4"/>
      <c r="C1781" s="75"/>
      <c r="D1781" s="76"/>
      <c r="E1781" s="5"/>
      <c r="F1781" s="5"/>
    </row>
    <row r="1782" spans="1:6" x14ac:dyDescent="0.3">
      <c r="A1782" s="1"/>
      <c r="B1782" s="4"/>
      <c r="C1782" s="75"/>
      <c r="D1782" s="76"/>
      <c r="E1782" s="5"/>
      <c r="F1782" s="5"/>
    </row>
    <row r="1783" spans="1:6" x14ac:dyDescent="0.3">
      <c r="A1783" s="1"/>
      <c r="B1783" s="4"/>
      <c r="C1783" s="75"/>
      <c r="D1783" s="76"/>
      <c r="E1783" s="5"/>
      <c r="F1783" s="5"/>
    </row>
    <row r="1784" spans="1:6" x14ac:dyDescent="0.3">
      <c r="A1784" s="1"/>
      <c r="B1784" s="4"/>
      <c r="C1784" s="75"/>
      <c r="D1784" s="76"/>
      <c r="E1784" s="5"/>
      <c r="F1784" s="5"/>
    </row>
    <row r="1785" spans="1:6" x14ac:dyDescent="0.3">
      <c r="A1785" s="1"/>
      <c r="B1785" s="4"/>
      <c r="C1785" s="75"/>
      <c r="D1785" s="76"/>
      <c r="E1785" s="5"/>
      <c r="F1785" s="5"/>
    </row>
    <row r="1786" spans="1:6" x14ac:dyDescent="0.3">
      <c r="A1786" s="1"/>
      <c r="B1786" s="4"/>
      <c r="C1786" s="75"/>
      <c r="D1786" s="76"/>
      <c r="E1786" s="5"/>
      <c r="F1786" s="5"/>
    </row>
    <row r="1787" spans="1:6" x14ac:dyDescent="0.3">
      <c r="A1787" s="1"/>
      <c r="B1787" s="4"/>
      <c r="C1787" s="75"/>
      <c r="D1787" s="76"/>
      <c r="E1787" s="5"/>
      <c r="F1787" s="5"/>
    </row>
    <row r="1788" spans="1:6" x14ac:dyDescent="0.3">
      <c r="A1788" s="1"/>
      <c r="B1788" s="4"/>
      <c r="C1788" s="75"/>
      <c r="D1788" s="76"/>
      <c r="E1788" s="5"/>
      <c r="F1788" s="5"/>
    </row>
    <row r="1789" spans="1:6" x14ac:dyDescent="0.3">
      <c r="A1789" s="1"/>
      <c r="B1789" s="4"/>
      <c r="C1789" s="75"/>
      <c r="D1789" s="76"/>
      <c r="E1789" s="5"/>
      <c r="F1789" s="5"/>
    </row>
    <row r="1790" spans="1:6" x14ac:dyDescent="0.3">
      <c r="A1790" s="1"/>
      <c r="B1790" s="4"/>
      <c r="C1790" s="75"/>
      <c r="D1790" s="76"/>
      <c r="E1790" s="5"/>
      <c r="F1790" s="5"/>
    </row>
    <row r="1791" spans="1:6" x14ac:dyDescent="0.3">
      <c r="A1791" s="1"/>
      <c r="B1791" s="4"/>
      <c r="C1791" s="75"/>
      <c r="D1791" s="76"/>
      <c r="E1791" s="5"/>
      <c r="F1791" s="5"/>
    </row>
    <row r="1792" spans="1:6" x14ac:dyDescent="0.3">
      <c r="A1792" s="1"/>
      <c r="B1792" s="4"/>
      <c r="C1792" s="75"/>
      <c r="D1792" s="76"/>
      <c r="E1792" s="5"/>
      <c r="F1792" s="5"/>
    </row>
    <row r="1793" spans="1:6" x14ac:dyDescent="0.3">
      <c r="A1793" s="1"/>
      <c r="B1793" s="4"/>
      <c r="C1793" s="75"/>
      <c r="D1793" s="76"/>
      <c r="E1793" s="5"/>
      <c r="F1793" s="5"/>
    </row>
    <row r="1794" spans="1:6" x14ac:dyDescent="0.3">
      <c r="A1794" s="1"/>
      <c r="B1794" s="4"/>
      <c r="C1794" s="75"/>
      <c r="D1794" s="76"/>
      <c r="E1794" s="5"/>
      <c r="F1794" s="5"/>
    </row>
    <row r="1795" spans="1:6" x14ac:dyDescent="0.3">
      <c r="A1795" s="1"/>
      <c r="B1795" s="4"/>
      <c r="C1795" s="75"/>
      <c r="D1795" s="76"/>
      <c r="E1795" s="5"/>
      <c r="F1795" s="5"/>
    </row>
    <row r="1796" spans="1:6" x14ac:dyDescent="0.3">
      <c r="A1796" s="1"/>
      <c r="B1796" s="4"/>
      <c r="C1796" s="75"/>
      <c r="D1796" s="76"/>
      <c r="E1796" s="5"/>
      <c r="F1796" s="5"/>
    </row>
    <row r="1797" spans="1:6" x14ac:dyDescent="0.3">
      <c r="A1797" s="1"/>
      <c r="B1797" s="4"/>
      <c r="C1797" s="75"/>
      <c r="D1797" s="76"/>
      <c r="E1797" s="5"/>
      <c r="F1797" s="5"/>
    </row>
    <row r="1798" spans="1:6" x14ac:dyDescent="0.3">
      <c r="A1798" s="1"/>
      <c r="B1798" s="4"/>
      <c r="C1798" s="75"/>
      <c r="D1798" s="76"/>
      <c r="E1798" s="5"/>
      <c r="F1798" s="5"/>
    </row>
    <row r="1799" spans="1:6" x14ac:dyDescent="0.3">
      <c r="A1799" s="1"/>
      <c r="B1799" s="4"/>
      <c r="C1799" s="75"/>
      <c r="D1799" s="76"/>
      <c r="E1799" s="5"/>
      <c r="F1799" s="5"/>
    </row>
    <row r="1800" spans="1:6" x14ac:dyDescent="0.3">
      <c r="A1800" s="1"/>
      <c r="B1800" s="4"/>
      <c r="C1800" s="75"/>
      <c r="D1800" s="76"/>
      <c r="E1800" s="5"/>
      <c r="F1800" s="5"/>
    </row>
    <row r="1801" spans="1:6" x14ac:dyDescent="0.3">
      <c r="A1801" s="1"/>
      <c r="B1801" s="4"/>
      <c r="C1801" s="75"/>
      <c r="D1801" s="76"/>
      <c r="E1801" s="5"/>
      <c r="F1801" s="5"/>
    </row>
    <row r="1802" spans="1:6" x14ac:dyDescent="0.3">
      <c r="A1802" s="1"/>
      <c r="B1802" s="4"/>
      <c r="C1802" s="75"/>
      <c r="D1802" s="76"/>
      <c r="E1802" s="5"/>
      <c r="F1802" s="5"/>
    </row>
    <row r="1803" spans="1:6" x14ac:dyDescent="0.3">
      <c r="A1803" s="1"/>
      <c r="B1803" s="4"/>
      <c r="C1803" s="75"/>
      <c r="D1803" s="76"/>
      <c r="E1803" s="5"/>
      <c r="F1803" s="5"/>
    </row>
    <row r="1804" spans="1:6" x14ac:dyDescent="0.3">
      <c r="A1804" s="1"/>
      <c r="B1804" s="4"/>
      <c r="C1804" s="75"/>
      <c r="D1804" s="76"/>
      <c r="E1804" s="5"/>
      <c r="F1804" s="5"/>
    </row>
    <row r="1805" spans="1:6" x14ac:dyDescent="0.3">
      <c r="A1805" s="1"/>
      <c r="B1805" s="4"/>
      <c r="C1805" s="75"/>
      <c r="D1805" s="76"/>
      <c r="E1805" s="5"/>
      <c r="F1805" s="5"/>
    </row>
    <row r="1806" spans="1:6" x14ac:dyDescent="0.3">
      <c r="A1806" s="1"/>
      <c r="B1806" s="4"/>
      <c r="C1806" s="75"/>
      <c r="D1806" s="76"/>
      <c r="E1806" s="5"/>
      <c r="F1806" s="5"/>
    </row>
    <row r="1807" spans="1:6" x14ac:dyDescent="0.3">
      <c r="A1807" s="1"/>
      <c r="B1807" s="4"/>
      <c r="C1807" s="75"/>
      <c r="D1807" s="76"/>
      <c r="E1807" s="5"/>
      <c r="F1807" s="5"/>
    </row>
    <row r="1808" spans="1:6" x14ac:dyDescent="0.3">
      <c r="A1808" s="1"/>
      <c r="B1808" s="4"/>
      <c r="C1808" s="75"/>
      <c r="D1808" s="76"/>
      <c r="E1808" s="5"/>
      <c r="F1808" s="5"/>
    </row>
    <row r="1809" spans="1:6" x14ac:dyDescent="0.3">
      <c r="A1809" s="1"/>
      <c r="B1809" s="4"/>
      <c r="C1809" s="75"/>
      <c r="D1809" s="76"/>
      <c r="E1809" s="5"/>
      <c r="F1809" s="5"/>
    </row>
    <row r="1810" spans="1:6" x14ac:dyDescent="0.3">
      <c r="A1810" s="1"/>
      <c r="B1810" s="4"/>
      <c r="C1810" s="75"/>
      <c r="D1810" s="76"/>
      <c r="E1810" s="5"/>
      <c r="F1810" s="5"/>
    </row>
    <row r="1811" spans="1:6" x14ac:dyDescent="0.3">
      <c r="A1811" s="1"/>
      <c r="B1811" s="4"/>
      <c r="C1811" s="75"/>
      <c r="D1811" s="76"/>
      <c r="E1811" s="5"/>
      <c r="F1811" s="5"/>
    </row>
    <row r="1812" spans="1:6" x14ac:dyDescent="0.3">
      <c r="A1812" s="1"/>
      <c r="B1812" s="4"/>
      <c r="C1812" s="75"/>
      <c r="D1812" s="76"/>
      <c r="E1812" s="5"/>
      <c r="F1812" s="5"/>
    </row>
    <row r="1813" spans="1:6" x14ac:dyDescent="0.3">
      <c r="A1813" s="1"/>
      <c r="B1813" s="4"/>
      <c r="C1813" s="75"/>
      <c r="D1813" s="76"/>
      <c r="E1813" s="5"/>
      <c r="F1813" s="5"/>
    </row>
    <row r="1814" spans="1:6" x14ac:dyDescent="0.3">
      <c r="A1814" s="1"/>
      <c r="B1814" s="4"/>
      <c r="C1814" s="75"/>
      <c r="D1814" s="76"/>
      <c r="E1814" s="5"/>
      <c r="F1814" s="5"/>
    </row>
    <row r="1815" spans="1:6" x14ac:dyDescent="0.3">
      <c r="A1815" s="1"/>
      <c r="B1815" s="4"/>
      <c r="C1815" s="75"/>
      <c r="D1815" s="76"/>
      <c r="E1815" s="5"/>
      <c r="F1815" s="5"/>
    </row>
    <row r="1816" spans="1:6" x14ac:dyDescent="0.3">
      <c r="A1816" s="1"/>
      <c r="B1816" s="4"/>
      <c r="C1816" s="75"/>
      <c r="D1816" s="76"/>
      <c r="E1816" s="5"/>
      <c r="F1816" s="5"/>
    </row>
    <row r="1817" spans="1:6" x14ac:dyDescent="0.3">
      <c r="A1817" s="1"/>
      <c r="B1817" s="4"/>
      <c r="C1817" s="75"/>
      <c r="D1817" s="76"/>
      <c r="E1817" s="5"/>
      <c r="F1817" s="5"/>
    </row>
    <row r="1818" spans="1:6" x14ac:dyDescent="0.3">
      <c r="A1818" s="1"/>
      <c r="B1818" s="4"/>
      <c r="C1818" s="75"/>
      <c r="D1818" s="76"/>
      <c r="E1818" s="5"/>
      <c r="F1818" s="5"/>
    </row>
    <row r="1819" spans="1:6" x14ac:dyDescent="0.3">
      <c r="A1819" s="1"/>
      <c r="B1819" s="4"/>
      <c r="C1819" s="75"/>
      <c r="D1819" s="76"/>
      <c r="E1819" s="5"/>
      <c r="F1819" s="5"/>
    </row>
    <row r="1820" spans="1:6" x14ac:dyDescent="0.3">
      <c r="A1820" s="1"/>
      <c r="B1820" s="4"/>
      <c r="C1820" s="75"/>
      <c r="D1820" s="76"/>
      <c r="E1820" s="5"/>
      <c r="F1820" s="5"/>
    </row>
    <row r="1821" spans="1:6" x14ac:dyDescent="0.3">
      <c r="A1821" s="1"/>
      <c r="B1821" s="4"/>
      <c r="C1821" s="75"/>
      <c r="D1821" s="76"/>
      <c r="E1821" s="5"/>
      <c r="F1821" s="5"/>
    </row>
    <row r="1822" spans="1:6" x14ac:dyDescent="0.3">
      <c r="A1822" s="1"/>
      <c r="B1822" s="4"/>
      <c r="C1822" s="75"/>
      <c r="D1822" s="76"/>
      <c r="E1822" s="5"/>
      <c r="F1822" s="5"/>
    </row>
    <row r="1823" spans="1:6" x14ac:dyDescent="0.3">
      <c r="A1823" s="1"/>
      <c r="B1823" s="4"/>
      <c r="C1823" s="75"/>
      <c r="D1823" s="76"/>
      <c r="E1823" s="5"/>
      <c r="F1823" s="5"/>
    </row>
    <row r="1824" spans="1:6" x14ac:dyDescent="0.3">
      <c r="A1824" s="1"/>
      <c r="B1824" s="4"/>
      <c r="C1824" s="75"/>
      <c r="D1824" s="76"/>
      <c r="E1824" s="5"/>
      <c r="F1824" s="5"/>
    </row>
    <row r="1825" spans="1:6" x14ac:dyDescent="0.3">
      <c r="A1825" s="1"/>
      <c r="B1825" s="4"/>
      <c r="C1825" s="75"/>
      <c r="D1825" s="76"/>
      <c r="E1825" s="5"/>
      <c r="F1825" s="5"/>
    </row>
    <row r="1826" spans="1:6" x14ac:dyDescent="0.3">
      <c r="A1826" s="1"/>
      <c r="B1826" s="4"/>
      <c r="C1826" s="75"/>
      <c r="D1826" s="76"/>
      <c r="E1826" s="5"/>
      <c r="F1826" s="5"/>
    </row>
    <row r="1827" spans="1:6" x14ac:dyDescent="0.3">
      <c r="A1827" s="1"/>
      <c r="B1827" s="4"/>
      <c r="C1827" s="75"/>
      <c r="D1827" s="76"/>
      <c r="E1827" s="5"/>
      <c r="F1827" s="5"/>
    </row>
    <row r="1828" spans="1:6" x14ac:dyDescent="0.3">
      <c r="A1828" s="1"/>
      <c r="B1828" s="4"/>
      <c r="C1828" s="75"/>
      <c r="D1828" s="76"/>
      <c r="E1828" s="5"/>
      <c r="F1828" s="5"/>
    </row>
    <row r="1829" spans="1:6" x14ac:dyDescent="0.3">
      <c r="A1829" s="1"/>
      <c r="B1829" s="4"/>
      <c r="C1829" s="75"/>
      <c r="D1829" s="76"/>
      <c r="E1829" s="5"/>
      <c r="F1829" s="5"/>
    </row>
    <row r="1830" spans="1:6" x14ac:dyDescent="0.3">
      <c r="A1830" s="1"/>
      <c r="B1830" s="4"/>
      <c r="C1830" s="75"/>
      <c r="D1830" s="76"/>
      <c r="E1830" s="5"/>
      <c r="F1830" s="5"/>
    </row>
    <row r="1831" spans="1:6" x14ac:dyDescent="0.3">
      <c r="A1831" s="1"/>
      <c r="B1831" s="4"/>
      <c r="C1831" s="75"/>
      <c r="D1831" s="76"/>
      <c r="E1831" s="5"/>
      <c r="F1831" s="5"/>
    </row>
    <row r="1832" spans="1:6" x14ac:dyDescent="0.3">
      <c r="A1832" s="1"/>
      <c r="B1832" s="4"/>
      <c r="C1832" s="75"/>
      <c r="D1832" s="76"/>
      <c r="E1832" s="5"/>
      <c r="F1832" s="5"/>
    </row>
    <row r="1833" spans="1:6" x14ac:dyDescent="0.3">
      <c r="A1833" s="1"/>
      <c r="B1833" s="4"/>
      <c r="C1833" s="75"/>
      <c r="D1833" s="76"/>
      <c r="E1833" s="5"/>
      <c r="F1833" s="5"/>
    </row>
    <row r="1834" spans="1:6" x14ac:dyDescent="0.3">
      <c r="A1834" s="1"/>
      <c r="B1834" s="4"/>
      <c r="C1834" s="75"/>
      <c r="D1834" s="76"/>
      <c r="E1834" s="5"/>
      <c r="F1834" s="5"/>
    </row>
    <row r="1835" spans="1:6" x14ac:dyDescent="0.3">
      <c r="A1835" s="1"/>
      <c r="B1835" s="4"/>
      <c r="C1835" s="75"/>
      <c r="D1835" s="76"/>
      <c r="E1835" s="5"/>
      <c r="F1835" s="5"/>
    </row>
    <row r="1836" spans="1:6" x14ac:dyDescent="0.3">
      <c r="A1836" s="1"/>
      <c r="B1836" s="4"/>
      <c r="C1836" s="75"/>
      <c r="D1836" s="76"/>
      <c r="E1836" s="5"/>
      <c r="F1836" s="5"/>
    </row>
    <row r="1837" spans="1:6" x14ac:dyDescent="0.3">
      <c r="A1837" s="1"/>
      <c r="B1837" s="4"/>
      <c r="C1837" s="75"/>
      <c r="D1837" s="76"/>
      <c r="E1837" s="5"/>
      <c r="F1837" s="5"/>
    </row>
    <row r="1838" spans="1:6" x14ac:dyDescent="0.3">
      <c r="A1838" s="1"/>
      <c r="B1838" s="4"/>
      <c r="C1838" s="75"/>
      <c r="D1838" s="76"/>
      <c r="E1838" s="5"/>
      <c r="F1838" s="5"/>
    </row>
    <row r="1839" spans="1:6" x14ac:dyDescent="0.3">
      <c r="A1839" s="1"/>
      <c r="B1839" s="4"/>
      <c r="C1839" s="75"/>
      <c r="D1839" s="76"/>
      <c r="E1839" s="5"/>
      <c r="F1839" s="5"/>
    </row>
    <row r="1840" spans="1:6" x14ac:dyDescent="0.3">
      <c r="A1840" s="1"/>
      <c r="B1840" s="4"/>
      <c r="C1840" s="75"/>
      <c r="D1840" s="76"/>
      <c r="E1840" s="5"/>
      <c r="F1840" s="5"/>
    </row>
    <row r="1841" spans="1:6" x14ac:dyDescent="0.3">
      <c r="A1841" s="1"/>
      <c r="B1841" s="4"/>
      <c r="C1841" s="75"/>
      <c r="D1841" s="76"/>
      <c r="E1841" s="5"/>
      <c r="F1841" s="5"/>
    </row>
    <row r="1842" spans="1:6" x14ac:dyDescent="0.3">
      <c r="A1842" s="1"/>
      <c r="B1842" s="4"/>
      <c r="C1842" s="75"/>
      <c r="D1842" s="76"/>
      <c r="E1842" s="5"/>
      <c r="F1842" s="5"/>
    </row>
    <row r="1843" spans="1:6" x14ac:dyDescent="0.3">
      <c r="A1843" s="1"/>
      <c r="B1843" s="4"/>
      <c r="C1843" s="75"/>
      <c r="D1843" s="76"/>
      <c r="E1843" s="5"/>
      <c r="F1843" s="5"/>
    </row>
    <row r="1844" spans="1:6" x14ac:dyDescent="0.3">
      <c r="A1844" s="1"/>
      <c r="B1844" s="4"/>
      <c r="C1844" s="75"/>
      <c r="D1844" s="76"/>
      <c r="E1844" s="5"/>
      <c r="F1844" s="5"/>
    </row>
    <row r="1845" spans="1:6" x14ac:dyDescent="0.3">
      <c r="A1845" s="1"/>
      <c r="B1845" s="4"/>
      <c r="C1845" s="75"/>
      <c r="D1845" s="76"/>
      <c r="E1845" s="5"/>
      <c r="F1845" s="5"/>
    </row>
    <row r="1846" spans="1:6" x14ac:dyDescent="0.3">
      <c r="A1846" s="1"/>
      <c r="B1846" s="4"/>
      <c r="C1846" s="75"/>
      <c r="D1846" s="76"/>
      <c r="E1846" s="5"/>
      <c r="F1846" s="5"/>
    </row>
    <row r="1847" spans="1:6" x14ac:dyDescent="0.3">
      <c r="A1847" s="1"/>
      <c r="B1847" s="4"/>
      <c r="C1847" s="75"/>
      <c r="D1847" s="76"/>
      <c r="E1847" s="5"/>
      <c r="F1847" s="5"/>
    </row>
    <row r="1848" spans="1:6" x14ac:dyDescent="0.3">
      <c r="A1848" s="1"/>
      <c r="B1848" s="4"/>
      <c r="C1848" s="75"/>
      <c r="D1848" s="76"/>
      <c r="E1848" s="5"/>
      <c r="F1848" s="5"/>
    </row>
    <row r="1849" spans="1:6" x14ac:dyDescent="0.3">
      <c r="A1849" s="1"/>
      <c r="B1849" s="4"/>
      <c r="C1849" s="75"/>
      <c r="D1849" s="76"/>
      <c r="E1849" s="5"/>
      <c r="F1849" s="5"/>
    </row>
    <row r="1850" spans="1:6" x14ac:dyDescent="0.3">
      <c r="A1850" s="1"/>
      <c r="B1850" s="4"/>
      <c r="C1850" s="75"/>
      <c r="D1850" s="76"/>
      <c r="E1850" s="5"/>
      <c r="F1850" s="5"/>
    </row>
    <row r="1851" spans="1:6" x14ac:dyDescent="0.3">
      <c r="A1851" s="1"/>
      <c r="B1851" s="4"/>
      <c r="C1851" s="75"/>
      <c r="D1851" s="76"/>
      <c r="E1851" s="5"/>
      <c r="F1851" s="5"/>
    </row>
    <row r="1852" spans="1:6" x14ac:dyDescent="0.3">
      <c r="A1852" s="1"/>
      <c r="B1852" s="4"/>
      <c r="C1852" s="75"/>
      <c r="D1852" s="76"/>
      <c r="E1852" s="5"/>
      <c r="F1852" s="5"/>
    </row>
    <row r="1853" spans="1:6" x14ac:dyDescent="0.3">
      <c r="A1853" s="1"/>
      <c r="B1853" s="4"/>
      <c r="C1853" s="75"/>
      <c r="D1853" s="76"/>
      <c r="E1853" s="5"/>
      <c r="F1853" s="5"/>
    </row>
    <row r="1854" spans="1:6" x14ac:dyDescent="0.3">
      <c r="A1854" s="1"/>
      <c r="B1854" s="4"/>
      <c r="C1854" s="75"/>
      <c r="D1854" s="76"/>
      <c r="E1854" s="5"/>
      <c r="F1854" s="5"/>
    </row>
    <row r="1855" spans="1:6" x14ac:dyDescent="0.3">
      <c r="A1855" s="1"/>
      <c r="B1855" s="4"/>
      <c r="C1855" s="75"/>
      <c r="D1855" s="76"/>
      <c r="E1855" s="5"/>
      <c r="F1855" s="5"/>
    </row>
    <row r="1856" spans="1:6" x14ac:dyDescent="0.3">
      <c r="A1856" s="1"/>
      <c r="B1856" s="4"/>
      <c r="C1856" s="75"/>
      <c r="D1856" s="76"/>
      <c r="E1856" s="5"/>
      <c r="F1856" s="5"/>
    </row>
    <row r="1857" spans="1:6" x14ac:dyDescent="0.3">
      <c r="A1857" s="1"/>
      <c r="B1857" s="4"/>
      <c r="C1857" s="75"/>
      <c r="D1857" s="76"/>
      <c r="E1857" s="5"/>
      <c r="F1857" s="5"/>
    </row>
    <row r="1858" spans="1:6" x14ac:dyDescent="0.3">
      <c r="A1858" s="1"/>
      <c r="B1858" s="4"/>
      <c r="C1858" s="75"/>
      <c r="D1858" s="76"/>
      <c r="E1858" s="5"/>
      <c r="F1858" s="5"/>
    </row>
    <row r="1859" spans="1:6" x14ac:dyDescent="0.3">
      <c r="A1859" s="1"/>
      <c r="B1859" s="4"/>
      <c r="C1859" s="75"/>
      <c r="D1859" s="76"/>
      <c r="E1859" s="5"/>
      <c r="F1859" s="5"/>
    </row>
    <row r="1860" spans="1:6" x14ac:dyDescent="0.3">
      <c r="A1860" s="1"/>
      <c r="B1860" s="4"/>
      <c r="C1860" s="75"/>
      <c r="D1860" s="76"/>
      <c r="E1860" s="5"/>
      <c r="F1860" s="5"/>
    </row>
    <row r="1861" spans="1:6" x14ac:dyDescent="0.3">
      <c r="A1861" s="1"/>
      <c r="B1861" s="4"/>
      <c r="C1861" s="75"/>
      <c r="D1861" s="76"/>
      <c r="E1861" s="5"/>
      <c r="F1861" s="5"/>
    </row>
    <row r="1862" spans="1:6" x14ac:dyDescent="0.3">
      <c r="A1862" s="1"/>
      <c r="B1862" s="4"/>
      <c r="C1862" s="75"/>
      <c r="D1862" s="76"/>
      <c r="E1862" s="5"/>
      <c r="F1862" s="5"/>
    </row>
    <row r="1863" spans="1:6" x14ac:dyDescent="0.3">
      <c r="A1863" s="1"/>
      <c r="B1863" s="4"/>
      <c r="C1863" s="75"/>
      <c r="D1863" s="76"/>
      <c r="E1863" s="5"/>
      <c r="F1863" s="5"/>
    </row>
    <row r="1864" spans="1:6" x14ac:dyDescent="0.3">
      <c r="A1864" s="1"/>
      <c r="B1864" s="4"/>
      <c r="C1864" s="75"/>
      <c r="D1864" s="76"/>
      <c r="E1864" s="5"/>
      <c r="F1864" s="5"/>
    </row>
    <row r="1865" spans="1:6" x14ac:dyDescent="0.3">
      <c r="A1865" s="1"/>
      <c r="B1865" s="4"/>
      <c r="C1865" s="75"/>
      <c r="D1865" s="76"/>
      <c r="E1865" s="5"/>
      <c r="F1865" s="5"/>
    </row>
    <row r="1866" spans="1:6" x14ac:dyDescent="0.3">
      <c r="A1866" s="1"/>
      <c r="B1866" s="4"/>
      <c r="C1866" s="75"/>
      <c r="D1866" s="76"/>
      <c r="E1866" s="5"/>
      <c r="F1866" s="5"/>
    </row>
    <row r="1867" spans="1:6" x14ac:dyDescent="0.3">
      <c r="A1867" s="1"/>
      <c r="B1867" s="4"/>
      <c r="C1867" s="75"/>
      <c r="D1867" s="76"/>
      <c r="E1867" s="5"/>
      <c r="F1867" s="5"/>
    </row>
    <row r="1868" spans="1:6" x14ac:dyDescent="0.3">
      <c r="A1868" s="1"/>
      <c r="B1868" s="4"/>
      <c r="C1868" s="75"/>
      <c r="D1868" s="76"/>
      <c r="E1868" s="5"/>
      <c r="F1868" s="5"/>
    </row>
    <row r="1869" spans="1:6" x14ac:dyDescent="0.3">
      <c r="A1869" s="1"/>
      <c r="B1869" s="4"/>
      <c r="C1869" s="75"/>
      <c r="D1869" s="76"/>
      <c r="E1869" s="5"/>
      <c r="F1869" s="5"/>
    </row>
    <row r="1870" spans="1:6" x14ac:dyDescent="0.3">
      <c r="A1870" s="1"/>
      <c r="B1870" s="4"/>
      <c r="C1870" s="75"/>
      <c r="D1870" s="76"/>
      <c r="E1870" s="5"/>
      <c r="F1870" s="5"/>
    </row>
    <row r="1871" spans="1:6" x14ac:dyDescent="0.3">
      <c r="A1871" s="1"/>
      <c r="B1871" s="4"/>
      <c r="C1871" s="75"/>
      <c r="D1871" s="76"/>
      <c r="E1871" s="5"/>
      <c r="F1871" s="5"/>
    </row>
    <row r="1872" spans="1:6" x14ac:dyDescent="0.3">
      <c r="A1872" s="1"/>
      <c r="B1872" s="4"/>
      <c r="C1872" s="75"/>
      <c r="D1872" s="76"/>
      <c r="E1872" s="5"/>
      <c r="F1872" s="5"/>
    </row>
    <row r="1873" spans="1:6" x14ac:dyDescent="0.3">
      <c r="A1873" s="1"/>
      <c r="B1873" s="4"/>
      <c r="C1873" s="75"/>
      <c r="D1873" s="76"/>
      <c r="E1873" s="5"/>
      <c r="F1873" s="5"/>
    </row>
    <row r="1874" spans="1:6" x14ac:dyDescent="0.3">
      <c r="A1874" s="1"/>
      <c r="B1874" s="4"/>
      <c r="C1874" s="75"/>
      <c r="D1874" s="76"/>
      <c r="E1874" s="5"/>
      <c r="F1874" s="5"/>
    </row>
    <row r="1875" spans="1:6" x14ac:dyDescent="0.3">
      <c r="A1875" s="1"/>
      <c r="B1875" s="4"/>
      <c r="C1875" s="75"/>
      <c r="D1875" s="76"/>
      <c r="E1875" s="5"/>
      <c r="F1875" s="5"/>
    </row>
    <row r="1876" spans="1:6" x14ac:dyDescent="0.3">
      <c r="A1876" s="1"/>
      <c r="B1876" s="4"/>
      <c r="C1876" s="75"/>
      <c r="D1876" s="76"/>
      <c r="E1876" s="5"/>
      <c r="F1876" s="5"/>
    </row>
    <row r="1877" spans="1:6" x14ac:dyDescent="0.3">
      <c r="A1877" s="1"/>
      <c r="B1877" s="4"/>
      <c r="C1877" s="75"/>
      <c r="D1877" s="76"/>
      <c r="E1877" s="5"/>
      <c r="F1877" s="5"/>
    </row>
    <row r="1878" spans="1:6" x14ac:dyDescent="0.3">
      <c r="A1878" s="1"/>
      <c r="B1878" s="4"/>
      <c r="C1878" s="75"/>
      <c r="D1878" s="76"/>
      <c r="E1878" s="5"/>
      <c r="F1878" s="5"/>
    </row>
    <row r="1879" spans="1:6" x14ac:dyDescent="0.3">
      <c r="A1879" s="1"/>
      <c r="B1879" s="4"/>
      <c r="C1879" s="75"/>
      <c r="D1879" s="76"/>
      <c r="E1879" s="5"/>
      <c r="F1879" s="5"/>
    </row>
    <row r="1880" spans="1:6" x14ac:dyDescent="0.3">
      <c r="A1880" s="1"/>
      <c r="B1880" s="4"/>
      <c r="C1880" s="75"/>
      <c r="D1880" s="76"/>
      <c r="E1880" s="5"/>
      <c r="F1880" s="5"/>
    </row>
    <row r="1881" spans="1:6" x14ac:dyDescent="0.3">
      <c r="A1881" s="1"/>
      <c r="B1881" s="4"/>
      <c r="C1881" s="75"/>
      <c r="D1881" s="76"/>
      <c r="E1881" s="5"/>
      <c r="F1881" s="5"/>
    </row>
    <row r="1882" spans="1:6" x14ac:dyDescent="0.3">
      <c r="A1882" s="1"/>
      <c r="B1882" s="4"/>
      <c r="C1882" s="75"/>
      <c r="D1882" s="76"/>
      <c r="E1882" s="5"/>
      <c r="F1882" s="5"/>
    </row>
    <row r="1883" spans="1:6" x14ac:dyDescent="0.3">
      <c r="A1883" s="1"/>
      <c r="B1883" s="4"/>
      <c r="C1883" s="75"/>
      <c r="D1883" s="76"/>
      <c r="E1883" s="5"/>
      <c r="F1883" s="5"/>
    </row>
    <row r="1884" spans="1:6" x14ac:dyDescent="0.3">
      <c r="A1884" s="1"/>
      <c r="B1884" s="4"/>
      <c r="C1884" s="75"/>
      <c r="D1884" s="76"/>
      <c r="E1884" s="5"/>
      <c r="F1884" s="5"/>
    </row>
    <row r="1885" spans="1:6" x14ac:dyDescent="0.3">
      <c r="A1885" s="1"/>
      <c r="B1885" s="4"/>
      <c r="C1885" s="75"/>
      <c r="D1885" s="76"/>
      <c r="E1885" s="5"/>
      <c r="F1885" s="5"/>
    </row>
    <row r="1886" spans="1:6" x14ac:dyDescent="0.3">
      <c r="A1886" s="1"/>
      <c r="B1886" s="4"/>
      <c r="C1886" s="75"/>
      <c r="D1886" s="76"/>
      <c r="E1886" s="5"/>
      <c r="F1886" s="5"/>
    </row>
    <row r="1887" spans="1:6" x14ac:dyDescent="0.3">
      <c r="A1887" s="1"/>
      <c r="B1887" s="4"/>
      <c r="C1887" s="75"/>
      <c r="D1887" s="76"/>
      <c r="E1887" s="5"/>
      <c r="F1887" s="5"/>
    </row>
    <row r="1888" spans="1:6" x14ac:dyDescent="0.3">
      <c r="A1888" s="1"/>
      <c r="B1888" s="4"/>
      <c r="C1888" s="75"/>
      <c r="D1888" s="76"/>
      <c r="E1888" s="5"/>
      <c r="F1888" s="5"/>
    </row>
    <row r="1889" spans="1:6" x14ac:dyDescent="0.3">
      <c r="A1889" s="1"/>
      <c r="B1889" s="4"/>
      <c r="C1889" s="75"/>
      <c r="D1889" s="76"/>
      <c r="E1889" s="5"/>
      <c r="F1889" s="5"/>
    </row>
    <row r="1890" spans="1:6" x14ac:dyDescent="0.3">
      <c r="A1890" s="1"/>
      <c r="B1890" s="4"/>
      <c r="C1890" s="75"/>
      <c r="D1890" s="76"/>
      <c r="E1890" s="5"/>
      <c r="F1890" s="5"/>
    </row>
    <row r="1891" spans="1:6" x14ac:dyDescent="0.3">
      <c r="A1891" s="1"/>
      <c r="B1891" s="4"/>
      <c r="C1891" s="75"/>
      <c r="D1891" s="76"/>
      <c r="E1891" s="5"/>
      <c r="F1891" s="5"/>
    </row>
    <row r="1892" spans="1:6" x14ac:dyDescent="0.3">
      <c r="A1892" s="1"/>
      <c r="B1892" s="4"/>
      <c r="C1892" s="75"/>
      <c r="D1892" s="76"/>
      <c r="E1892" s="5"/>
      <c r="F1892" s="5"/>
    </row>
    <row r="1893" spans="1:6" x14ac:dyDescent="0.3">
      <c r="A1893" s="1"/>
      <c r="B1893" s="4"/>
      <c r="C1893" s="75"/>
      <c r="D1893" s="76"/>
      <c r="E1893" s="5"/>
      <c r="F1893" s="5"/>
    </row>
    <row r="1894" spans="1:6" x14ac:dyDescent="0.3">
      <c r="A1894" s="1"/>
      <c r="B1894" s="4"/>
      <c r="C1894" s="75"/>
      <c r="D1894" s="76"/>
      <c r="E1894" s="5"/>
      <c r="F1894" s="5"/>
    </row>
    <row r="1895" spans="1:6" x14ac:dyDescent="0.3">
      <c r="A1895" s="1"/>
      <c r="B1895" s="4"/>
      <c r="C1895" s="75"/>
      <c r="D1895" s="76"/>
      <c r="E1895" s="5"/>
      <c r="F1895" s="5"/>
    </row>
    <row r="1896" spans="1:6" x14ac:dyDescent="0.3">
      <c r="A1896" s="1"/>
      <c r="B1896" s="4"/>
      <c r="C1896" s="75"/>
      <c r="D1896" s="76"/>
      <c r="E1896" s="5"/>
      <c r="F1896" s="5"/>
    </row>
    <row r="1897" spans="1:6" x14ac:dyDescent="0.3">
      <c r="A1897" s="1"/>
      <c r="B1897" s="4"/>
      <c r="C1897" s="75"/>
      <c r="D1897" s="76"/>
      <c r="E1897" s="5"/>
      <c r="F1897" s="5"/>
    </row>
    <row r="1898" spans="1:6" x14ac:dyDescent="0.3">
      <c r="A1898" s="1"/>
      <c r="B1898" s="4"/>
      <c r="C1898" s="75"/>
      <c r="D1898" s="76"/>
      <c r="E1898" s="5"/>
      <c r="F1898" s="5"/>
    </row>
    <row r="1899" spans="1:6" x14ac:dyDescent="0.3">
      <c r="A1899" s="1"/>
      <c r="B1899" s="4"/>
      <c r="C1899" s="75"/>
      <c r="D1899" s="76"/>
      <c r="E1899" s="5"/>
      <c r="F1899" s="5"/>
    </row>
    <row r="1900" spans="1:6" x14ac:dyDescent="0.3">
      <c r="A1900" s="1"/>
      <c r="B1900" s="4"/>
      <c r="C1900" s="75"/>
      <c r="D1900" s="76"/>
      <c r="E1900" s="5"/>
      <c r="F1900" s="5"/>
    </row>
    <row r="1901" spans="1:6" x14ac:dyDescent="0.3">
      <c r="A1901" s="1"/>
      <c r="B1901" s="4"/>
      <c r="C1901" s="75"/>
      <c r="D1901" s="76"/>
      <c r="E1901" s="5"/>
      <c r="F1901" s="5"/>
    </row>
    <row r="1902" spans="1:6" x14ac:dyDescent="0.3">
      <c r="A1902" s="1"/>
      <c r="B1902" s="4"/>
      <c r="C1902" s="75"/>
      <c r="D1902" s="76"/>
      <c r="E1902" s="5"/>
      <c r="F1902" s="5"/>
    </row>
    <row r="1903" spans="1:6" x14ac:dyDescent="0.3">
      <c r="A1903" s="1"/>
      <c r="B1903" s="4"/>
      <c r="C1903" s="75"/>
      <c r="D1903" s="76"/>
      <c r="E1903" s="5"/>
      <c r="F1903" s="5"/>
    </row>
    <row r="1904" spans="1:6" x14ac:dyDescent="0.3">
      <c r="A1904" s="1"/>
      <c r="B1904" s="4"/>
      <c r="C1904" s="75"/>
      <c r="D1904" s="76"/>
      <c r="E1904" s="5"/>
      <c r="F1904" s="5"/>
    </row>
    <row r="1905" spans="1:6" x14ac:dyDescent="0.3">
      <c r="A1905" s="1"/>
      <c r="B1905" s="4"/>
      <c r="C1905" s="75"/>
      <c r="D1905" s="76"/>
      <c r="E1905" s="5"/>
      <c r="F1905" s="5"/>
    </row>
    <row r="1906" spans="1:6" x14ac:dyDescent="0.3">
      <c r="A1906" s="1"/>
      <c r="B1906" s="4"/>
      <c r="C1906" s="75"/>
      <c r="D1906" s="76"/>
      <c r="E1906" s="5"/>
      <c r="F1906" s="5"/>
    </row>
    <row r="1907" spans="1:6" x14ac:dyDescent="0.3">
      <c r="A1907" s="1"/>
      <c r="B1907" s="4"/>
      <c r="C1907" s="75"/>
      <c r="D1907" s="76"/>
      <c r="E1907" s="5"/>
      <c r="F1907" s="5"/>
    </row>
    <row r="1908" spans="1:6" x14ac:dyDescent="0.3">
      <c r="A1908" s="1"/>
      <c r="B1908" s="4"/>
      <c r="C1908" s="75"/>
      <c r="D1908" s="76"/>
      <c r="E1908" s="5"/>
      <c r="F1908" s="5"/>
    </row>
    <row r="1909" spans="1:6" x14ac:dyDescent="0.3">
      <c r="A1909" s="1"/>
      <c r="B1909" s="4"/>
      <c r="C1909" s="75"/>
      <c r="D1909" s="76"/>
      <c r="E1909" s="5"/>
      <c r="F1909" s="5"/>
    </row>
    <row r="1910" spans="1:6" x14ac:dyDescent="0.3">
      <c r="A1910" s="1"/>
      <c r="B1910" s="4"/>
      <c r="C1910" s="75"/>
      <c r="D1910" s="76"/>
      <c r="E1910" s="5"/>
      <c r="F1910" s="5"/>
    </row>
    <row r="1911" spans="1:6" x14ac:dyDescent="0.3">
      <c r="A1911" s="1"/>
      <c r="B1911" s="4"/>
      <c r="C1911" s="75"/>
      <c r="D1911" s="76"/>
      <c r="E1911" s="5"/>
      <c r="F1911" s="5"/>
    </row>
    <row r="1912" spans="1:6" x14ac:dyDescent="0.3">
      <c r="A1912" s="1"/>
      <c r="B1912" s="4"/>
      <c r="C1912" s="75"/>
      <c r="D1912" s="76"/>
      <c r="E1912" s="5"/>
      <c r="F1912" s="5"/>
    </row>
    <row r="1913" spans="1:6" x14ac:dyDescent="0.3">
      <c r="A1913" s="1"/>
      <c r="B1913" s="4"/>
      <c r="C1913" s="75"/>
      <c r="D1913" s="76"/>
      <c r="E1913" s="5"/>
      <c r="F1913" s="5"/>
    </row>
    <row r="1914" spans="1:6" x14ac:dyDescent="0.3">
      <c r="A1914" s="1"/>
      <c r="B1914" s="4"/>
      <c r="C1914" s="75"/>
      <c r="D1914" s="76"/>
      <c r="E1914" s="5"/>
      <c r="F1914" s="5"/>
    </row>
    <row r="1915" spans="1:6" x14ac:dyDescent="0.3">
      <c r="A1915" s="1"/>
      <c r="B1915" s="4"/>
      <c r="C1915" s="75"/>
      <c r="D1915" s="76"/>
      <c r="E1915" s="5"/>
      <c r="F1915" s="5"/>
    </row>
    <row r="1916" spans="1:6" x14ac:dyDescent="0.3">
      <c r="A1916" s="1"/>
      <c r="B1916" s="4"/>
      <c r="C1916" s="75"/>
      <c r="D1916" s="76"/>
      <c r="E1916" s="5"/>
      <c r="F1916" s="5"/>
    </row>
    <row r="1917" spans="1:6" x14ac:dyDescent="0.3">
      <c r="A1917" s="1"/>
      <c r="B1917" s="4"/>
      <c r="C1917" s="75"/>
      <c r="D1917" s="76"/>
      <c r="E1917" s="5"/>
      <c r="F1917" s="5"/>
    </row>
    <row r="1918" spans="1:6" x14ac:dyDescent="0.3">
      <c r="A1918" s="1"/>
      <c r="B1918" s="4"/>
      <c r="C1918" s="75"/>
      <c r="D1918" s="76"/>
      <c r="E1918" s="5"/>
      <c r="F1918" s="5"/>
    </row>
    <row r="1919" spans="1:6" x14ac:dyDescent="0.3">
      <c r="A1919" s="1"/>
      <c r="B1919" s="4"/>
      <c r="C1919" s="75"/>
      <c r="D1919" s="76"/>
      <c r="E1919" s="5"/>
      <c r="F1919" s="5"/>
    </row>
    <row r="1920" spans="1:6" x14ac:dyDescent="0.3">
      <c r="A1920" s="1"/>
      <c r="B1920" s="4"/>
      <c r="C1920" s="75"/>
      <c r="D1920" s="76"/>
      <c r="E1920" s="5"/>
      <c r="F1920" s="5"/>
    </row>
    <row r="1921" spans="1:6" x14ac:dyDescent="0.3">
      <c r="A1921" s="1"/>
      <c r="B1921" s="4"/>
      <c r="C1921" s="75"/>
      <c r="D1921" s="76"/>
      <c r="E1921" s="5"/>
      <c r="F1921" s="5"/>
    </row>
    <row r="1922" spans="1:6" x14ac:dyDescent="0.3">
      <c r="A1922" s="1"/>
      <c r="B1922" s="4"/>
      <c r="C1922" s="75"/>
      <c r="D1922" s="76"/>
      <c r="E1922" s="5"/>
      <c r="F1922" s="5"/>
    </row>
    <row r="1923" spans="1:6" x14ac:dyDescent="0.3">
      <c r="A1923" s="1"/>
      <c r="B1923" s="4"/>
      <c r="C1923" s="75"/>
      <c r="D1923" s="76"/>
      <c r="E1923" s="5"/>
      <c r="F1923" s="5"/>
    </row>
    <row r="1924" spans="1:6" x14ac:dyDescent="0.3">
      <c r="A1924" s="1"/>
      <c r="B1924" s="4"/>
      <c r="C1924" s="75"/>
      <c r="D1924" s="76"/>
      <c r="E1924" s="5"/>
      <c r="F1924" s="5"/>
    </row>
    <row r="1925" spans="1:6" x14ac:dyDescent="0.3">
      <c r="A1925" s="1"/>
      <c r="B1925" s="4"/>
      <c r="C1925" s="75"/>
      <c r="D1925" s="76"/>
      <c r="E1925" s="5"/>
      <c r="F1925" s="5"/>
    </row>
    <row r="1926" spans="1:6" x14ac:dyDescent="0.3">
      <c r="A1926" s="1"/>
      <c r="B1926" s="4"/>
      <c r="C1926" s="75"/>
      <c r="D1926" s="76"/>
      <c r="E1926" s="5"/>
      <c r="F1926" s="5"/>
    </row>
    <row r="1927" spans="1:6" x14ac:dyDescent="0.3">
      <c r="A1927" s="1"/>
      <c r="B1927" s="4"/>
      <c r="C1927" s="75"/>
      <c r="D1927" s="76"/>
      <c r="E1927" s="5"/>
      <c r="F1927" s="5"/>
    </row>
    <row r="1928" spans="1:6" x14ac:dyDescent="0.3">
      <c r="A1928" s="1"/>
      <c r="B1928" s="4"/>
      <c r="C1928" s="75"/>
      <c r="D1928" s="76"/>
      <c r="E1928" s="5"/>
      <c r="F1928" s="5"/>
    </row>
    <row r="1929" spans="1:6" x14ac:dyDescent="0.3">
      <c r="A1929" s="1"/>
      <c r="B1929" s="4"/>
      <c r="C1929" s="75"/>
      <c r="D1929" s="76"/>
      <c r="E1929" s="5"/>
      <c r="F1929" s="5"/>
    </row>
    <row r="1930" spans="1:6" x14ac:dyDescent="0.3">
      <c r="A1930" s="1"/>
      <c r="B1930" s="4"/>
      <c r="C1930" s="75"/>
      <c r="D1930" s="76"/>
      <c r="E1930" s="5"/>
      <c r="F1930" s="5"/>
    </row>
    <row r="1931" spans="1:6" x14ac:dyDescent="0.3">
      <c r="A1931" s="1"/>
      <c r="B1931" s="4"/>
      <c r="C1931" s="75"/>
      <c r="D1931" s="76"/>
      <c r="E1931" s="5"/>
      <c r="F1931" s="5"/>
    </row>
    <row r="1932" spans="1:6" x14ac:dyDescent="0.3">
      <c r="A1932" s="1"/>
      <c r="B1932" s="4"/>
      <c r="C1932" s="75"/>
      <c r="D1932" s="76"/>
      <c r="E1932" s="5"/>
      <c r="F1932" s="5"/>
    </row>
    <row r="1933" spans="1:6" x14ac:dyDescent="0.3">
      <c r="A1933" s="1"/>
      <c r="B1933" s="4"/>
      <c r="C1933" s="75"/>
      <c r="D1933" s="76"/>
      <c r="E1933" s="5"/>
      <c r="F1933" s="5"/>
    </row>
    <row r="1934" spans="1:6" x14ac:dyDescent="0.3">
      <c r="A1934" s="1"/>
      <c r="B1934" s="4"/>
      <c r="C1934" s="75"/>
      <c r="D1934" s="76"/>
      <c r="E1934" s="5"/>
      <c r="F1934" s="5"/>
    </row>
    <row r="1935" spans="1:6" x14ac:dyDescent="0.3">
      <c r="A1935" s="1"/>
      <c r="B1935" s="4"/>
      <c r="C1935" s="75"/>
      <c r="D1935" s="76"/>
      <c r="E1935" s="5"/>
      <c r="F1935" s="5"/>
    </row>
    <row r="1936" spans="1:6" x14ac:dyDescent="0.3">
      <c r="A1936" s="1"/>
      <c r="B1936" s="4"/>
      <c r="C1936" s="75"/>
      <c r="D1936" s="76"/>
      <c r="E1936" s="5"/>
      <c r="F1936" s="5"/>
    </row>
    <row r="1937" spans="1:6" x14ac:dyDescent="0.3">
      <c r="A1937" s="1"/>
      <c r="B1937" s="4"/>
      <c r="C1937" s="75"/>
      <c r="D1937" s="76"/>
      <c r="E1937" s="5"/>
      <c r="F1937" s="5"/>
    </row>
    <row r="1938" spans="1:6" x14ac:dyDescent="0.3">
      <c r="A1938" s="1"/>
      <c r="B1938" s="4"/>
      <c r="C1938" s="75"/>
      <c r="D1938" s="76"/>
      <c r="E1938" s="5"/>
      <c r="F1938" s="5"/>
    </row>
    <row r="1939" spans="1:6" x14ac:dyDescent="0.3">
      <c r="A1939" s="1"/>
      <c r="B1939" s="4"/>
      <c r="C1939" s="75"/>
      <c r="D1939" s="76"/>
      <c r="E1939" s="5"/>
      <c r="F1939" s="5"/>
    </row>
    <row r="1940" spans="1:6" x14ac:dyDescent="0.3">
      <c r="A1940" s="1"/>
      <c r="B1940" s="4"/>
      <c r="C1940" s="75"/>
      <c r="D1940" s="76"/>
      <c r="E1940" s="5"/>
      <c r="F1940" s="5"/>
    </row>
    <row r="1941" spans="1:6" x14ac:dyDescent="0.3">
      <c r="A1941" s="1"/>
      <c r="B1941" s="4"/>
      <c r="C1941" s="75"/>
      <c r="D1941" s="76"/>
      <c r="E1941" s="5"/>
      <c r="F1941" s="5"/>
    </row>
    <row r="1942" spans="1:6" x14ac:dyDescent="0.3">
      <c r="A1942" s="1"/>
      <c r="B1942" s="4"/>
      <c r="C1942" s="75"/>
      <c r="D1942" s="76"/>
      <c r="E1942" s="5"/>
      <c r="F1942" s="5"/>
    </row>
    <row r="1943" spans="1:6" x14ac:dyDescent="0.3">
      <c r="A1943" s="1"/>
      <c r="B1943" s="4"/>
      <c r="C1943" s="75"/>
      <c r="D1943" s="76"/>
      <c r="E1943" s="5"/>
      <c r="F1943" s="5"/>
    </row>
    <row r="1944" spans="1:6" x14ac:dyDescent="0.3">
      <c r="A1944" s="1"/>
      <c r="B1944" s="4"/>
      <c r="C1944" s="75"/>
      <c r="D1944" s="76"/>
      <c r="E1944" s="5"/>
      <c r="F1944" s="5"/>
    </row>
    <row r="1945" spans="1:6" x14ac:dyDescent="0.3">
      <c r="A1945" s="1"/>
      <c r="B1945" s="4"/>
      <c r="C1945" s="75"/>
      <c r="D1945" s="76"/>
      <c r="E1945" s="5"/>
      <c r="F1945" s="5"/>
    </row>
    <row r="1946" spans="1:6" x14ac:dyDescent="0.3">
      <c r="A1946" s="1"/>
      <c r="B1946" s="4"/>
      <c r="C1946" s="75"/>
      <c r="D1946" s="76"/>
      <c r="E1946" s="5"/>
      <c r="F1946" s="5"/>
    </row>
    <row r="1947" spans="1:6" x14ac:dyDescent="0.3">
      <c r="A1947" s="1"/>
      <c r="B1947" s="4"/>
      <c r="C1947" s="75"/>
      <c r="D1947" s="76"/>
      <c r="E1947" s="5"/>
      <c r="F1947" s="5"/>
    </row>
    <row r="1948" spans="1:6" x14ac:dyDescent="0.3">
      <c r="A1948" s="1"/>
      <c r="B1948" s="4"/>
      <c r="C1948" s="75"/>
      <c r="D1948" s="76"/>
      <c r="E1948" s="5"/>
      <c r="F1948" s="5"/>
    </row>
    <row r="1949" spans="1:6" x14ac:dyDescent="0.3">
      <c r="A1949" s="1"/>
      <c r="B1949" s="4"/>
      <c r="C1949" s="75"/>
      <c r="D1949" s="76"/>
      <c r="E1949" s="5"/>
      <c r="F1949" s="5"/>
    </row>
    <row r="1950" spans="1:6" x14ac:dyDescent="0.3">
      <c r="A1950" s="1"/>
      <c r="B1950" s="4"/>
      <c r="C1950" s="75"/>
      <c r="D1950" s="76"/>
      <c r="E1950" s="5"/>
      <c r="F1950" s="5"/>
    </row>
    <row r="1951" spans="1:6" x14ac:dyDescent="0.3">
      <c r="A1951" s="1"/>
      <c r="B1951" s="4"/>
      <c r="C1951" s="75"/>
      <c r="D1951" s="76"/>
      <c r="E1951" s="5"/>
      <c r="F1951" s="5"/>
    </row>
    <row r="1952" spans="1:6" x14ac:dyDescent="0.3">
      <c r="A1952" s="1"/>
      <c r="B1952" s="4"/>
      <c r="C1952" s="75"/>
      <c r="D1952" s="76"/>
      <c r="E1952" s="5"/>
      <c r="F1952" s="5"/>
    </row>
    <row r="1953" spans="1:6" x14ac:dyDescent="0.3">
      <c r="A1953" s="1"/>
      <c r="B1953" s="4"/>
      <c r="C1953" s="75"/>
      <c r="D1953" s="76"/>
      <c r="E1953" s="5"/>
      <c r="F1953" s="5"/>
    </row>
    <row r="1954" spans="1:6" x14ac:dyDescent="0.3">
      <c r="A1954" s="1"/>
      <c r="B1954" s="4"/>
      <c r="C1954" s="75"/>
      <c r="D1954" s="76"/>
      <c r="E1954" s="5"/>
      <c r="F1954" s="5"/>
    </row>
    <row r="1955" spans="1:6" x14ac:dyDescent="0.3">
      <c r="A1955" s="1"/>
      <c r="B1955" s="4"/>
      <c r="C1955" s="75"/>
      <c r="D1955" s="76"/>
      <c r="E1955" s="5"/>
      <c r="F1955" s="5"/>
    </row>
    <row r="1956" spans="1:6" x14ac:dyDescent="0.3">
      <c r="A1956" s="1"/>
      <c r="B1956" s="4"/>
      <c r="C1956" s="75"/>
      <c r="D1956" s="76"/>
      <c r="E1956" s="5"/>
      <c r="F1956" s="5"/>
    </row>
    <row r="1957" spans="1:6" x14ac:dyDescent="0.3">
      <c r="A1957" s="1"/>
      <c r="B1957" s="4"/>
      <c r="C1957" s="75"/>
      <c r="D1957" s="76"/>
      <c r="E1957" s="5"/>
      <c r="F1957" s="5"/>
    </row>
    <row r="1958" spans="1:6" x14ac:dyDescent="0.3">
      <c r="A1958" s="1"/>
      <c r="B1958" s="4"/>
      <c r="C1958" s="75"/>
      <c r="D1958" s="76"/>
      <c r="E1958" s="5"/>
      <c r="F1958" s="5"/>
    </row>
    <row r="1959" spans="1:6" x14ac:dyDescent="0.3">
      <c r="A1959" s="1"/>
      <c r="B1959" s="4"/>
      <c r="C1959" s="75"/>
      <c r="D1959" s="76"/>
      <c r="E1959" s="5"/>
      <c r="F1959" s="5"/>
    </row>
    <row r="1960" spans="1:6" x14ac:dyDescent="0.3">
      <c r="A1960" s="1"/>
      <c r="B1960" s="4"/>
      <c r="C1960" s="75"/>
      <c r="D1960" s="76"/>
      <c r="E1960" s="5"/>
      <c r="F1960" s="5"/>
    </row>
    <row r="1961" spans="1:6" x14ac:dyDescent="0.3">
      <c r="A1961" s="1"/>
      <c r="B1961" s="4"/>
      <c r="C1961" s="75"/>
      <c r="D1961" s="76"/>
      <c r="E1961" s="5"/>
      <c r="F1961" s="5"/>
    </row>
    <row r="1962" spans="1:6" x14ac:dyDescent="0.3">
      <c r="A1962" s="1"/>
      <c r="B1962" s="4"/>
      <c r="C1962" s="75"/>
      <c r="D1962" s="76"/>
      <c r="E1962" s="5"/>
      <c r="F1962" s="5"/>
    </row>
    <row r="1963" spans="1:6" x14ac:dyDescent="0.3">
      <c r="A1963" s="1"/>
      <c r="B1963" s="4"/>
      <c r="C1963" s="75"/>
      <c r="D1963" s="76"/>
      <c r="E1963" s="5"/>
      <c r="F1963" s="5"/>
    </row>
    <row r="1964" spans="1:6" x14ac:dyDescent="0.3">
      <c r="A1964" s="1"/>
      <c r="B1964" s="4"/>
      <c r="C1964" s="75"/>
      <c r="D1964" s="76"/>
      <c r="E1964" s="5"/>
      <c r="F1964" s="5"/>
    </row>
    <row r="1965" spans="1:6" x14ac:dyDescent="0.3">
      <c r="A1965" s="1"/>
      <c r="B1965" s="4"/>
      <c r="C1965" s="75"/>
      <c r="D1965" s="76"/>
      <c r="E1965" s="5"/>
      <c r="F1965" s="5"/>
    </row>
    <row r="1966" spans="1:6" x14ac:dyDescent="0.3">
      <c r="A1966" s="1"/>
      <c r="B1966" s="4"/>
      <c r="C1966" s="75"/>
      <c r="D1966" s="76"/>
      <c r="E1966" s="5"/>
      <c r="F1966" s="5"/>
    </row>
    <row r="1967" spans="1:6" x14ac:dyDescent="0.3">
      <c r="A1967" s="1"/>
      <c r="B1967" s="4"/>
      <c r="C1967" s="75"/>
      <c r="D1967" s="76"/>
      <c r="E1967" s="5"/>
      <c r="F1967" s="5"/>
    </row>
    <row r="1968" spans="1:6" x14ac:dyDescent="0.3">
      <c r="A1968" s="1"/>
      <c r="B1968" s="4"/>
      <c r="C1968" s="75"/>
      <c r="D1968" s="76"/>
      <c r="E1968" s="5"/>
      <c r="F1968" s="5"/>
    </row>
    <row r="1969" spans="1:6" x14ac:dyDescent="0.3">
      <c r="A1969" s="1"/>
      <c r="B1969" s="4"/>
      <c r="C1969" s="75"/>
      <c r="D1969" s="76"/>
      <c r="E1969" s="5"/>
      <c r="F1969" s="5"/>
    </row>
    <row r="1970" spans="1:6" x14ac:dyDescent="0.3">
      <c r="A1970" s="1"/>
      <c r="B1970" s="4"/>
      <c r="C1970" s="75"/>
      <c r="D1970" s="76"/>
      <c r="E1970" s="5"/>
      <c r="F1970" s="5"/>
    </row>
    <row r="1971" spans="1:6" x14ac:dyDescent="0.3">
      <c r="A1971" s="1"/>
      <c r="B1971" s="4"/>
      <c r="C1971" s="75"/>
      <c r="D1971" s="76"/>
      <c r="E1971" s="5"/>
      <c r="F1971" s="5"/>
    </row>
    <row r="1972" spans="1:6" x14ac:dyDescent="0.3">
      <c r="A1972" s="1"/>
      <c r="B1972" s="4"/>
      <c r="C1972" s="75"/>
      <c r="D1972" s="76"/>
      <c r="E1972" s="5"/>
      <c r="F1972" s="5"/>
    </row>
    <row r="1973" spans="1:6" x14ac:dyDescent="0.3">
      <c r="A1973" s="1"/>
      <c r="B1973" s="4"/>
      <c r="C1973" s="75"/>
      <c r="D1973" s="76"/>
      <c r="E1973" s="5"/>
      <c r="F1973" s="5"/>
    </row>
    <row r="1974" spans="1:6" x14ac:dyDescent="0.3">
      <c r="A1974" s="1"/>
      <c r="B1974" s="4"/>
      <c r="C1974" s="75"/>
      <c r="D1974" s="76"/>
      <c r="E1974" s="5"/>
      <c r="F1974" s="5"/>
    </row>
    <row r="1975" spans="1:6" x14ac:dyDescent="0.3">
      <c r="A1975" s="1"/>
      <c r="B1975" s="4"/>
      <c r="C1975" s="75"/>
      <c r="D1975" s="76"/>
      <c r="E1975" s="5"/>
      <c r="F1975" s="5"/>
    </row>
    <row r="1976" spans="1:6" x14ac:dyDescent="0.3">
      <c r="A1976" s="1"/>
      <c r="B1976" s="4"/>
      <c r="C1976" s="75"/>
      <c r="D1976" s="76"/>
      <c r="E1976" s="5"/>
      <c r="F1976" s="5"/>
    </row>
    <row r="1977" spans="1:6" x14ac:dyDescent="0.3">
      <c r="A1977" s="1"/>
      <c r="B1977" s="4"/>
      <c r="C1977" s="75"/>
      <c r="D1977" s="76"/>
      <c r="E1977" s="5"/>
      <c r="F1977" s="5"/>
    </row>
    <row r="1978" spans="1:6" x14ac:dyDescent="0.3">
      <c r="A1978" s="1"/>
      <c r="B1978" s="4"/>
      <c r="C1978" s="75"/>
      <c r="D1978" s="76"/>
      <c r="E1978" s="5"/>
      <c r="F1978" s="5"/>
    </row>
    <row r="1979" spans="1:6" x14ac:dyDescent="0.3">
      <c r="A1979" s="1"/>
      <c r="B1979" s="4"/>
      <c r="C1979" s="75"/>
      <c r="D1979" s="76"/>
      <c r="E1979" s="5"/>
      <c r="F1979" s="5"/>
    </row>
    <row r="1980" spans="1:6" x14ac:dyDescent="0.3">
      <c r="A1980" s="1"/>
      <c r="B1980" s="4"/>
      <c r="C1980" s="75"/>
      <c r="D1980" s="76"/>
      <c r="E1980" s="5"/>
      <c r="F1980" s="5"/>
    </row>
    <row r="1981" spans="1:6" x14ac:dyDescent="0.3">
      <c r="A1981" s="1"/>
      <c r="B1981" s="4"/>
      <c r="C1981" s="75"/>
      <c r="D1981" s="76"/>
      <c r="E1981" s="5"/>
      <c r="F1981" s="5"/>
    </row>
    <row r="1982" spans="1:6" x14ac:dyDescent="0.3">
      <c r="A1982" s="1"/>
      <c r="B1982" s="4"/>
      <c r="C1982" s="75"/>
      <c r="D1982" s="76"/>
      <c r="E1982" s="5"/>
      <c r="F1982" s="5"/>
    </row>
    <row r="1983" spans="1:6" x14ac:dyDescent="0.3">
      <c r="A1983" s="1"/>
      <c r="B1983" s="4"/>
      <c r="C1983" s="75"/>
      <c r="D1983" s="76"/>
      <c r="E1983" s="5"/>
      <c r="F1983" s="5"/>
    </row>
    <row r="1984" spans="1:6" x14ac:dyDescent="0.3">
      <c r="A1984" s="1"/>
      <c r="B1984" s="4"/>
      <c r="C1984" s="75"/>
      <c r="D1984" s="76"/>
      <c r="E1984" s="5"/>
      <c r="F1984" s="5"/>
    </row>
    <row r="1985" spans="1:6" x14ac:dyDescent="0.3">
      <c r="A1985" s="1"/>
      <c r="B1985" s="4"/>
      <c r="C1985" s="75"/>
      <c r="D1985" s="76"/>
      <c r="E1985" s="5"/>
      <c r="F1985" s="5"/>
    </row>
    <row r="1986" spans="1:6" x14ac:dyDescent="0.3">
      <c r="A1986" s="1"/>
      <c r="B1986" s="4"/>
      <c r="C1986" s="75"/>
      <c r="D1986" s="76"/>
      <c r="E1986" s="5"/>
      <c r="F1986" s="5"/>
    </row>
    <row r="1987" spans="1:6" x14ac:dyDescent="0.3">
      <c r="A1987" s="1"/>
      <c r="B1987" s="4"/>
      <c r="C1987" s="75"/>
      <c r="D1987" s="76"/>
      <c r="E1987" s="5"/>
      <c r="F1987" s="5"/>
    </row>
    <row r="1988" spans="1:6" x14ac:dyDescent="0.3">
      <c r="A1988" s="1"/>
      <c r="B1988" s="4"/>
      <c r="C1988" s="75"/>
      <c r="D1988" s="76"/>
      <c r="E1988" s="5"/>
      <c r="F1988" s="5"/>
    </row>
    <row r="1989" spans="1:6" x14ac:dyDescent="0.3">
      <c r="A1989" s="1"/>
      <c r="B1989" s="4"/>
      <c r="C1989" s="75"/>
      <c r="D1989" s="76"/>
      <c r="E1989" s="5"/>
      <c r="F1989" s="5"/>
    </row>
    <row r="1990" spans="1:6" x14ac:dyDescent="0.3">
      <c r="A1990" s="1"/>
      <c r="B1990" s="4"/>
      <c r="C1990" s="75"/>
      <c r="D1990" s="76"/>
      <c r="E1990" s="5"/>
      <c r="F1990" s="5"/>
    </row>
    <row r="1991" spans="1:6" x14ac:dyDescent="0.3">
      <c r="A1991" s="1"/>
      <c r="B1991" s="4"/>
      <c r="C1991" s="75"/>
      <c r="D1991" s="76"/>
      <c r="E1991" s="5"/>
      <c r="F1991" s="5"/>
    </row>
    <row r="1992" spans="1:6" x14ac:dyDescent="0.3">
      <c r="A1992" s="1"/>
      <c r="B1992" s="4"/>
      <c r="C1992" s="75"/>
      <c r="D1992" s="76"/>
      <c r="E1992" s="5"/>
      <c r="F1992" s="5"/>
    </row>
    <row r="1993" spans="1:6" x14ac:dyDescent="0.3">
      <c r="A1993" s="1"/>
      <c r="B1993" s="4"/>
      <c r="C1993" s="75"/>
      <c r="D1993" s="76"/>
      <c r="E1993" s="5"/>
      <c r="F1993" s="5"/>
    </row>
    <row r="1994" spans="1:6" x14ac:dyDescent="0.3">
      <c r="A1994" s="1"/>
      <c r="B1994" s="4"/>
      <c r="C1994" s="75"/>
      <c r="D1994" s="76"/>
      <c r="E1994" s="5"/>
      <c r="F1994" s="5"/>
    </row>
    <row r="1995" spans="1:6" x14ac:dyDescent="0.3">
      <c r="A1995" s="1"/>
      <c r="B1995" s="4"/>
      <c r="C1995" s="75"/>
      <c r="D1995" s="76"/>
      <c r="E1995" s="5"/>
      <c r="F1995" s="5"/>
    </row>
    <row r="1996" spans="1:6" x14ac:dyDescent="0.3">
      <c r="A1996" s="1"/>
      <c r="B1996" s="4"/>
      <c r="C1996" s="75"/>
      <c r="D1996" s="76"/>
      <c r="E1996" s="5"/>
      <c r="F1996" s="5"/>
    </row>
    <row r="1997" spans="1:6" x14ac:dyDescent="0.3">
      <c r="A1997" s="1"/>
      <c r="B1997" s="4"/>
      <c r="C1997" s="75"/>
      <c r="D1997" s="76"/>
      <c r="E1997" s="5"/>
      <c r="F1997" s="5"/>
    </row>
    <row r="1998" spans="1:6" x14ac:dyDescent="0.3">
      <c r="A1998" s="1"/>
      <c r="B1998" s="4"/>
      <c r="C1998" s="75"/>
      <c r="D1998" s="76"/>
      <c r="E1998" s="5"/>
      <c r="F1998" s="5"/>
    </row>
    <row r="1999" spans="1:6" x14ac:dyDescent="0.3">
      <c r="A1999" s="1"/>
      <c r="B1999" s="4"/>
      <c r="C1999" s="75"/>
      <c r="D1999" s="76"/>
      <c r="E1999" s="5"/>
      <c r="F1999" s="5"/>
    </row>
    <row r="2000" spans="1:6" x14ac:dyDescent="0.3">
      <c r="A2000" s="1"/>
      <c r="B2000" s="4"/>
      <c r="C2000" s="75"/>
      <c r="D2000" s="76"/>
      <c r="E2000" s="5"/>
      <c r="F2000" s="5"/>
    </row>
    <row r="2001" spans="1:6" x14ac:dyDescent="0.3">
      <c r="A2001" s="1"/>
      <c r="B2001" s="4"/>
      <c r="C2001" s="75"/>
      <c r="D2001" s="76"/>
      <c r="E2001" s="5"/>
      <c r="F2001" s="5"/>
    </row>
    <row r="2002" spans="1:6" x14ac:dyDescent="0.3">
      <c r="A2002" s="1"/>
      <c r="B2002" s="4"/>
      <c r="C2002" s="75"/>
      <c r="D2002" s="76"/>
      <c r="E2002" s="5"/>
      <c r="F2002" s="5"/>
    </row>
    <row r="2003" spans="1:6" x14ac:dyDescent="0.3">
      <c r="A2003" s="1"/>
      <c r="B2003" s="4"/>
      <c r="C2003" s="75"/>
      <c r="D2003" s="76"/>
      <c r="E2003" s="5"/>
      <c r="F2003" s="5"/>
    </row>
    <row r="2004" spans="1:6" x14ac:dyDescent="0.3">
      <c r="A2004" s="1"/>
      <c r="B2004" s="4"/>
      <c r="C2004" s="75"/>
      <c r="D2004" s="76"/>
      <c r="E2004" s="5"/>
      <c r="F2004" s="5"/>
    </row>
    <row r="2005" spans="1:6" x14ac:dyDescent="0.3">
      <c r="A2005" s="1"/>
      <c r="B2005" s="4"/>
      <c r="C2005" s="75"/>
      <c r="D2005" s="76"/>
      <c r="E2005" s="5"/>
      <c r="F2005" s="5"/>
    </row>
    <row r="2006" spans="1:6" x14ac:dyDescent="0.3">
      <c r="A2006" s="1"/>
      <c r="B2006" s="4"/>
      <c r="C2006" s="75"/>
      <c r="D2006" s="76"/>
      <c r="E2006" s="5"/>
      <c r="F2006" s="5"/>
    </row>
    <row r="2007" spans="1:6" x14ac:dyDescent="0.3">
      <c r="A2007" s="1"/>
      <c r="B2007" s="4"/>
      <c r="C2007" s="75"/>
      <c r="D2007" s="76"/>
      <c r="E2007" s="5"/>
      <c r="F2007" s="5"/>
    </row>
    <row r="2008" spans="1:6" x14ac:dyDescent="0.3">
      <c r="A2008" s="1"/>
      <c r="B2008" s="4"/>
      <c r="C2008" s="75"/>
      <c r="D2008" s="76"/>
      <c r="E2008" s="5"/>
      <c r="F2008" s="5"/>
    </row>
    <row r="2009" spans="1:6" x14ac:dyDescent="0.3">
      <c r="A2009" s="1"/>
      <c r="B2009" s="4"/>
      <c r="C2009" s="75"/>
      <c r="D2009" s="76"/>
      <c r="E2009" s="5"/>
      <c r="F2009" s="5"/>
    </row>
    <row r="2010" spans="1:6" x14ac:dyDescent="0.3">
      <c r="A2010" s="1"/>
      <c r="B2010" s="4"/>
      <c r="C2010" s="75"/>
      <c r="D2010" s="76"/>
      <c r="E2010" s="5"/>
      <c r="F2010" s="5"/>
    </row>
    <row r="2011" spans="1:6" x14ac:dyDescent="0.3">
      <c r="A2011" s="1"/>
      <c r="B2011" s="4"/>
      <c r="C2011" s="75"/>
      <c r="D2011" s="76"/>
      <c r="E2011" s="5"/>
      <c r="F2011" s="5"/>
    </row>
    <row r="2012" spans="1:6" x14ac:dyDescent="0.3">
      <c r="A2012" s="1"/>
      <c r="B2012" s="4"/>
      <c r="C2012" s="75"/>
      <c r="D2012" s="76"/>
      <c r="E2012" s="5"/>
      <c r="F2012" s="5"/>
    </row>
    <row r="2013" spans="1:6" x14ac:dyDescent="0.3">
      <c r="A2013" s="1"/>
      <c r="B2013" s="4"/>
      <c r="C2013" s="75"/>
      <c r="D2013" s="76"/>
      <c r="E2013" s="5"/>
      <c r="F2013" s="5"/>
    </row>
    <row r="2014" spans="1:6" x14ac:dyDescent="0.3">
      <c r="A2014" s="1"/>
      <c r="B2014" s="4"/>
      <c r="C2014" s="75"/>
      <c r="D2014" s="76"/>
      <c r="E2014" s="5"/>
      <c r="F2014" s="5"/>
    </row>
    <row r="2015" spans="1:6" x14ac:dyDescent="0.3">
      <c r="A2015" s="1"/>
      <c r="B2015" s="4"/>
      <c r="C2015" s="75"/>
      <c r="D2015" s="76"/>
      <c r="E2015" s="5"/>
      <c r="F2015" s="5"/>
    </row>
    <row r="2016" spans="1:6" x14ac:dyDescent="0.3">
      <c r="A2016" s="1"/>
      <c r="B2016" s="4"/>
      <c r="C2016" s="75"/>
      <c r="D2016" s="76"/>
      <c r="E2016" s="5"/>
      <c r="F2016" s="5"/>
    </row>
    <row r="2017" spans="1:6" x14ac:dyDescent="0.3">
      <c r="A2017" s="1"/>
      <c r="B2017" s="4"/>
      <c r="C2017" s="75"/>
      <c r="D2017" s="76"/>
      <c r="E2017" s="5"/>
      <c r="F2017" s="5"/>
    </row>
    <row r="2018" spans="1:6" x14ac:dyDescent="0.3">
      <c r="A2018" s="1"/>
      <c r="B2018" s="4"/>
      <c r="C2018" s="75"/>
      <c r="D2018" s="76"/>
      <c r="E2018" s="5"/>
      <c r="F2018" s="5"/>
    </row>
    <row r="2019" spans="1:6" x14ac:dyDescent="0.3">
      <c r="A2019" s="1"/>
      <c r="B2019" s="4"/>
      <c r="C2019" s="75"/>
      <c r="D2019" s="76"/>
      <c r="E2019" s="5"/>
      <c r="F2019" s="5"/>
    </row>
    <row r="2020" spans="1:6" x14ac:dyDescent="0.3">
      <c r="A2020" s="1"/>
      <c r="B2020" s="4"/>
      <c r="C2020" s="75"/>
      <c r="D2020" s="76"/>
      <c r="E2020" s="5"/>
      <c r="F2020" s="5"/>
    </row>
    <row r="2021" spans="1:6" x14ac:dyDescent="0.3">
      <c r="A2021" s="1"/>
      <c r="B2021" s="4"/>
      <c r="C2021" s="75"/>
      <c r="D2021" s="76"/>
      <c r="E2021" s="5"/>
      <c r="F2021" s="5"/>
    </row>
    <row r="2022" spans="1:6" x14ac:dyDescent="0.3">
      <c r="A2022" s="1"/>
      <c r="B2022" s="4"/>
      <c r="C2022" s="75"/>
      <c r="D2022" s="76"/>
      <c r="E2022" s="5"/>
      <c r="F2022" s="5"/>
    </row>
    <row r="2023" spans="1:6" x14ac:dyDescent="0.3">
      <c r="A2023" s="1"/>
      <c r="B2023" s="4"/>
      <c r="C2023" s="75"/>
      <c r="D2023" s="76"/>
      <c r="E2023" s="5"/>
      <c r="F2023" s="5"/>
    </row>
    <row r="2024" spans="1:6" x14ac:dyDescent="0.3">
      <c r="A2024" s="1"/>
      <c r="B2024" s="4"/>
      <c r="C2024" s="75"/>
      <c r="D2024" s="76"/>
      <c r="E2024" s="5"/>
      <c r="F2024" s="5"/>
    </row>
    <row r="2025" spans="1:6" x14ac:dyDescent="0.3">
      <c r="A2025" s="1"/>
      <c r="B2025" s="4"/>
      <c r="C2025" s="75"/>
      <c r="D2025" s="76"/>
      <c r="E2025" s="5"/>
      <c r="F2025" s="5"/>
    </row>
    <row r="2026" spans="1:6" x14ac:dyDescent="0.3">
      <c r="A2026" s="1"/>
      <c r="B2026" s="4"/>
      <c r="C2026" s="75"/>
      <c r="D2026" s="76"/>
      <c r="E2026" s="5"/>
      <c r="F2026" s="5"/>
    </row>
    <row r="2027" spans="1:6" x14ac:dyDescent="0.3">
      <c r="A2027" s="1"/>
      <c r="B2027" s="4"/>
      <c r="C2027" s="75"/>
      <c r="D2027" s="76"/>
      <c r="E2027" s="5"/>
      <c r="F2027" s="5"/>
    </row>
    <row r="2028" spans="1:6" x14ac:dyDescent="0.3">
      <c r="A2028" s="1"/>
      <c r="B2028" s="4"/>
      <c r="C2028" s="75"/>
      <c r="D2028" s="76"/>
      <c r="E2028" s="5"/>
      <c r="F2028" s="5"/>
    </row>
    <row r="2029" spans="1:6" x14ac:dyDescent="0.3">
      <c r="A2029" s="1"/>
      <c r="B2029" s="4"/>
      <c r="C2029" s="75"/>
      <c r="D2029" s="76"/>
      <c r="E2029" s="5"/>
      <c r="F2029" s="5"/>
    </row>
    <row r="2030" spans="1:6" x14ac:dyDescent="0.3">
      <c r="A2030" s="1"/>
      <c r="B2030" s="4"/>
      <c r="C2030" s="75"/>
      <c r="D2030" s="76"/>
      <c r="E2030" s="5"/>
      <c r="F2030" s="5"/>
    </row>
    <row r="2031" spans="1:6" x14ac:dyDescent="0.3">
      <c r="A2031" s="1"/>
      <c r="B2031" s="4"/>
      <c r="C2031" s="75"/>
      <c r="D2031" s="76"/>
      <c r="E2031" s="5"/>
      <c r="F2031" s="5"/>
    </row>
    <row r="2032" spans="1:6" x14ac:dyDescent="0.3">
      <c r="A2032" s="1"/>
      <c r="B2032" s="4"/>
      <c r="C2032" s="75"/>
      <c r="D2032" s="76"/>
      <c r="E2032" s="5"/>
      <c r="F2032" s="5"/>
    </row>
    <row r="2033" spans="1:6" x14ac:dyDescent="0.3">
      <c r="A2033" s="1"/>
      <c r="B2033" s="4"/>
      <c r="C2033" s="75"/>
      <c r="D2033" s="76"/>
      <c r="E2033" s="5"/>
      <c r="F2033" s="5"/>
    </row>
    <row r="2034" spans="1:6" x14ac:dyDescent="0.3">
      <c r="A2034" s="1"/>
      <c r="B2034" s="4"/>
      <c r="C2034" s="75"/>
      <c r="D2034" s="76"/>
      <c r="E2034" s="5"/>
      <c r="F2034" s="5"/>
    </row>
    <row r="2035" spans="1:6" x14ac:dyDescent="0.3">
      <c r="A2035" s="1"/>
      <c r="B2035" s="4"/>
      <c r="C2035" s="75"/>
      <c r="D2035" s="76"/>
      <c r="E2035" s="5"/>
      <c r="F2035" s="5"/>
    </row>
    <row r="2036" spans="1:6" x14ac:dyDescent="0.3">
      <c r="A2036" s="1"/>
      <c r="B2036" s="4"/>
      <c r="C2036" s="75"/>
      <c r="D2036" s="76"/>
      <c r="E2036" s="5"/>
      <c r="F2036" s="5"/>
    </row>
    <row r="2037" spans="1:6" x14ac:dyDescent="0.3">
      <c r="A2037" s="1"/>
      <c r="B2037" s="4"/>
      <c r="C2037" s="75"/>
      <c r="D2037" s="76"/>
      <c r="E2037" s="5"/>
      <c r="F2037" s="5"/>
    </row>
    <row r="2038" spans="1:6" x14ac:dyDescent="0.3">
      <c r="A2038" s="1"/>
      <c r="B2038" s="4"/>
      <c r="C2038" s="75"/>
      <c r="D2038" s="76"/>
      <c r="E2038" s="5"/>
      <c r="F2038" s="5"/>
    </row>
    <row r="2039" spans="1:6" x14ac:dyDescent="0.3">
      <c r="A2039" s="1"/>
      <c r="B2039" s="4"/>
      <c r="C2039" s="75"/>
      <c r="D2039" s="76"/>
      <c r="E2039" s="5"/>
      <c r="F2039" s="5"/>
    </row>
    <row r="2040" spans="1:6" x14ac:dyDescent="0.3">
      <c r="A2040" s="1"/>
      <c r="B2040" s="4"/>
      <c r="C2040" s="75"/>
      <c r="D2040" s="76"/>
      <c r="E2040" s="5"/>
      <c r="F2040" s="5"/>
    </row>
    <row r="2041" spans="1:6" x14ac:dyDescent="0.3">
      <c r="A2041" s="1"/>
      <c r="B2041" s="4"/>
      <c r="C2041" s="75"/>
      <c r="D2041" s="76"/>
      <c r="E2041" s="5"/>
      <c r="F2041" s="5"/>
    </row>
    <row r="2042" spans="1:6" x14ac:dyDescent="0.3">
      <c r="A2042" s="1"/>
      <c r="B2042" s="4"/>
      <c r="C2042" s="75"/>
      <c r="D2042" s="76"/>
      <c r="E2042" s="5"/>
      <c r="F2042" s="5"/>
    </row>
    <row r="2043" spans="1:6" x14ac:dyDescent="0.3">
      <c r="A2043" s="1"/>
      <c r="B2043" s="4"/>
      <c r="C2043" s="75"/>
      <c r="D2043" s="76"/>
      <c r="E2043" s="5"/>
      <c r="F2043" s="5"/>
    </row>
    <row r="2044" spans="1:6" x14ac:dyDescent="0.3">
      <c r="A2044" s="1"/>
      <c r="B2044" s="4"/>
      <c r="C2044" s="75"/>
      <c r="D2044" s="76"/>
      <c r="E2044" s="5"/>
      <c r="F2044" s="5"/>
    </row>
    <row r="2045" spans="1:6" x14ac:dyDescent="0.3">
      <c r="A2045" s="1"/>
      <c r="B2045" s="4"/>
      <c r="C2045" s="75"/>
      <c r="D2045" s="76"/>
      <c r="E2045" s="5"/>
      <c r="F2045" s="5"/>
    </row>
    <row r="2046" spans="1:6" x14ac:dyDescent="0.3">
      <c r="A2046" s="1"/>
      <c r="B2046" s="4"/>
      <c r="C2046" s="75"/>
      <c r="D2046" s="76"/>
      <c r="E2046" s="5"/>
      <c r="F2046" s="5"/>
    </row>
    <row r="2047" spans="1:6" x14ac:dyDescent="0.3">
      <c r="A2047" s="1"/>
      <c r="B2047" s="4"/>
      <c r="C2047" s="75"/>
      <c r="D2047" s="76"/>
      <c r="E2047" s="5"/>
      <c r="F2047" s="5"/>
    </row>
    <row r="2048" spans="1:6" x14ac:dyDescent="0.3">
      <c r="A2048" s="1"/>
      <c r="B2048" s="4"/>
      <c r="C2048" s="75"/>
      <c r="D2048" s="76"/>
      <c r="E2048" s="5"/>
      <c r="F2048" s="5"/>
    </row>
    <row r="2049" spans="1:6" x14ac:dyDescent="0.3">
      <c r="A2049" s="1"/>
      <c r="B2049" s="4"/>
      <c r="C2049" s="75"/>
      <c r="D2049" s="76"/>
      <c r="E2049" s="5"/>
      <c r="F2049" s="5"/>
    </row>
    <row r="2050" spans="1:6" x14ac:dyDescent="0.3">
      <c r="A2050" s="1"/>
      <c r="B2050" s="4"/>
      <c r="C2050" s="75"/>
      <c r="D2050" s="76"/>
      <c r="E2050" s="5"/>
      <c r="F2050" s="5"/>
    </row>
    <row r="2051" spans="1:6" x14ac:dyDescent="0.3">
      <c r="A2051" s="1"/>
      <c r="B2051" s="4"/>
      <c r="C2051" s="75"/>
      <c r="D2051" s="76"/>
      <c r="E2051" s="5"/>
      <c r="F2051" s="5"/>
    </row>
    <row r="2052" spans="1:6" x14ac:dyDescent="0.3">
      <c r="A2052" s="1"/>
      <c r="B2052" s="4"/>
      <c r="C2052" s="75"/>
      <c r="D2052" s="76"/>
      <c r="E2052" s="5"/>
      <c r="F2052" s="5"/>
    </row>
    <row r="2053" spans="1:6" x14ac:dyDescent="0.3">
      <c r="A2053" s="1"/>
      <c r="B2053" s="4"/>
      <c r="C2053" s="75"/>
      <c r="D2053" s="76"/>
      <c r="E2053" s="5"/>
      <c r="F2053" s="5"/>
    </row>
    <row r="2054" spans="1:6" x14ac:dyDescent="0.3">
      <c r="A2054" s="1"/>
      <c r="B2054" s="4"/>
      <c r="C2054" s="75"/>
      <c r="D2054" s="76"/>
      <c r="E2054" s="5"/>
      <c r="F2054" s="5"/>
    </row>
    <row r="2055" spans="1:6" x14ac:dyDescent="0.3">
      <c r="A2055" s="1"/>
      <c r="B2055" s="4"/>
      <c r="C2055" s="75"/>
      <c r="D2055" s="76"/>
      <c r="E2055" s="5"/>
      <c r="F2055" s="5"/>
    </row>
    <row r="2056" spans="1:6" x14ac:dyDescent="0.3">
      <c r="A2056" s="1"/>
      <c r="B2056" s="4"/>
      <c r="C2056" s="75"/>
      <c r="D2056" s="76"/>
      <c r="E2056" s="5"/>
      <c r="F2056" s="5"/>
    </row>
    <row r="2057" spans="1:6" x14ac:dyDescent="0.3">
      <c r="A2057" s="1"/>
      <c r="B2057" s="4"/>
      <c r="C2057" s="75"/>
      <c r="D2057" s="76"/>
      <c r="E2057" s="5"/>
      <c r="F2057" s="5"/>
    </row>
    <row r="2058" spans="1:6" x14ac:dyDescent="0.3">
      <c r="A2058" s="1"/>
      <c r="B2058" s="4"/>
      <c r="C2058" s="75"/>
      <c r="D2058" s="76"/>
      <c r="E2058" s="5"/>
      <c r="F2058" s="5"/>
    </row>
    <row r="2059" spans="1:6" x14ac:dyDescent="0.3">
      <c r="A2059" s="1"/>
      <c r="B2059" s="4"/>
      <c r="C2059" s="75"/>
      <c r="D2059" s="76"/>
      <c r="E2059" s="5"/>
      <c r="F2059" s="5"/>
    </row>
    <row r="2060" spans="1:6" x14ac:dyDescent="0.3">
      <c r="A2060" s="1"/>
      <c r="B2060" s="4"/>
      <c r="C2060" s="75"/>
      <c r="D2060" s="76"/>
      <c r="E2060" s="5"/>
      <c r="F2060" s="5"/>
    </row>
    <row r="2061" spans="1:6" x14ac:dyDescent="0.3">
      <c r="A2061" s="1"/>
      <c r="B2061" s="4"/>
      <c r="C2061" s="75"/>
      <c r="D2061" s="76"/>
      <c r="E2061" s="5"/>
      <c r="F2061" s="5"/>
    </row>
    <row r="2062" spans="1:6" x14ac:dyDescent="0.3">
      <c r="A2062" s="1"/>
      <c r="B2062" s="4"/>
      <c r="C2062" s="75"/>
      <c r="D2062" s="76"/>
      <c r="E2062" s="5"/>
      <c r="F2062" s="5"/>
    </row>
    <row r="2063" spans="1:6" x14ac:dyDescent="0.3">
      <c r="A2063" s="1"/>
      <c r="B2063" s="4"/>
      <c r="C2063" s="75"/>
      <c r="D2063" s="76"/>
      <c r="E2063" s="5"/>
      <c r="F2063" s="5"/>
    </row>
    <row r="2064" spans="1:6" x14ac:dyDescent="0.3">
      <c r="A2064" s="1"/>
      <c r="B2064" s="4"/>
      <c r="C2064" s="75"/>
      <c r="D2064" s="76"/>
      <c r="E2064" s="5"/>
      <c r="F2064" s="5"/>
    </row>
    <row r="2065" spans="1:6" x14ac:dyDescent="0.3">
      <c r="A2065" s="1"/>
      <c r="B2065" s="4"/>
      <c r="C2065" s="75"/>
      <c r="D2065" s="76"/>
      <c r="E2065" s="5"/>
      <c r="F2065" s="5"/>
    </row>
    <row r="2066" spans="1:6" x14ac:dyDescent="0.3">
      <c r="A2066" s="1"/>
      <c r="B2066" s="4"/>
      <c r="C2066" s="75"/>
      <c r="D2066" s="76"/>
      <c r="E2066" s="5"/>
      <c r="F2066" s="5"/>
    </row>
    <row r="2067" spans="1:6" x14ac:dyDescent="0.3">
      <c r="A2067" s="1"/>
      <c r="B2067" s="4"/>
      <c r="C2067" s="75"/>
      <c r="D2067" s="76"/>
      <c r="E2067" s="5"/>
      <c r="F2067" s="5"/>
    </row>
    <row r="2068" spans="1:6" x14ac:dyDescent="0.3">
      <c r="A2068" s="1"/>
      <c r="B2068" s="4"/>
      <c r="C2068" s="75"/>
      <c r="D2068" s="76"/>
      <c r="E2068" s="5"/>
      <c r="F2068" s="5"/>
    </row>
    <row r="2069" spans="1:6" x14ac:dyDescent="0.3">
      <c r="A2069" s="1"/>
      <c r="B2069" s="4"/>
      <c r="C2069" s="75"/>
      <c r="D2069" s="76"/>
      <c r="E2069" s="5"/>
      <c r="F2069" s="5"/>
    </row>
    <row r="2070" spans="1:6" x14ac:dyDescent="0.3">
      <c r="A2070" s="1"/>
      <c r="B2070" s="4"/>
      <c r="C2070" s="75"/>
      <c r="D2070" s="76"/>
      <c r="E2070" s="5"/>
      <c r="F2070" s="5"/>
    </row>
    <row r="2071" spans="1:6" x14ac:dyDescent="0.3">
      <c r="A2071" s="1"/>
      <c r="B2071" s="4"/>
      <c r="C2071" s="75"/>
      <c r="D2071" s="76"/>
      <c r="E2071" s="5"/>
      <c r="F2071" s="5"/>
    </row>
    <row r="2072" spans="1:6" x14ac:dyDescent="0.3">
      <c r="A2072" s="1"/>
      <c r="B2072" s="4"/>
      <c r="C2072" s="75"/>
      <c r="D2072" s="76"/>
      <c r="E2072" s="5"/>
      <c r="F2072" s="5"/>
    </row>
    <row r="2073" spans="1:6" x14ac:dyDescent="0.3">
      <c r="A2073" s="1"/>
      <c r="B2073" s="4"/>
      <c r="C2073" s="75"/>
      <c r="D2073" s="76"/>
      <c r="E2073" s="5"/>
      <c r="F2073" s="5"/>
    </row>
    <row r="2074" spans="1:6" x14ac:dyDescent="0.3">
      <c r="A2074" s="1"/>
      <c r="B2074" s="4"/>
      <c r="C2074" s="75"/>
      <c r="D2074" s="76"/>
      <c r="E2074" s="5"/>
      <c r="F2074" s="5"/>
    </row>
    <row r="2075" spans="1:6" x14ac:dyDescent="0.3">
      <c r="A2075" s="1"/>
      <c r="B2075" s="4"/>
      <c r="C2075" s="75"/>
      <c r="D2075" s="76"/>
      <c r="E2075" s="5"/>
      <c r="F2075" s="5"/>
    </row>
    <row r="2076" spans="1:6" x14ac:dyDescent="0.3">
      <c r="A2076" s="1"/>
      <c r="B2076" s="4"/>
      <c r="C2076" s="75"/>
      <c r="D2076" s="76"/>
      <c r="E2076" s="5"/>
      <c r="F2076" s="5"/>
    </row>
    <row r="2077" spans="1:6" x14ac:dyDescent="0.3">
      <c r="A2077" s="1"/>
      <c r="B2077" s="4"/>
      <c r="C2077" s="75"/>
      <c r="D2077" s="76"/>
      <c r="E2077" s="5"/>
      <c r="F2077" s="5"/>
    </row>
    <row r="2078" spans="1:6" x14ac:dyDescent="0.3">
      <c r="A2078" s="1"/>
      <c r="B2078" s="4"/>
      <c r="C2078" s="75"/>
      <c r="D2078" s="76"/>
      <c r="E2078" s="5"/>
      <c r="F2078" s="5"/>
    </row>
    <row r="2079" spans="1:6" x14ac:dyDescent="0.3">
      <c r="A2079" s="1"/>
      <c r="B2079" s="4"/>
      <c r="C2079" s="75"/>
      <c r="D2079" s="76"/>
      <c r="E2079" s="5"/>
      <c r="F2079" s="5"/>
    </row>
    <row r="2080" spans="1:6" x14ac:dyDescent="0.3">
      <c r="A2080" s="1"/>
      <c r="B2080" s="4"/>
      <c r="C2080" s="75"/>
      <c r="D2080" s="76"/>
      <c r="E2080" s="5"/>
      <c r="F2080" s="5"/>
    </row>
    <row r="2081" spans="1:6" x14ac:dyDescent="0.3">
      <c r="A2081" s="1"/>
      <c r="B2081" s="4"/>
      <c r="C2081" s="75"/>
      <c r="D2081" s="76"/>
      <c r="E2081" s="5"/>
      <c r="F2081" s="5"/>
    </row>
    <row r="2082" spans="1:6" x14ac:dyDescent="0.3">
      <c r="A2082" s="1"/>
      <c r="B2082" s="4"/>
      <c r="C2082" s="75"/>
      <c r="D2082" s="76"/>
      <c r="E2082" s="5"/>
      <c r="F2082" s="5"/>
    </row>
    <row r="2083" spans="1:6" x14ac:dyDescent="0.3">
      <c r="A2083" s="1"/>
      <c r="B2083" s="4"/>
      <c r="C2083" s="75"/>
      <c r="D2083" s="76"/>
      <c r="E2083" s="5"/>
      <c r="F2083" s="5"/>
    </row>
    <row r="2084" spans="1:6" x14ac:dyDescent="0.3">
      <c r="A2084" s="1"/>
      <c r="B2084" s="4"/>
      <c r="C2084" s="75"/>
      <c r="D2084" s="76"/>
      <c r="E2084" s="5"/>
      <c r="F2084" s="5"/>
    </row>
    <row r="2085" spans="1:6" x14ac:dyDescent="0.3">
      <c r="A2085" s="1"/>
      <c r="B2085" s="4"/>
      <c r="C2085" s="75"/>
      <c r="D2085" s="76"/>
      <c r="E2085" s="5"/>
      <c r="F2085" s="5"/>
    </row>
    <row r="2086" spans="1:6" x14ac:dyDescent="0.3">
      <c r="A2086" s="1"/>
      <c r="B2086" s="4"/>
      <c r="C2086" s="75"/>
      <c r="D2086" s="76"/>
      <c r="E2086" s="5"/>
      <c r="F2086" s="5"/>
    </row>
    <row r="2087" spans="1:6" x14ac:dyDescent="0.3">
      <c r="A2087" s="1"/>
      <c r="B2087" s="4"/>
      <c r="C2087" s="75"/>
      <c r="D2087" s="76"/>
      <c r="E2087" s="5"/>
      <c r="F2087" s="5"/>
    </row>
    <row r="2088" spans="1:6" x14ac:dyDescent="0.3">
      <c r="A2088" s="1"/>
      <c r="B2088" s="4"/>
      <c r="C2088" s="75"/>
      <c r="D2088" s="76"/>
      <c r="E2088" s="5"/>
      <c r="F2088" s="5"/>
    </row>
    <row r="2089" spans="1:6" x14ac:dyDescent="0.3">
      <c r="A2089" s="1"/>
      <c r="B2089" s="4"/>
      <c r="C2089" s="75"/>
      <c r="D2089" s="76"/>
      <c r="E2089" s="5"/>
      <c r="F2089" s="5"/>
    </row>
    <row r="2090" spans="1:6" x14ac:dyDescent="0.3">
      <c r="A2090" s="1"/>
      <c r="B2090" s="4"/>
      <c r="C2090" s="75"/>
      <c r="D2090" s="76"/>
      <c r="E2090" s="5"/>
      <c r="F2090" s="5"/>
    </row>
    <row r="2091" spans="1:6" x14ac:dyDescent="0.3">
      <c r="A2091" s="1"/>
      <c r="B2091" s="4"/>
      <c r="C2091" s="75"/>
      <c r="D2091" s="76"/>
      <c r="E2091" s="5"/>
      <c r="F2091" s="5"/>
    </row>
    <row r="2092" spans="1:6" x14ac:dyDescent="0.3">
      <c r="A2092" s="1"/>
      <c r="B2092" s="4"/>
      <c r="C2092" s="75"/>
      <c r="D2092" s="76"/>
      <c r="E2092" s="5"/>
      <c r="F2092" s="5"/>
    </row>
    <row r="2093" spans="1:6" x14ac:dyDescent="0.3">
      <c r="A2093" s="1"/>
      <c r="B2093" s="4"/>
      <c r="C2093" s="75"/>
      <c r="D2093" s="76"/>
      <c r="E2093" s="5"/>
      <c r="F2093" s="5"/>
    </row>
    <row r="2094" spans="1:6" x14ac:dyDescent="0.3">
      <c r="A2094" s="1"/>
      <c r="B2094" s="4"/>
      <c r="C2094" s="75"/>
      <c r="D2094" s="76"/>
      <c r="E2094" s="5"/>
      <c r="F2094" s="5"/>
    </row>
    <row r="2095" spans="1:6" x14ac:dyDescent="0.3">
      <c r="A2095" s="1"/>
      <c r="B2095" s="4"/>
      <c r="C2095" s="75"/>
      <c r="D2095" s="76"/>
      <c r="E2095" s="5"/>
      <c r="F2095" s="5"/>
    </row>
    <row r="2096" spans="1:6" x14ac:dyDescent="0.3">
      <c r="A2096" s="1"/>
      <c r="B2096" s="4"/>
      <c r="C2096" s="75"/>
      <c r="D2096" s="76"/>
      <c r="E2096" s="5"/>
      <c r="F2096" s="5"/>
    </row>
    <row r="2097" spans="1:6" x14ac:dyDescent="0.3">
      <c r="A2097" s="1"/>
      <c r="B2097" s="4"/>
      <c r="C2097" s="75"/>
      <c r="D2097" s="76"/>
      <c r="E2097" s="5"/>
      <c r="F2097" s="5"/>
    </row>
    <row r="2098" spans="1:6" x14ac:dyDescent="0.3">
      <c r="A2098" s="1"/>
      <c r="B2098" s="4"/>
      <c r="C2098" s="75"/>
      <c r="D2098" s="76"/>
      <c r="E2098" s="5"/>
      <c r="F2098" s="5"/>
    </row>
    <row r="2099" spans="1:6" x14ac:dyDescent="0.3">
      <c r="A2099" s="1"/>
      <c r="B2099" s="4"/>
      <c r="C2099" s="75"/>
      <c r="D2099" s="76"/>
      <c r="E2099" s="5"/>
      <c r="F2099" s="5"/>
    </row>
    <row r="2100" spans="1:6" x14ac:dyDescent="0.3">
      <c r="A2100" s="1"/>
      <c r="B2100" s="4"/>
      <c r="C2100" s="75"/>
      <c r="D2100" s="76"/>
      <c r="E2100" s="5"/>
      <c r="F2100" s="5"/>
    </row>
    <row r="2101" spans="1:6" x14ac:dyDescent="0.3">
      <c r="A2101" s="1"/>
      <c r="B2101" s="4"/>
      <c r="C2101" s="75"/>
      <c r="D2101" s="76"/>
      <c r="E2101" s="5"/>
      <c r="F2101" s="5"/>
    </row>
    <row r="2102" spans="1:6" x14ac:dyDescent="0.3">
      <c r="A2102" s="1"/>
      <c r="B2102" s="4"/>
      <c r="C2102" s="75"/>
      <c r="D2102" s="76"/>
      <c r="E2102" s="5"/>
      <c r="F2102" s="5"/>
    </row>
    <row r="2103" spans="1:6" x14ac:dyDescent="0.3">
      <c r="A2103" s="1"/>
      <c r="B2103" s="4"/>
      <c r="C2103" s="75"/>
      <c r="D2103" s="76"/>
      <c r="E2103" s="5"/>
      <c r="F2103" s="5"/>
    </row>
    <row r="2104" spans="1:6" x14ac:dyDescent="0.3">
      <c r="A2104" s="1"/>
      <c r="B2104" s="4"/>
      <c r="C2104" s="75"/>
      <c r="D2104" s="76"/>
      <c r="E2104" s="5"/>
      <c r="F2104" s="5"/>
    </row>
    <row r="2105" spans="1:6" x14ac:dyDescent="0.3">
      <c r="A2105" s="1"/>
      <c r="B2105" s="4"/>
      <c r="C2105" s="75"/>
      <c r="D2105" s="76"/>
      <c r="E2105" s="5"/>
      <c r="F2105" s="5"/>
    </row>
    <row r="2106" spans="1:6" x14ac:dyDescent="0.3">
      <c r="A2106" s="1"/>
      <c r="B2106" s="4"/>
      <c r="C2106" s="75"/>
      <c r="D2106" s="76"/>
      <c r="E2106" s="5"/>
      <c r="F2106" s="5"/>
    </row>
    <row r="2107" spans="1:6" x14ac:dyDescent="0.3">
      <c r="A2107" s="1"/>
      <c r="B2107" s="4"/>
      <c r="C2107" s="75"/>
      <c r="D2107" s="76"/>
      <c r="E2107" s="5"/>
      <c r="F2107" s="5"/>
    </row>
    <row r="2108" spans="1:6" x14ac:dyDescent="0.3">
      <c r="A2108" s="1"/>
      <c r="B2108" s="4"/>
      <c r="C2108" s="75"/>
      <c r="D2108" s="76"/>
      <c r="E2108" s="5"/>
      <c r="F2108" s="5"/>
    </row>
    <row r="2109" spans="1:6" x14ac:dyDescent="0.3">
      <c r="A2109" s="1"/>
      <c r="B2109" s="4"/>
      <c r="C2109" s="75"/>
      <c r="D2109" s="76"/>
      <c r="E2109" s="5"/>
      <c r="F2109" s="5"/>
    </row>
    <row r="2110" spans="1:6" x14ac:dyDescent="0.3">
      <c r="A2110" s="1"/>
      <c r="B2110" s="4"/>
      <c r="C2110" s="75"/>
      <c r="D2110" s="76"/>
      <c r="E2110" s="5"/>
      <c r="F2110" s="5"/>
    </row>
    <row r="2111" spans="1:6" x14ac:dyDescent="0.3">
      <c r="A2111" s="1"/>
      <c r="B2111" s="4"/>
      <c r="C2111" s="75"/>
      <c r="D2111" s="76"/>
      <c r="E2111" s="5"/>
      <c r="F2111" s="5"/>
    </row>
    <row r="2112" spans="1:6" x14ac:dyDescent="0.3">
      <c r="A2112" s="1"/>
      <c r="B2112" s="4"/>
      <c r="C2112" s="75"/>
      <c r="D2112" s="76"/>
      <c r="E2112" s="5"/>
      <c r="F2112" s="5"/>
    </row>
    <row r="2113" spans="1:6" x14ac:dyDescent="0.3">
      <c r="A2113" s="1"/>
      <c r="B2113" s="4"/>
      <c r="C2113" s="75"/>
      <c r="D2113" s="76"/>
      <c r="E2113" s="5"/>
      <c r="F2113" s="5"/>
    </row>
    <row r="2114" spans="1:6" x14ac:dyDescent="0.3">
      <c r="A2114" s="1"/>
      <c r="B2114" s="4"/>
      <c r="C2114" s="75"/>
      <c r="D2114" s="76"/>
      <c r="E2114" s="5"/>
      <c r="F2114" s="5"/>
    </row>
    <row r="2115" spans="1:6" x14ac:dyDescent="0.3">
      <c r="A2115" s="1"/>
      <c r="B2115" s="4"/>
      <c r="C2115" s="75"/>
      <c r="D2115" s="76"/>
      <c r="E2115" s="5"/>
      <c r="F2115" s="5"/>
    </row>
    <row r="2116" spans="1:6" x14ac:dyDescent="0.3">
      <c r="A2116" s="1"/>
      <c r="B2116" s="4"/>
      <c r="C2116" s="75"/>
      <c r="D2116" s="76"/>
      <c r="E2116" s="5"/>
      <c r="F2116" s="5"/>
    </row>
    <row r="2117" spans="1:6" x14ac:dyDescent="0.3">
      <c r="A2117" s="1"/>
      <c r="B2117" s="4"/>
      <c r="C2117" s="75"/>
      <c r="D2117" s="76"/>
      <c r="E2117" s="5"/>
      <c r="F2117" s="5"/>
    </row>
    <row r="2118" spans="1:6" x14ac:dyDescent="0.3">
      <c r="A2118" s="1"/>
      <c r="B2118" s="4"/>
      <c r="C2118" s="75"/>
      <c r="D2118" s="76"/>
      <c r="E2118" s="5"/>
      <c r="F2118" s="5"/>
    </row>
    <row r="2119" spans="1:6" x14ac:dyDescent="0.3">
      <c r="A2119" s="1"/>
      <c r="B2119" s="4"/>
      <c r="C2119" s="75"/>
      <c r="D2119" s="76"/>
      <c r="E2119" s="5"/>
      <c r="F2119" s="5"/>
    </row>
    <row r="2120" spans="1:6" x14ac:dyDescent="0.3">
      <c r="A2120" s="1"/>
      <c r="B2120" s="4"/>
      <c r="C2120" s="75"/>
      <c r="D2120" s="76"/>
      <c r="E2120" s="5"/>
      <c r="F2120" s="5"/>
    </row>
    <row r="2121" spans="1:6" x14ac:dyDescent="0.3">
      <c r="A2121" s="1"/>
      <c r="B2121" s="4"/>
      <c r="C2121" s="75"/>
      <c r="D2121" s="76"/>
      <c r="E2121" s="5"/>
      <c r="F2121" s="5"/>
    </row>
    <row r="2122" spans="1:6" x14ac:dyDescent="0.3">
      <c r="A2122" s="1"/>
      <c r="B2122" s="4"/>
      <c r="C2122" s="75"/>
      <c r="D2122" s="76"/>
      <c r="E2122" s="5"/>
      <c r="F2122" s="5"/>
    </row>
    <row r="2123" spans="1:6" x14ac:dyDescent="0.3">
      <c r="A2123" s="1"/>
      <c r="B2123" s="4"/>
      <c r="C2123" s="75"/>
      <c r="D2123" s="76"/>
      <c r="E2123" s="5"/>
      <c r="F2123" s="5"/>
    </row>
    <row r="2124" spans="1:6" x14ac:dyDescent="0.3">
      <c r="A2124" s="1"/>
      <c r="B2124" s="4"/>
      <c r="C2124" s="75"/>
      <c r="D2124" s="76"/>
      <c r="E2124" s="5"/>
      <c r="F2124" s="5"/>
    </row>
    <row r="2125" spans="1:6" x14ac:dyDescent="0.3">
      <c r="A2125" s="1"/>
      <c r="B2125" s="4"/>
      <c r="C2125" s="75"/>
      <c r="D2125" s="76"/>
      <c r="E2125" s="5"/>
      <c r="F2125" s="5"/>
    </row>
    <row r="2126" spans="1:6" x14ac:dyDescent="0.3">
      <c r="A2126" s="1"/>
      <c r="B2126" s="4"/>
      <c r="C2126" s="75"/>
      <c r="D2126" s="76"/>
      <c r="E2126" s="5"/>
      <c r="F2126" s="5"/>
    </row>
    <row r="2127" spans="1:6" x14ac:dyDescent="0.3">
      <c r="A2127" s="1"/>
      <c r="B2127" s="4"/>
      <c r="C2127" s="75"/>
      <c r="D2127" s="76"/>
      <c r="E2127" s="5"/>
      <c r="F2127" s="5"/>
    </row>
    <row r="2128" spans="1:6" x14ac:dyDescent="0.3">
      <c r="A2128" s="1"/>
      <c r="B2128" s="4"/>
      <c r="C2128" s="75"/>
      <c r="D2128" s="76"/>
      <c r="E2128" s="5"/>
      <c r="F2128" s="5"/>
    </row>
    <row r="2129" spans="1:6" x14ac:dyDescent="0.3">
      <c r="A2129" s="1"/>
      <c r="B2129" s="4"/>
      <c r="C2129" s="75"/>
      <c r="D2129" s="76"/>
      <c r="E2129" s="5"/>
      <c r="F2129" s="5"/>
    </row>
    <row r="2130" spans="1:6" x14ac:dyDescent="0.3">
      <c r="A2130" s="1"/>
      <c r="B2130" s="4"/>
      <c r="C2130" s="75"/>
      <c r="D2130" s="76"/>
      <c r="E2130" s="5"/>
      <c r="F2130" s="5"/>
    </row>
    <row r="2131" spans="1:6" x14ac:dyDescent="0.3">
      <c r="A2131" s="1"/>
      <c r="B2131" s="4"/>
      <c r="C2131" s="75"/>
      <c r="D2131" s="76"/>
      <c r="E2131" s="5"/>
      <c r="F2131" s="5"/>
    </row>
    <row r="2132" spans="1:6" x14ac:dyDescent="0.3">
      <c r="A2132" s="1"/>
      <c r="B2132" s="4"/>
      <c r="C2132" s="75"/>
      <c r="D2132" s="76"/>
      <c r="E2132" s="5"/>
      <c r="F2132" s="5"/>
    </row>
    <row r="2133" spans="1:6" x14ac:dyDescent="0.3">
      <c r="A2133" s="1"/>
      <c r="B2133" s="4"/>
      <c r="C2133" s="75"/>
      <c r="D2133" s="76"/>
      <c r="E2133" s="5"/>
      <c r="F2133" s="5"/>
    </row>
    <row r="2134" spans="1:6" x14ac:dyDescent="0.3">
      <c r="A2134" s="1"/>
      <c r="B2134" s="4"/>
      <c r="C2134" s="75"/>
      <c r="D2134" s="76"/>
      <c r="E2134" s="5"/>
      <c r="F2134" s="5"/>
    </row>
    <row r="2135" spans="1:6" x14ac:dyDescent="0.3">
      <c r="A2135" s="1"/>
      <c r="B2135" s="4"/>
      <c r="C2135" s="75"/>
      <c r="D2135" s="76"/>
      <c r="E2135" s="5"/>
      <c r="F2135" s="5"/>
    </row>
    <row r="2136" spans="1:6" x14ac:dyDescent="0.3">
      <c r="A2136" s="1"/>
      <c r="B2136" s="4"/>
      <c r="C2136" s="75"/>
      <c r="D2136" s="76"/>
      <c r="E2136" s="5"/>
      <c r="F2136" s="5"/>
    </row>
    <row r="2137" spans="1:6" x14ac:dyDescent="0.3">
      <c r="A2137" s="1"/>
      <c r="B2137" s="4"/>
      <c r="C2137" s="75"/>
      <c r="D2137" s="76"/>
      <c r="E2137" s="5"/>
      <c r="F2137" s="5"/>
    </row>
    <row r="2138" spans="1:6" x14ac:dyDescent="0.3">
      <c r="A2138" s="1"/>
      <c r="B2138" s="4"/>
      <c r="C2138" s="75"/>
      <c r="D2138" s="76"/>
      <c r="E2138" s="5"/>
      <c r="F2138" s="5"/>
    </row>
    <row r="2139" spans="1:6" x14ac:dyDescent="0.3">
      <c r="A2139" s="1"/>
      <c r="B2139" s="4"/>
      <c r="C2139" s="75"/>
      <c r="D2139" s="76"/>
      <c r="E2139" s="5"/>
      <c r="F2139" s="5"/>
    </row>
    <row r="2140" spans="1:6" x14ac:dyDescent="0.3">
      <c r="A2140" s="1"/>
      <c r="B2140" s="4"/>
      <c r="C2140" s="75"/>
      <c r="D2140" s="76"/>
      <c r="E2140" s="5"/>
      <c r="F2140" s="5"/>
    </row>
    <row r="2141" spans="1:6" x14ac:dyDescent="0.3">
      <c r="A2141" s="1"/>
      <c r="B2141" s="4"/>
      <c r="C2141" s="75"/>
      <c r="D2141" s="76"/>
      <c r="E2141" s="5"/>
      <c r="F2141" s="5"/>
    </row>
    <row r="2142" spans="1:6" x14ac:dyDescent="0.3">
      <c r="A2142" s="1"/>
      <c r="B2142" s="4"/>
      <c r="C2142" s="75"/>
      <c r="D2142" s="76"/>
      <c r="E2142" s="5"/>
      <c r="F2142" s="5"/>
    </row>
    <row r="2143" spans="1:6" x14ac:dyDescent="0.3">
      <c r="A2143" s="1"/>
      <c r="B2143" s="4"/>
      <c r="C2143" s="75"/>
      <c r="D2143" s="76"/>
      <c r="E2143" s="5"/>
      <c r="F2143" s="5"/>
    </row>
    <row r="2144" spans="1:6" x14ac:dyDescent="0.3">
      <c r="A2144" s="1"/>
      <c r="B2144" s="4"/>
      <c r="C2144" s="75"/>
      <c r="D2144" s="76"/>
      <c r="E2144" s="5"/>
      <c r="F2144" s="5"/>
    </row>
    <row r="2145" spans="1:6" x14ac:dyDescent="0.3">
      <c r="A2145" s="1"/>
      <c r="B2145" s="4"/>
      <c r="C2145" s="75"/>
      <c r="D2145" s="76"/>
      <c r="E2145" s="5"/>
      <c r="F2145" s="5"/>
    </row>
    <row r="2146" spans="1:6" x14ac:dyDescent="0.3">
      <c r="A2146" s="1"/>
      <c r="B2146" s="4"/>
      <c r="C2146" s="75"/>
      <c r="D2146" s="76"/>
      <c r="E2146" s="5"/>
      <c r="F2146" s="5"/>
    </row>
    <row r="2147" spans="1:6" x14ac:dyDescent="0.3">
      <c r="A2147" s="1"/>
      <c r="B2147" s="4"/>
      <c r="C2147" s="75"/>
      <c r="D2147" s="76"/>
      <c r="E2147" s="5"/>
      <c r="F2147" s="5"/>
    </row>
    <row r="2148" spans="1:6" x14ac:dyDescent="0.3">
      <c r="A2148" s="1"/>
      <c r="B2148" s="4"/>
      <c r="C2148" s="75"/>
      <c r="D2148" s="76"/>
      <c r="E2148" s="5"/>
      <c r="F2148" s="5"/>
    </row>
    <row r="2149" spans="1:6" x14ac:dyDescent="0.3">
      <c r="A2149" s="1"/>
      <c r="B2149" s="4"/>
      <c r="C2149" s="75"/>
      <c r="D2149" s="76"/>
      <c r="E2149" s="5"/>
      <c r="F2149" s="5"/>
    </row>
    <row r="2150" spans="1:6" x14ac:dyDescent="0.3">
      <c r="A2150" s="1"/>
      <c r="B2150" s="4"/>
      <c r="C2150" s="75"/>
      <c r="D2150" s="76"/>
      <c r="E2150" s="5"/>
      <c r="F2150" s="5"/>
    </row>
    <row r="2151" spans="1:6" x14ac:dyDescent="0.3">
      <c r="A2151" s="1"/>
      <c r="B2151" s="4"/>
      <c r="C2151" s="75"/>
      <c r="D2151" s="76"/>
      <c r="E2151" s="5"/>
      <c r="F2151" s="5"/>
    </row>
    <row r="2152" spans="1:6" x14ac:dyDescent="0.3">
      <c r="A2152" s="1"/>
      <c r="B2152" s="4"/>
      <c r="C2152" s="75"/>
      <c r="D2152" s="76"/>
      <c r="E2152" s="5"/>
      <c r="F2152" s="5"/>
    </row>
    <row r="2153" spans="1:6" x14ac:dyDescent="0.3">
      <c r="A2153" s="1"/>
      <c r="B2153" s="4"/>
      <c r="C2153" s="75"/>
      <c r="D2153" s="76"/>
      <c r="E2153" s="5"/>
      <c r="F2153" s="5"/>
    </row>
    <row r="2154" spans="1:6" x14ac:dyDescent="0.3">
      <c r="A2154" s="1"/>
      <c r="B2154" s="4"/>
      <c r="C2154" s="75"/>
      <c r="D2154" s="76"/>
      <c r="E2154" s="5"/>
      <c r="F2154" s="5"/>
    </row>
    <row r="2155" spans="1:6" x14ac:dyDescent="0.3">
      <c r="A2155" s="1"/>
      <c r="B2155" s="4"/>
      <c r="C2155" s="75"/>
      <c r="D2155" s="76"/>
      <c r="E2155" s="5"/>
      <c r="F2155" s="5"/>
    </row>
    <row r="2156" spans="1:6" x14ac:dyDescent="0.3">
      <c r="A2156" s="1"/>
      <c r="B2156" s="4"/>
      <c r="C2156" s="75"/>
      <c r="D2156" s="76"/>
      <c r="E2156" s="5"/>
      <c r="F2156" s="5"/>
    </row>
    <row r="2157" spans="1:6" x14ac:dyDescent="0.3">
      <c r="A2157" s="1"/>
      <c r="B2157" s="4"/>
      <c r="C2157" s="75"/>
      <c r="D2157" s="76"/>
      <c r="E2157" s="5"/>
      <c r="F2157" s="5"/>
    </row>
    <row r="2158" spans="1:6" x14ac:dyDescent="0.3">
      <c r="A2158" s="1"/>
      <c r="B2158" s="4"/>
      <c r="C2158" s="75"/>
      <c r="D2158" s="76"/>
      <c r="E2158" s="5"/>
      <c r="F2158" s="5"/>
    </row>
    <row r="2159" spans="1:6" x14ac:dyDescent="0.3">
      <c r="A2159" s="1"/>
      <c r="B2159" s="4"/>
      <c r="C2159" s="75"/>
      <c r="D2159" s="76"/>
      <c r="E2159" s="5"/>
      <c r="F2159" s="5"/>
    </row>
    <row r="2160" spans="1:6" x14ac:dyDescent="0.3">
      <c r="A2160" s="1"/>
      <c r="B2160" s="4"/>
      <c r="C2160" s="75"/>
      <c r="D2160" s="76"/>
      <c r="E2160" s="5"/>
      <c r="F2160" s="5"/>
    </row>
    <row r="2161" spans="1:6" x14ac:dyDescent="0.3">
      <c r="A2161" s="1"/>
      <c r="B2161" s="4"/>
      <c r="C2161" s="75"/>
      <c r="D2161" s="76"/>
      <c r="E2161" s="5"/>
      <c r="F2161" s="5"/>
    </row>
    <row r="2162" spans="1:6" x14ac:dyDescent="0.3">
      <c r="A2162" s="1"/>
      <c r="B2162" s="4"/>
      <c r="C2162" s="75"/>
      <c r="D2162" s="76"/>
      <c r="E2162" s="5"/>
      <c r="F2162" s="5"/>
    </row>
    <row r="2163" spans="1:6" x14ac:dyDescent="0.3">
      <c r="A2163" s="1"/>
      <c r="B2163" s="4"/>
      <c r="C2163" s="75"/>
      <c r="D2163" s="76"/>
      <c r="E2163" s="5"/>
      <c r="F2163" s="5"/>
    </row>
    <row r="2164" spans="1:6" x14ac:dyDescent="0.3">
      <c r="A2164" s="1"/>
      <c r="B2164" s="4"/>
      <c r="C2164" s="75"/>
      <c r="D2164" s="76"/>
      <c r="E2164" s="5"/>
      <c r="F2164" s="5"/>
    </row>
    <row r="2165" spans="1:6" x14ac:dyDescent="0.3">
      <c r="A2165" s="1"/>
      <c r="B2165" s="4"/>
      <c r="C2165" s="75"/>
      <c r="D2165" s="76"/>
      <c r="E2165" s="5"/>
      <c r="F2165" s="5"/>
    </row>
    <row r="2166" spans="1:6" x14ac:dyDescent="0.3">
      <c r="A2166" s="1"/>
      <c r="B2166" s="4"/>
      <c r="C2166" s="75"/>
      <c r="D2166" s="76"/>
      <c r="E2166" s="5"/>
      <c r="F2166" s="5"/>
    </row>
    <row r="2167" spans="1:6" x14ac:dyDescent="0.3">
      <c r="A2167" s="1"/>
      <c r="B2167" s="4"/>
      <c r="C2167" s="75"/>
      <c r="D2167" s="76"/>
      <c r="E2167" s="5"/>
      <c r="F2167" s="5"/>
    </row>
    <row r="2168" spans="1:6" x14ac:dyDescent="0.3">
      <c r="A2168" s="1"/>
      <c r="B2168" s="4"/>
      <c r="C2168" s="75"/>
      <c r="D2168" s="76"/>
      <c r="E2168" s="5"/>
      <c r="F2168" s="5"/>
    </row>
    <row r="2169" spans="1:6" x14ac:dyDescent="0.3">
      <c r="A2169" s="1"/>
      <c r="B2169" s="4"/>
      <c r="C2169" s="75"/>
      <c r="D2169" s="76"/>
      <c r="E2169" s="5"/>
      <c r="F2169" s="5"/>
    </row>
    <row r="2170" spans="1:6" x14ac:dyDescent="0.3">
      <c r="A2170" s="1"/>
      <c r="B2170" s="4"/>
      <c r="C2170" s="75"/>
      <c r="D2170" s="76"/>
      <c r="E2170" s="5"/>
      <c r="F2170" s="5"/>
    </row>
    <row r="2171" spans="1:6" x14ac:dyDescent="0.3">
      <c r="A2171" s="1"/>
      <c r="B2171" s="4"/>
      <c r="C2171" s="75"/>
      <c r="D2171" s="76"/>
      <c r="E2171" s="5"/>
      <c r="F2171" s="5"/>
    </row>
    <row r="2172" spans="1:6" x14ac:dyDescent="0.3">
      <c r="A2172" s="1"/>
      <c r="B2172" s="4"/>
      <c r="C2172" s="75"/>
      <c r="D2172" s="76"/>
      <c r="E2172" s="5"/>
      <c r="F2172" s="5"/>
    </row>
    <row r="2173" spans="1:6" x14ac:dyDescent="0.3">
      <c r="A2173" s="1"/>
      <c r="B2173" s="4"/>
      <c r="C2173" s="75"/>
      <c r="D2173" s="76"/>
      <c r="E2173" s="5"/>
      <c r="F2173" s="5"/>
    </row>
    <row r="2174" spans="1:6" x14ac:dyDescent="0.3">
      <c r="A2174" s="1"/>
      <c r="B2174" s="4"/>
      <c r="C2174" s="75"/>
      <c r="D2174" s="76"/>
      <c r="E2174" s="5"/>
      <c r="F2174" s="5"/>
    </row>
    <row r="2175" spans="1:6" x14ac:dyDescent="0.3">
      <c r="A2175" s="1"/>
      <c r="B2175" s="4"/>
      <c r="C2175" s="75"/>
      <c r="D2175" s="76"/>
      <c r="E2175" s="5"/>
      <c r="F2175" s="5"/>
    </row>
    <row r="2176" spans="1:6" x14ac:dyDescent="0.3">
      <c r="A2176" s="1"/>
      <c r="B2176" s="4"/>
      <c r="C2176" s="75"/>
      <c r="D2176" s="76"/>
      <c r="E2176" s="5"/>
      <c r="F2176" s="5"/>
    </row>
    <row r="2177" spans="1:6" x14ac:dyDescent="0.3">
      <c r="A2177" s="1"/>
      <c r="B2177" s="4"/>
      <c r="C2177" s="75"/>
      <c r="D2177" s="76"/>
      <c r="E2177" s="5"/>
      <c r="F2177" s="5"/>
    </row>
    <row r="2178" spans="1:6" x14ac:dyDescent="0.3">
      <c r="A2178" s="1"/>
      <c r="B2178" s="4"/>
      <c r="C2178" s="75"/>
      <c r="D2178" s="76"/>
      <c r="E2178" s="5"/>
      <c r="F2178" s="5"/>
    </row>
    <row r="2179" spans="1:6" x14ac:dyDescent="0.3">
      <c r="A2179" s="1"/>
      <c r="B2179" s="4"/>
      <c r="C2179" s="75"/>
      <c r="D2179" s="76"/>
      <c r="E2179" s="5"/>
      <c r="F2179" s="5"/>
    </row>
    <row r="2180" spans="1:6" x14ac:dyDescent="0.3">
      <c r="A2180" s="1"/>
      <c r="B2180" s="4"/>
      <c r="C2180" s="75"/>
      <c r="D2180" s="76"/>
      <c r="E2180" s="5"/>
      <c r="F2180" s="5"/>
    </row>
    <row r="2181" spans="1:6" x14ac:dyDescent="0.3">
      <c r="A2181" s="1"/>
      <c r="B2181" s="4"/>
      <c r="C2181" s="75"/>
      <c r="D2181" s="76"/>
      <c r="E2181" s="5"/>
      <c r="F2181" s="5"/>
    </row>
    <row r="2182" spans="1:6" x14ac:dyDescent="0.3">
      <c r="A2182" s="1"/>
      <c r="B2182" s="4"/>
      <c r="C2182" s="75"/>
      <c r="D2182" s="76"/>
      <c r="E2182" s="5"/>
      <c r="F2182" s="5"/>
    </row>
    <row r="2183" spans="1:6" x14ac:dyDescent="0.3">
      <c r="A2183" s="1"/>
      <c r="B2183" s="4"/>
      <c r="C2183" s="75"/>
      <c r="D2183" s="76"/>
      <c r="E2183" s="5"/>
      <c r="F2183" s="5"/>
    </row>
    <row r="2184" spans="1:6" x14ac:dyDescent="0.3">
      <c r="A2184" s="1"/>
      <c r="B2184" s="4"/>
      <c r="C2184" s="75"/>
      <c r="D2184" s="76"/>
      <c r="E2184" s="5"/>
      <c r="F2184" s="5"/>
    </row>
    <row r="2185" spans="1:6" x14ac:dyDescent="0.3">
      <c r="A2185" s="1"/>
      <c r="B2185" s="4"/>
      <c r="C2185" s="75"/>
      <c r="D2185" s="76"/>
      <c r="E2185" s="5"/>
      <c r="F2185" s="5"/>
    </row>
    <row r="2186" spans="1:6" x14ac:dyDescent="0.3">
      <c r="A2186" s="1"/>
      <c r="B2186" s="4"/>
      <c r="C2186" s="75"/>
      <c r="D2186" s="76"/>
      <c r="E2186" s="5"/>
      <c r="F2186" s="5"/>
    </row>
    <row r="2187" spans="1:6" x14ac:dyDescent="0.3">
      <c r="A2187" s="1"/>
      <c r="B2187" s="4"/>
      <c r="C2187" s="75"/>
      <c r="D2187" s="76"/>
      <c r="E2187" s="5"/>
      <c r="F2187" s="5"/>
    </row>
    <row r="2188" spans="1:6" x14ac:dyDescent="0.3">
      <c r="A2188" s="1"/>
      <c r="B2188" s="4"/>
      <c r="C2188" s="75"/>
      <c r="D2188" s="76"/>
      <c r="E2188" s="5"/>
      <c r="F2188" s="5"/>
    </row>
    <row r="2189" spans="1:6" x14ac:dyDescent="0.3">
      <c r="A2189" s="1"/>
      <c r="B2189" s="4"/>
      <c r="C2189" s="75"/>
      <c r="D2189" s="76"/>
      <c r="E2189" s="5"/>
      <c r="F2189" s="5"/>
    </row>
    <row r="2190" spans="1:6" x14ac:dyDescent="0.3">
      <c r="A2190" s="1"/>
      <c r="B2190" s="4"/>
      <c r="C2190" s="75"/>
      <c r="D2190" s="76"/>
      <c r="E2190" s="5"/>
      <c r="F2190" s="5"/>
    </row>
    <row r="2191" spans="1:6" x14ac:dyDescent="0.3">
      <c r="A2191" s="1"/>
      <c r="B2191" s="4"/>
      <c r="C2191" s="75"/>
      <c r="D2191" s="76"/>
      <c r="E2191" s="5"/>
      <c r="F2191" s="5"/>
    </row>
    <row r="2192" spans="1:6" x14ac:dyDescent="0.3">
      <c r="A2192" s="1"/>
      <c r="B2192" s="4"/>
      <c r="C2192" s="75"/>
      <c r="D2192" s="76"/>
      <c r="E2192" s="5"/>
      <c r="F2192" s="5"/>
    </row>
    <row r="2193" spans="1:6" x14ac:dyDescent="0.3">
      <c r="A2193" s="1"/>
      <c r="B2193" s="4"/>
      <c r="C2193" s="75"/>
      <c r="D2193" s="76"/>
      <c r="E2193" s="5"/>
      <c r="F2193" s="5"/>
    </row>
    <row r="2194" spans="1:6" x14ac:dyDescent="0.3">
      <c r="A2194" s="1"/>
      <c r="B2194" s="4"/>
      <c r="C2194" s="75"/>
      <c r="D2194" s="76"/>
      <c r="E2194" s="5"/>
      <c r="F2194" s="5"/>
    </row>
    <row r="2195" spans="1:6" x14ac:dyDescent="0.3">
      <c r="A2195" s="1"/>
      <c r="B2195" s="4"/>
      <c r="C2195" s="75"/>
      <c r="D2195" s="76"/>
      <c r="E2195" s="5"/>
      <c r="F2195" s="5"/>
    </row>
    <row r="2196" spans="1:6" x14ac:dyDescent="0.3">
      <c r="A2196" s="1"/>
      <c r="B2196" s="4"/>
      <c r="C2196" s="75"/>
      <c r="D2196" s="76"/>
      <c r="E2196" s="5"/>
      <c r="F2196" s="5"/>
    </row>
    <row r="2197" spans="1:6" x14ac:dyDescent="0.3">
      <c r="A2197" s="1"/>
      <c r="B2197" s="4"/>
      <c r="C2197" s="75"/>
      <c r="D2197" s="76"/>
      <c r="E2197" s="5"/>
      <c r="F2197" s="5"/>
    </row>
    <row r="2198" spans="1:6" x14ac:dyDescent="0.3">
      <c r="A2198" s="1"/>
      <c r="B2198" s="4"/>
      <c r="C2198" s="75"/>
      <c r="D2198" s="76"/>
      <c r="E2198" s="5"/>
      <c r="F2198" s="5"/>
    </row>
    <row r="2199" spans="1:6" x14ac:dyDescent="0.3">
      <c r="A2199" s="1"/>
      <c r="B2199" s="4"/>
      <c r="C2199" s="75"/>
      <c r="D2199" s="76"/>
      <c r="E2199" s="5"/>
      <c r="F2199" s="5"/>
    </row>
    <row r="2200" spans="1:6" x14ac:dyDescent="0.3">
      <c r="A2200" s="1"/>
      <c r="B2200" s="4"/>
      <c r="C2200" s="75"/>
      <c r="D2200" s="76"/>
      <c r="E2200" s="5"/>
      <c r="F2200" s="5"/>
    </row>
    <row r="2201" spans="1:6" x14ac:dyDescent="0.3">
      <c r="A2201" s="1"/>
      <c r="B2201" s="4"/>
      <c r="C2201" s="75"/>
      <c r="D2201" s="76"/>
      <c r="E2201" s="5"/>
      <c r="F2201" s="5"/>
    </row>
    <row r="2202" spans="1:6" x14ac:dyDescent="0.3">
      <c r="A2202" s="1"/>
      <c r="B2202" s="4"/>
      <c r="C2202" s="75"/>
      <c r="D2202" s="76"/>
      <c r="E2202" s="5"/>
      <c r="F2202" s="5"/>
    </row>
    <row r="2203" spans="1:6" x14ac:dyDescent="0.3">
      <c r="A2203" s="1"/>
      <c r="B2203" s="4"/>
      <c r="C2203" s="75"/>
      <c r="D2203" s="76"/>
      <c r="E2203" s="5"/>
      <c r="F2203" s="5"/>
    </row>
    <row r="2204" spans="1:6" x14ac:dyDescent="0.3">
      <c r="A2204" s="1"/>
      <c r="B2204" s="4"/>
      <c r="C2204" s="75"/>
      <c r="D2204" s="76"/>
      <c r="E2204" s="5"/>
      <c r="F2204" s="5"/>
    </row>
    <row r="2205" spans="1:6" x14ac:dyDescent="0.3">
      <c r="A2205" s="1"/>
      <c r="B2205" s="4"/>
      <c r="C2205" s="75"/>
      <c r="D2205" s="76"/>
      <c r="E2205" s="5"/>
      <c r="F2205" s="5"/>
    </row>
    <row r="2206" spans="1:6" x14ac:dyDescent="0.3">
      <c r="A2206" s="1"/>
      <c r="B2206" s="4"/>
      <c r="C2206" s="75"/>
      <c r="D2206" s="76"/>
      <c r="E2206" s="5"/>
      <c r="F2206" s="5"/>
    </row>
    <row r="2207" spans="1:6" x14ac:dyDescent="0.3">
      <c r="A2207" s="1"/>
      <c r="B2207" s="4"/>
      <c r="C2207" s="75"/>
      <c r="D2207" s="76"/>
      <c r="E2207" s="5"/>
      <c r="F2207" s="5"/>
    </row>
    <row r="2208" spans="1:6" x14ac:dyDescent="0.3">
      <c r="A2208" s="1"/>
      <c r="B2208" s="4"/>
      <c r="C2208" s="75"/>
      <c r="D2208" s="76"/>
      <c r="E2208" s="5"/>
      <c r="F2208" s="5"/>
    </row>
    <row r="2209" spans="1:6" x14ac:dyDescent="0.3">
      <c r="A2209" s="1"/>
      <c r="B2209" s="4"/>
      <c r="C2209" s="75"/>
      <c r="D2209" s="76"/>
      <c r="E2209" s="5"/>
      <c r="F2209" s="5"/>
    </row>
    <row r="2210" spans="1:6" x14ac:dyDescent="0.3">
      <c r="A2210" s="1"/>
      <c r="B2210" s="4"/>
      <c r="C2210" s="75"/>
      <c r="D2210" s="76"/>
      <c r="E2210" s="5"/>
      <c r="F2210" s="5"/>
    </row>
    <row r="2211" spans="1:6" x14ac:dyDescent="0.3">
      <c r="A2211" s="1"/>
      <c r="B2211" s="4"/>
      <c r="C2211" s="75"/>
      <c r="D2211" s="76"/>
      <c r="E2211" s="5"/>
      <c r="F2211" s="5"/>
    </row>
    <row r="2212" spans="1:6" x14ac:dyDescent="0.3">
      <c r="A2212" s="1"/>
      <c r="B2212" s="4"/>
      <c r="C2212" s="75"/>
      <c r="D2212" s="76"/>
      <c r="E2212" s="5"/>
      <c r="F2212" s="5"/>
    </row>
    <row r="2213" spans="1:6" x14ac:dyDescent="0.3">
      <c r="A2213" s="1"/>
      <c r="B2213" s="4"/>
      <c r="C2213" s="75"/>
      <c r="D2213" s="76"/>
      <c r="E2213" s="5"/>
      <c r="F2213" s="5"/>
    </row>
    <row r="2214" spans="1:6" x14ac:dyDescent="0.3">
      <c r="A2214" s="1"/>
      <c r="B2214" s="4"/>
      <c r="C2214" s="75"/>
      <c r="D2214" s="76"/>
      <c r="E2214" s="5"/>
      <c r="F2214" s="5"/>
    </row>
    <row r="2215" spans="1:6" x14ac:dyDescent="0.3">
      <c r="A2215" s="1"/>
      <c r="B2215" s="4"/>
      <c r="C2215" s="75"/>
      <c r="D2215" s="76"/>
      <c r="E2215" s="5"/>
      <c r="F2215" s="5"/>
    </row>
    <row r="2216" spans="1:6" x14ac:dyDescent="0.3">
      <c r="A2216" s="1"/>
      <c r="B2216" s="4"/>
      <c r="C2216" s="75"/>
      <c r="D2216" s="76"/>
      <c r="E2216" s="5"/>
      <c r="F2216" s="5"/>
    </row>
    <row r="2217" spans="1:6" x14ac:dyDescent="0.3">
      <c r="A2217" s="1"/>
      <c r="B2217" s="4"/>
      <c r="C2217" s="75"/>
      <c r="D2217" s="76"/>
      <c r="E2217" s="5"/>
      <c r="F2217" s="5"/>
    </row>
    <row r="2218" spans="1:6" x14ac:dyDescent="0.3">
      <c r="A2218" s="1"/>
      <c r="B2218" s="4"/>
      <c r="C2218" s="75"/>
      <c r="D2218" s="76"/>
      <c r="E2218" s="5"/>
      <c r="F2218" s="5"/>
    </row>
    <row r="2219" spans="1:6" x14ac:dyDescent="0.3">
      <c r="A2219" s="1"/>
      <c r="B2219" s="4"/>
      <c r="C2219" s="75"/>
      <c r="D2219" s="76"/>
      <c r="E2219" s="5"/>
      <c r="F2219" s="5"/>
    </row>
    <row r="2220" spans="1:6" x14ac:dyDescent="0.3">
      <c r="A2220" s="1"/>
      <c r="B2220" s="4"/>
      <c r="C2220" s="75"/>
      <c r="D2220" s="76"/>
      <c r="E2220" s="5"/>
      <c r="F2220" s="5"/>
    </row>
    <row r="2221" spans="1:6" x14ac:dyDescent="0.3">
      <c r="A2221" s="1"/>
      <c r="B2221" s="4"/>
      <c r="C2221" s="75"/>
      <c r="D2221" s="76"/>
      <c r="E2221" s="5"/>
      <c r="F2221" s="5"/>
    </row>
    <row r="2222" spans="1:6" x14ac:dyDescent="0.3">
      <c r="A2222" s="1"/>
      <c r="B2222" s="4"/>
      <c r="C2222" s="75"/>
      <c r="D2222" s="76"/>
      <c r="E2222" s="5"/>
      <c r="F2222" s="5"/>
    </row>
    <row r="2223" spans="1:6" x14ac:dyDescent="0.3">
      <c r="A2223" s="1"/>
      <c r="B2223" s="4"/>
      <c r="C2223" s="75"/>
      <c r="D2223" s="76"/>
      <c r="E2223" s="5"/>
      <c r="F2223" s="5"/>
    </row>
    <row r="2224" spans="1:6" x14ac:dyDescent="0.3">
      <c r="A2224" s="1"/>
      <c r="B2224" s="4"/>
      <c r="C2224" s="75"/>
      <c r="D2224" s="76"/>
      <c r="E2224" s="5"/>
      <c r="F2224" s="5"/>
    </row>
    <row r="2225" spans="1:6" x14ac:dyDescent="0.3">
      <c r="A2225" s="1"/>
      <c r="B2225" s="4"/>
      <c r="C2225" s="75"/>
      <c r="D2225" s="76"/>
      <c r="E2225" s="5"/>
      <c r="F2225" s="5"/>
    </row>
    <row r="2226" spans="1:6" x14ac:dyDescent="0.3">
      <c r="A2226" s="1"/>
      <c r="B2226" s="4"/>
      <c r="C2226" s="75"/>
      <c r="D2226" s="76"/>
      <c r="E2226" s="5"/>
      <c r="F2226" s="5"/>
    </row>
    <row r="2227" spans="1:6" x14ac:dyDescent="0.3">
      <c r="A2227" s="1"/>
      <c r="B2227" s="4"/>
      <c r="C2227" s="75"/>
      <c r="D2227" s="76"/>
      <c r="E2227" s="5"/>
      <c r="F2227" s="5"/>
    </row>
    <row r="2228" spans="1:6" x14ac:dyDescent="0.3">
      <c r="A2228" s="1"/>
      <c r="B2228" s="4"/>
      <c r="C2228" s="75"/>
      <c r="D2228" s="76"/>
      <c r="E2228" s="5"/>
      <c r="F2228" s="5"/>
    </row>
    <row r="2229" spans="1:6" x14ac:dyDescent="0.3">
      <c r="A2229" s="1"/>
      <c r="B2229" s="4"/>
      <c r="C2229" s="75"/>
      <c r="D2229" s="76"/>
      <c r="E2229" s="5"/>
      <c r="F2229" s="5"/>
    </row>
    <row r="2230" spans="1:6" x14ac:dyDescent="0.3">
      <c r="A2230" s="1"/>
      <c r="B2230" s="4"/>
      <c r="C2230" s="75"/>
      <c r="D2230" s="76"/>
      <c r="E2230" s="5"/>
      <c r="F2230" s="5"/>
    </row>
    <row r="2231" spans="1:6" x14ac:dyDescent="0.3">
      <c r="A2231" s="1"/>
      <c r="B2231" s="4"/>
      <c r="C2231" s="75"/>
      <c r="D2231" s="76"/>
      <c r="E2231" s="5"/>
      <c r="F2231" s="5"/>
    </row>
    <row r="2232" spans="1:6" x14ac:dyDescent="0.3">
      <c r="A2232" s="1"/>
      <c r="B2232" s="4"/>
      <c r="C2232" s="75"/>
      <c r="D2232" s="76"/>
      <c r="E2232" s="5"/>
      <c r="F2232" s="5"/>
    </row>
    <row r="2233" spans="1:6" x14ac:dyDescent="0.3">
      <c r="A2233" s="1"/>
      <c r="B2233" s="4"/>
      <c r="C2233" s="75"/>
      <c r="D2233" s="76"/>
      <c r="E2233" s="5"/>
      <c r="F2233" s="5"/>
    </row>
    <row r="2234" spans="1:6" x14ac:dyDescent="0.3">
      <c r="A2234" s="1"/>
      <c r="B2234" s="4"/>
      <c r="C2234" s="75"/>
      <c r="D2234" s="76"/>
      <c r="E2234" s="5"/>
      <c r="F2234" s="5"/>
    </row>
    <row r="2235" spans="1:6" x14ac:dyDescent="0.3">
      <c r="A2235" s="1"/>
      <c r="B2235" s="4"/>
      <c r="C2235" s="75"/>
      <c r="D2235" s="76"/>
      <c r="E2235" s="5"/>
      <c r="F2235" s="5"/>
    </row>
    <row r="2236" spans="1:6" x14ac:dyDescent="0.3">
      <c r="A2236" s="1"/>
      <c r="B2236" s="4"/>
      <c r="C2236" s="75"/>
      <c r="D2236" s="76"/>
      <c r="E2236" s="5"/>
      <c r="F2236" s="5"/>
    </row>
    <row r="2237" spans="1:6" x14ac:dyDescent="0.3">
      <c r="A2237" s="1"/>
      <c r="B2237" s="4"/>
      <c r="C2237" s="75"/>
      <c r="D2237" s="76"/>
      <c r="E2237" s="5"/>
      <c r="F2237" s="5"/>
    </row>
    <row r="2238" spans="1:6" x14ac:dyDescent="0.3">
      <c r="A2238" s="1"/>
      <c r="B2238" s="4"/>
      <c r="C2238" s="75"/>
      <c r="D2238" s="76"/>
      <c r="E2238" s="5"/>
      <c r="F2238" s="5"/>
    </row>
    <row r="2239" spans="1:6" x14ac:dyDescent="0.3">
      <c r="A2239" s="1"/>
      <c r="B2239" s="4"/>
      <c r="C2239" s="75"/>
      <c r="D2239" s="76"/>
      <c r="E2239" s="5"/>
      <c r="F2239" s="5"/>
    </row>
    <row r="2240" spans="1:6" x14ac:dyDescent="0.3">
      <c r="A2240" s="1"/>
      <c r="B2240" s="4"/>
      <c r="C2240" s="75"/>
      <c r="D2240" s="76"/>
      <c r="E2240" s="5"/>
      <c r="F2240" s="5"/>
    </row>
    <row r="2241" spans="1:6" x14ac:dyDescent="0.3">
      <c r="A2241" s="1"/>
      <c r="B2241" s="4"/>
      <c r="C2241" s="75"/>
      <c r="D2241" s="76"/>
      <c r="E2241" s="5"/>
      <c r="F2241" s="5"/>
    </row>
    <row r="2242" spans="1:6" x14ac:dyDescent="0.3">
      <c r="A2242" s="1"/>
      <c r="B2242" s="4"/>
      <c r="C2242" s="75"/>
      <c r="D2242" s="76"/>
      <c r="E2242" s="5"/>
      <c r="F2242" s="5"/>
    </row>
    <row r="2243" spans="1:6" x14ac:dyDescent="0.3">
      <c r="A2243" s="1"/>
      <c r="B2243" s="4"/>
      <c r="C2243" s="75"/>
      <c r="D2243" s="76"/>
      <c r="E2243" s="5"/>
      <c r="F2243" s="5"/>
    </row>
    <row r="2244" spans="1:6" x14ac:dyDescent="0.3">
      <c r="A2244" s="1"/>
      <c r="B2244" s="4"/>
      <c r="C2244" s="75"/>
      <c r="D2244" s="76"/>
      <c r="E2244" s="5"/>
      <c r="F2244" s="5"/>
    </row>
    <row r="2245" spans="1:6" x14ac:dyDescent="0.3">
      <c r="A2245" s="1"/>
      <c r="B2245" s="4"/>
      <c r="C2245" s="75"/>
      <c r="D2245" s="76"/>
      <c r="E2245" s="5"/>
      <c r="F2245" s="5"/>
    </row>
    <row r="2246" spans="1:6" x14ac:dyDescent="0.3">
      <c r="A2246" s="1"/>
      <c r="B2246" s="4"/>
      <c r="C2246" s="75"/>
      <c r="D2246" s="76"/>
      <c r="E2246" s="5"/>
      <c r="F2246" s="5"/>
    </row>
    <row r="2247" spans="1:6" x14ac:dyDescent="0.3">
      <c r="A2247" s="1"/>
      <c r="B2247" s="4"/>
      <c r="C2247" s="75"/>
      <c r="D2247" s="76"/>
      <c r="E2247" s="5"/>
      <c r="F2247" s="5"/>
    </row>
    <row r="2248" spans="1:6" x14ac:dyDescent="0.3">
      <c r="A2248" s="1"/>
      <c r="B2248" s="4"/>
      <c r="C2248" s="75"/>
      <c r="D2248" s="76"/>
      <c r="E2248" s="5"/>
      <c r="F2248" s="5"/>
    </row>
    <row r="2249" spans="1:6" x14ac:dyDescent="0.3">
      <c r="A2249" s="1"/>
      <c r="B2249" s="4"/>
      <c r="C2249" s="75"/>
      <c r="D2249" s="76"/>
      <c r="E2249" s="5"/>
      <c r="F2249" s="5"/>
    </row>
    <row r="2250" spans="1:6" x14ac:dyDescent="0.3">
      <c r="A2250" s="1"/>
      <c r="B2250" s="4"/>
      <c r="C2250" s="75"/>
      <c r="D2250" s="76"/>
      <c r="E2250" s="5"/>
      <c r="F2250" s="5"/>
    </row>
    <row r="2251" spans="1:6" x14ac:dyDescent="0.3">
      <c r="A2251" s="1"/>
      <c r="B2251" s="4"/>
      <c r="C2251" s="75"/>
      <c r="D2251" s="76"/>
      <c r="E2251" s="5"/>
      <c r="F2251" s="5"/>
    </row>
    <row r="2252" spans="1:6" x14ac:dyDescent="0.3">
      <c r="A2252" s="1"/>
      <c r="B2252" s="4"/>
      <c r="C2252" s="75"/>
      <c r="D2252" s="76"/>
      <c r="E2252" s="5"/>
      <c r="F2252" s="5"/>
    </row>
    <row r="2253" spans="1:6" x14ac:dyDescent="0.3">
      <c r="A2253" s="1"/>
      <c r="B2253" s="4"/>
      <c r="C2253" s="75"/>
      <c r="D2253" s="76"/>
      <c r="E2253" s="5"/>
      <c r="F2253" s="5"/>
    </row>
    <row r="2254" spans="1:6" x14ac:dyDescent="0.3">
      <c r="A2254" s="1"/>
      <c r="B2254" s="4"/>
      <c r="C2254" s="75"/>
      <c r="D2254" s="76"/>
      <c r="E2254" s="5"/>
      <c r="F2254" s="5"/>
    </row>
    <row r="2255" spans="1:6" x14ac:dyDescent="0.3">
      <c r="A2255" s="1"/>
      <c r="B2255" s="4"/>
      <c r="C2255" s="75"/>
      <c r="D2255" s="76"/>
      <c r="E2255" s="5"/>
      <c r="F2255" s="5"/>
    </row>
    <row r="2256" spans="1:6" x14ac:dyDescent="0.3">
      <c r="A2256" s="1"/>
      <c r="B2256" s="4"/>
      <c r="C2256" s="75"/>
      <c r="D2256" s="76"/>
      <c r="E2256" s="5"/>
      <c r="F2256" s="5"/>
    </row>
    <row r="2257" spans="1:6" x14ac:dyDescent="0.3">
      <c r="A2257" s="1"/>
      <c r="B2257" s="4"/>
      <c r="C2257" s="75"/>
      <c r="D2257" s="76"/>
      <c r="E2257" s="5"/>
      <c r="F2257" s="5"/>
    </row>
    <row r="2258" spans="1:6" x14ac:dyDescent="0.3">
      <c r="A2258" s="1"/>
      <c r="B2258" s="4"/>
      <c r="C2258" s="75"/>
      <c r="D2258" s="76"/>
      <c r="E2258" s="5"/>
      <c r="F2258" s="5"/>
    </row>
    <row r="2259" spans="1:6" x14ac:dyDescent="0.3">
      <c r="A2259" s="1"/>
      <c r="B2259" s="4"/>
      <c r="C2259" s="75"/>
      <c r="D2259" s="76"/>
      <c r="E2259" s="5"/>
      <c r="F2259" s="5"/>
    </row>
    <row r="2260" spans="1:6" x14ac:dyDescent="0.3">
      <c r="A2260" s="1"/>
      <c r="B2260" s="4"/>
      <c r="C2260" s="75"/>
      <c r="D2260" s="76"/>
      <c r="E2260" s="5"/>
      <c r="F2260" s="5"/>
    </row>
    <row r="2261" spans="1:6" x14ac:dyDescent="0.3">
      <c r="A2261" s="1"/>
      <c r="B2261" s="4"/>
      <c r="C2261" s="75"/>
      <c r="D2261" s="76"/>
      <c r="E2261" s="5"/>
      <c r="F2261" s="5"/>
    </row>
    <row r="2262" spans="1:6" x14ac:dyDescent="0.3">
      <c r="A2262" s="1"/>
      <c r="B2262" s="4"/>
      <c r="C2262" s="75"/>
      <c r="D2262" s="76"/>
      <c r="E2262" s="5"/>
      <c r="F2262" s="5"/>
    </row>
    <row r="2263" spans="1:6" x14ac:dyDescent="0.3">
      <c r="A2263" s="1"/>
      <c r="B2263" s="4"/>
      <c r="C2263" s="75"/>
      <c r="D2263" s="76"/>
      <c r="E2263" s="5"/>
      <c r="F2263" s="5"/>
    </row>
    <row r="2264" spans="1:6" x14ac:dyDescent="0.3">
      <c r="A2264" s="1"/>
      <c r="B2264" s="4"/>
      <c r="C2264" s="75"/>
      <c r="D2264" s="76"/>
      <c r="E2264" s="5"/>
      <c r="F2264" s="5"/>
    </row>
    <row r="2265" spans="1:6" x14ac:dyDescent="0.3">
      <c r="A2265" s="1"/>
      <c r="B2265" s="4"/>
      <c r="C2265" s="75"/>
      <c r="D2265" s="76"/>
      <c r="E2265" s="5"/>
      <c r="F2265" s="5"/>
    </row>
    <row r="2266" spans="1:6" x14ac:dyDescent="0.3">
      <c r="A2266" s="1"/>
      <c r="B2266" s="4"/>
      <c r="C2266" s="75"/>
      <c r="D2266" s="76"/>
      <c r="E2266" s="5"/>
      <c r="F2266" s="5"/>
    </row>
    <row r="2267" spans="1:6" x14ac:dyDescent="0.3">
      <c r="A2267" s="1"/>
      <c r="B2267" s="4"/>
      <c r="C2267" s="75"/>
      <c r="D2267" s="76"/>
      <c r="E2267" s="5"/>
      <c r="F2267" s="5"/>
    </row>
    <row r="2268" spans="1:6" x14ac:dyDescent="0.3">
      <c r="A2268" s="1"/>
      <c r="B2268" s="4"/>
      <c r="C2268" s="75"/>
      <c r="D2268" s="76"/>
      <c r="E2268" s="5"/>
      <c r="F2268" s="5"/>
    </row>
    <row r="2269" spans="1:6" x14ac:dyDescent="0.3">
      <c r="A2269" s="1"/>
      <c r="B2269" s="4"/>
      <c r="C2269" s="75"/>
      <c r="D2269" s="76"/>
      <c r="E2269" s="5"/>
      <c r="F2269" s="5"/>
    </row>
    <row r="2270" spans="1:6" x14ac:dyDescent="0.3">
      <c r="A2270" s="1"/>
      <c r="B2270" s="4"/>
      <c r="C2270" s="75"/>
      <c r="D2270" s="76"/>
      <c r="E2270" s="5"/>
      <c r="F2270" s="5"/>
    </row>
    <row r="2271" spans="1:6" x14ac:dyDescent="0.3">
      <c r="A2271" s="1"/>
      <c r="B2271" s="4"/>
      <c r="C2271" s="75"/>
      <c r="D2271" s="76"/>
      <c r="E2271" s="5"/>
      <c r="F2271" s="5"/>
    </row>
    <row r="2272" spans="1:6" x14ac:dyDescent="0.3">
      <c r="A2272" s="1"/>
      <c r="B2272" s="4"/>
      <c r="C2272" s="75"/>
      <c r="D2272" s="76"/>
      <c r="E2272" s="5"/>
      <c r="F2272" s="5"/>
    </row>
    <row r="2273" spans="1:6" x14ac:dyDescent="0.3">
      <c r="A2273" s="1"/>
      <c r="B2273" s="4"/>
      <c r="C2273" s="75"/>
      <c r="D2273" s="76"/>
      <c r="E2273" s="5"/>
      <c r="F2273" s="5"/>
    </row>
    <row r="2274" spans="1:6" x14ac:dyDescent="0.3">
      <c r="A2274" s="1"/>
      <c r="B2274" s="4"/>
      <c r="C2274" s="75"/>
      <c r="D2274" s="76"/>
      <c r="E2274" s="5"/>
      <c r="F2274" s="5"/>
    </row>
    <row r="2275" spans="1:6" x14ac:dyDescent="0.3">
      <c r="A2275" s="1"/>
      <c r="B2275" s="4"/>
      <c r="C2275" s="75"/>
      <c r="D2275" s="76"/>
      <c r="E2275" s="5"/>
      <c r="F2275" s="5"/>
    </row>
    <row r="2276" spans="1:6" x14ac:dyDescent="0.3">
      <c r="A2276" s="1"/>
      <c r="B2276" s="4"/>
      <c r="C2276" s="75"/>
      <c r="D2276" s="76"/>
      <c r="E2276" s="5"/>
      <c r="F2276" s="5"/>
    </row>
    <row r="2277" spans="1:6" x14ac:dyDescent="0.3">
      <c r="A2277" s="1"/>
      <c r="B2277" s="4"/>
      <c r="C2277" s="75"/>
      <c r="D2277" s="76"/>
      <c r="E2277" s="5"/>
      <c r="F2277" s="5"/>
    </row>
    <row r="2278" spans="1:6" x14ac:dyDescent="0.3">
      <c r="A2278" s="1"/>
      <c r="B2278" s="4"/>
      <c r="C2278" s="75"/>
      <c r="D2278" s="76"/>
      <c r="E2278" s="5"/>
      <c r="F2278" s="5"/>
    </row>
    <row r="2279" spans="1:6" x14ac:dyDescent="0.3">
      <c r="A2279" s="1"/>
      <c r="B2279" s="4"/>
      <c r="C2279" s="75"/>
      <c r="D2279" s="76"/>
      <c r="E2279" s="5"/>
      <c r="F2279" s="5"/>
    </row>
    <row r="2280" spans="1:6" x14ac:dyDescent="0.3">
      <c r="A2280" s="1"/>
      <c r="B2280" s="4"/>
      <c r="C2280" s="75"/>
      <c r="D2280" s="76"/>
      <c r="E2280" s="5"/>
      <c r="F2280" s="5"/>
    </row>
    <row r="2281" spans="1:6" x14ac:dyDescent="0.3">
      <c r="A2281" s="1"/>
      <c r="B2281" s="4"/>
      <c r="C2281" s="75"/>
      <c r="D2281" s="76"/>
      <c r="E2281" s="5"/>
      <c r="F2281" s="5"/>
    </row>
    <row r="2282" spans="1:6" x14ac:dyDescent="0.3">
      <c r="A2282" s="1"/>
      <c r="B2282" s="4"/>
      <c r="C2282" s="75"/>
      <c r="D2282" s="76"/>
      <c r="E2282" s="5"/>
      <c r="F2282" s="5"/>
    </row>
    <row r="2283" spans="1:6" x14ac:dyDescent="0.3">
      <c r="A2283" s="1"/>
      <c r="B2283" s="4"/>
      <c r="C2283" s="75"/>
      <c r="D2283" s="76"/>
      <c r="E2283" s="5"/>
      <c r="F2283" s="5"/>
    </row>
    <row r="2284" spans="1:6" x14ac:dyDescent="0.3">
      <c r="A2284" s="1"/>
      <c r="B2284" s="4"/>
      <c r="C2284" s="75"/>
      <c r="D2284" s="76"/>
      <c r="E2284" s="5"/>
      <c r="F2284" s="5"/>
    </row>
    <row r="2285" spans="1:6" x14ac:dyDescent="0.3">
      <c r="A2285" s="1"/>
      <c r="B2285" s="4"/>
      <c r="C2285" s="75"/>
      <c r="D2285" s="76"/>
      <c r="E2285" s="5"/>
      <c r="F2285" s="5"/>
    </row>
    <row r="2286" spans="1:6" x14ac:dyDescent="0.3">
      <c r="A2286" s="1"/>
      <c r="B2286" s="4"/>
      <c r="C2286" s="75"/>
      <c r="D2286" s="76"/>
      <c r="E2286" s="5"/>
      <c r="F2286" s="5"/>
    </row>
    <row r="2287" spans="1:6" x14ac:dyDescent="0.3">
      <c r="A2287" s="1"/>
      <c r="B2287" s="4"/>
      <c r="C2287" s="75"/>
      <c r="D2287" s="76"/>
      <c r="E2287" s="5"/>
      <c r="F2287" s="5"/>
    </row>
    <row r="2288" spans="1:6" x14ac:dyDescent="0.3">
      <c r="A2288" s="1"/>
      <c r="B2288" s="4"/>
      <c r="C2288" s="75"/>
      <c r="D2288" s="76"/>
      <c r="E2288" s="5"/>
      <c r="F2288" s="5"/>
    </row>
    <row r="2289" spans="1:6" x14ac:dyDescent="0.3">
      <c r="A2289" s="1"/>
      <c r="B2289" s="4"/>
      <c r="C2289" s="75"/>
      <c r="D2289" s="76"/>
      <c r="E2289" s="5"/>
      <c r="F2289" s="5"/>
    </row>
    <row r="2290" spans="1:6" x14ac:dyDescent="0.3">
      <c r="A2290" s="1"/>
      <c r="B2290" s="4"/>
      <c r="C2290" s="75"/>
      <c r="D2290" s="76"/>
      <c r="E2290" s="5"/>
      <c r="F2290" s="5"/>
    </row>
    <row r="2291" spans="1:6" x14ac:dyDescent="0.3">
      <c r="A2291" s="1"/>
      <c r="B2291" s="4"/>
      <c r="C2291" s="75"/>
      <c r="D2291" s="76"/>
      <c r="E2291" s="5"/>
      <c r="F2291" s="5"/>
    </row>
    <row r="2292" spans="1:6" x14ac:dyDescent="0.3">
      <c r="A2292" s="1"/>
      <c r="B2292" s="4"/>
      <c r="C2292" s="75"/>
      <c r="D2292" s="76"/>
      <c r="E2292" s="5"/>
      <c r="F2292" s="5"/>
    </row>
    <row r="2293" spans="1:6" x14ac:dyDescent="0.3">
      <c r="A2293" s="1"/>
      <c r="B2293" s="4"/>
      <c r="C2293" s="75"/>
      <c r="D2293" s="76"/>
      <c r="E2293" s="5"/>
      <c r="F2293" s="5"/>
    </row>
    <row r="2294" spans="1:6" x14ac:dyDescent="0.3">
      <c r="A2294" s="1"/>
      <c r="B2294" s="4"/>
      <c r="C2294" s="75"/>
      <c r="D2294" s="76"/>
      <c r="E2294" s="5"/>
      <c r="F2294" s="5"/>
    </row>
    <row r="2295" spans="1:6" x14ac:dyDescent="0.3">
      <c r="A2295" s="1"/>
      <c r="B2295" s="4"/>
      <c r="C2295" s="75"/>
      <c r="D2295" s="76"/>
      <c r="E2295" s="5"/>
      <c r="F2295" s="5"/>
    </row>
    <row r="2296" spans="1:6" x14ac:dyDescent="0.3">
      <c r="A2296" s="1"/>
      <c r="B2296" s="4"/>
      <c r="C2296" s="75"/>
      <c r="D2296" s="76"/>
      <c r="E2296" s="5"/>
      <c r="F2296" s="5"/>
    </row>
    <row r="2297" spans="1:6" x14ac:dyDescent="0.3">
      <c r="A2297" s="1"/>
      <c r="B2297" s="4"/>
      <c r="C2297" s="75"/>
      <c r="D2297" s="76"/>
      <c r="E2297" s="5"/>
      <c r="F2297" s="5"/>
    </row>
    <row r="2298" spans="1:6" x14ac:dyDescent="0.3">
      <c r="A2298" s="1"/>
      <c r="B2298" s="4"/>
      <c r="C2298" s="75"/>
      <c r="D2298" s="76"/>
      <c r="E2298" s="5"/>
      <c r="F2298" s="5"/>
    </row>
    <row r="2299" spans="1:6" x14ac:dyDescent="0.3">
      <c r="A2299" s="1"/>
      <c r="B2299" s="4"/>
      <c r="C2299" s="75"/>
      <c r="D2299" s="76"/>
      <c r="E2299" s="5"/>
      <c r="F2299" s="5"/>
    </row>
    <row r="2300" spans="1:6" x14ac:dyDescent="0.3">
      <c r="A2300" s="1"/>
      <c r="B2300" s="4"/>
      <c r="C2300" s="75"/>
      <c r="D2300" s="76"/>
      <c r="E2300" s="5"/>
      <c r="F2300" s="5"/>
    </row>
    <row r="2301" spans="1:6" x14ac:dyDescent="0.3">
      <c r="A2301" s="1"/>
      <c r="B2301" s="4"/>
      <c r="C2301" s="75"/>
      <c r="D2301" s="76"/>
      <c r="E2301" s="5"/>
      <c r="F2301" s="5"/>
    </row>
    <row r="2302" spans="1:6" x14ac:dyDescent="0.3">
      <c r="A2302" s="1"/>
      <c r="B2302" s="4"/>
      <c r="C2302" s="75"/>
      <c r="D2302" s="76"/>
      <c r="E2302" s="5"/>
      <c r="F2302" s="5"/>
    </row>
    <row r="2303" spans="1:6" x14ac:dyDescent="0.3">
      <c r="A2303" s="1"/>
      <c r="B2303" s="4"/>
      <c r="C2303" s="75"/>
      <c r="D2303" s="76"/>
      <c r="E2303" s="5"/>
      <c r="F2303" s="5"/>
    </row>
    <row r="2304" spans="1:6" x14ac:dyDescent="0.3">
      <c r="A2304" s="1"/>
      <c r="B2304" s="4"/>
      <c r="C2304" s="75"/>
      <c r="D2304" s="76"/>
      <c r="E2304" s="5"/>
      <c r="F2304" s="5"/>
    </row>
    <row r="2305" spans="1:6" x14ac:dyDescent="0.3">
      <c r="A2305" s="1"/>
      <c r="B2305" s="4"/>
      <c r="C2305" s="75"/>
      <c r="D2305" s="76"/>
      <c r="E2305" s="5"/>
      <c r="F2305" s="5"/>
    </row>
    <row r="2306" spans="1:6" x14ac:dyDescent="0.3">
      <c r="A2306" s="1"/>
      <c r="B2306" s="4"/>
      <c r="C2306" s="75"/>
      <c r="D2306" s="76"/>
      <c r="E2306" s="5"/>
      <c r="F2306" s="5"/>
    </row>
    <row r="2307" spans="1:6" x14ac:dyDescent="0.3">
      <c r="A2307" s="1"/>
      <c r="B2307" s="4"/>
      <c r="C2307" s="75"/>
      <c r="D2307" s="76"/>
      <c r="E2307" s="5"/>
      <c r="F2307" s="5"/>
    </row>
    <row r="2308" spans="1:6" x14ac:dyDescent="0.3">
      <c r="A2308" s="1"/>
      <c r="B2308" s="4"/>
      <c r="C2308" s="75"/>
      <c r="D2308" s="76"/>
      <c r="E2308" s="5"/>
      <c r="F2308" s="5"/>
    </row>
    <row r="2309" spans="1:6" x14ac:dyDescent="0.3">
      <c r="A2309" s="1"/>
      <c r="B2309" s="4"/>
      <c r="C2309" s="75"/>
      <c r="D2309" s="76"/>
      <c r="E2309" s="5"/>
      <c r="F2309" s="5"/>
    </row>
    <row r="2310" spans="1:6" x14ac:dyDescent="0.3">
      <c r="A2310" s="1"/>
      <c r="B2310" s="4"/>
      <c r="C2310" s="75"/>
      <c r="D2310" s="76"/>
      <c r="E2310" s="5"/>
      <c r="F2310" s="5"/>
    </row>
    <row r="2311" spans="1:6" x14ac:dyDescent="0.3">
      <c r="A2311" s="1"/>
      <c r="B2311" s="4"/>
      <c r="C2311" s="75"/>
      <c r="D2311" s="76"/>
      <c r="E2311" s="5"/>
      <c r="F2311" s="5"/>
    </row>
    <row r="2312" spans="1:6" x14ac:dyDescent="0.3">
      <c r="A2312" s="1"/>
      <c r="B2312" s="4"/>
      <c r="C2312" s="75"/>
      <c r="D2312" s="76"/>
      <c r="E2312" s="5"/>
      <c r="F2312" s="5"/>
    </row>
    <row r="2313" spans="1:6" x14ac:dyDescent="0.3">
      <c r="A2313" s="1"/>
      <c r="B2313" s="4"/>
      <c r="C2313" s="75"/>
      <c r="D2313" s="76"/>
      <c r="E2313" s="5"/>
      <c r="F2313" s="5"/>
    </row>
    <row r="2314" spans="1:6" x14ac:dyDescent="0.3">
      <c r="A2314" s="1"/>
      <c r="B2314" s="4"/>
      <c r="C2314" s="75"/>
      <c r="D2314" s="76"/>
      <c r="E2314" s="5"/>
      <c r="F2314" s="5"/>
    </row>
    <row r="2315" spans="1:6" x14ac:dyDescent="0.3">
      <c r="A2315" s="1"/>
      <c r="B2315" s="4"/>
      <c r="C2315" s="75"/>
      <c r="D2315" s="76"/>
      <c r="E2315" s="5"/>
      <c r="F2315" s="5"/>
    </row>
    <row r="2316" spans="1:6" x14ac:dyDescent="0.3">
      <c r="A2316" s="1"/>
      <c r="B2316" s="4"/>
      <c r="C2316" s="75"/>
      <c r="D2316" s="76"/>
      <c r="E2316" s="5"/>
      <c r="F2316" s="5"/>
    </row>
    <row r="2317" spans="1:6" x14ac:dyDescent="0.3">
      <c r="A2317" s="1"/>
      <c r="B2317" s="4"/>
      <c r="C2317" s="75"/>
      <c r="D2317" s="76"/>
      <c r="E2317" s="5"/>
      <c r="F2317" s="5"/>
    </row>
    <row r="2318" spans="1:6" x14ac:dyDescent="0.3">
      <c r="A2318" s="1"/>
      <c r="B2318" s="4"/>
      <c r="C2318" s="75"/>
      <c r="D2318" s="76"/>
      <c r="E2318" s="5"/>
      <c r="F2318" s="5"/>
    </row>
    <row r="2319" spans="1:6" x14ac:dyDescent="0.3">
      <c r="A2319" s="1"/>
      <c r="B2319" s="4"/>
      <c r="C2319" s="75"/>
      <c r="D2319" s="76"/>
      <c r="E2319" s="5"/>
      <c r="F2319" s="5"/>
    </row>
    <row r="2320" spans="1:6" x14ac:dyDescent="0.3">
      <c r="A2320" s="1"/>
      <c r="B2320" s="4"/>
      <c r="C2320" s="75"/>
      <c r="D2320" s="76"/>
      <c r="E2320" s="5"/>
      <c r="F2320" s="5"/>
    </row>
    <row r="2321" spans="1:6" x14ac:dyDescent="0.3">
      <c r="A2321" s="1"/>
      <c r="B2321" s="4"/>
      <c r="C2321" s="75"/>
      <c r="D2321" s="76"/>
      <c r="E2321" s="5"/>
      <c r="F2321" s="5"/>
    </row>
    <row r="2322" spans="1:6" x14ac:dyDescent="0.3">
      <c r="A2322" s="1"/>
      <c r="B2322" s="4"/>
      <c r="C2322" s="75"/>
      <c r="D2322" s="76"/>
      <c r="E2322" s="5"/>
      <c r="F2322" s="5"/>
    </row>
    <row r="2323" spans="1:6" x14ac:dyDescent="0.3">
      <c r="A2323" s="1"/>
      <c r="B2323" s="4"/>
      <c r="C2323" s="75"/>
      <c r="D2323" s="76"/>
      <c r="E2323" s="5"/>
      <c r="F2323" s="5"/>
    </row>
    <row r="2324" spans="1:6" x14ac:dyDescent="0.3">
      <c r="A2324" s="1"/>
      <c r="B2324" s="4"/>
      <c r="C2324" s="75"/>
      <c r="D2324" s="76"/>
      <c r="E2324" s="5"/>
      <c r="F2324" s="5"/>
    </row>
    <row r="2325" spans="1:6" x14ac:dyDescent="0.3">
      <c r="A2325" s="1"/>
      <c r="B2325" s="4"/>
      <c r="C2325" s="75"/>
      <c r="D2325" s="76"/>
      <c r="E2325" s="5"/>
      <c r="F2325" s="5"/>
    </row>
    <row r="2326" spans="1:6" x14ac:dyDescent="0.3">
      <c r="A2326" s="1"/>
      <c r="B2326" s="4"/>
      <c r="C2326" s="75"/>
      <c r="D2326" s="76"/>
      <c r="E2326" s="5"/>
      <c r="F2326" s="5"/>
    </row>
    <row r="2327" spans="1:6" x14ac:dyDescent="0.3">
      <c r="A2327" s="1"/>
      <c r="B2327" s="4"/>
      <c r="C2327" s="75"/>
      <c r="D2327" s="76"/>
      <c r="E2327" s="5"/>
      <c r="F2327" s="5"/>
    </row>
    <row r="2328" spans="1:6" x14ac:dyDescent="0.3">
      <c r="A2328" s="1"/>
      <c r="B2328" s="4"/>
      <c r="C2328" s="75"/>
      <c r="D2328" s="76"/>
      <c r="E2328" s="5"/>
      <c r="F2328" s="5"/>
    </row>
    <row r="2329" spans="1:6" x14ac:dyDescent="0.3">
      <c r="A2329" s="1"/>
      <c r="B2329" s="4"/>
      <c r="C2329" s="75"/>
      <c r="D2329" s="76"/>
      <c r="E2329" s="5"/>
      <c r="F2329" s="5"/>
    </row>
    <row r="2330" spans="1:6" x14ac:dyDescent="0.3">
      <c r="A2330" s="1"/>
      <c r="B2330" s="4"/>
      <c r="C2330" s="75"/>
      <c r="D2330" s="76"/>
      <c r="E2330" s="5"/>
      <c r="F2330" s="5"/>
    </row>
    <row r="2331" spans="1:6" x14ac:dyDescent="0.3">
      <c r="A2331" s="1"/>
      <c r="B2331" s="4"/>
      <c r="C2331" s="75"/>
      <c r="D2331" s="76"/>
      <c r="E2331" s="5"/>
      <c r="F2331" s="5"/>
    </row>
    <row r="2332" spans="1:6" x14ac:dyDescent="0.3">
      <c r="A2332" s="1"/>
      <c r="B2332" s="4"/>
      <c r="C2332" s="75"/>
      <c r="D2332" s="76"/>
      <c r="E2332" s="5"/>
      <c r="F2332" s="5"/>
    </row>
    <row r="2333" spans="1:6" x14ac:dyDescent="0.3">
      <c r="A2333" s="1"/>
      <c r="B2333" s="4"/>
      <c r="C2333" s="75"/>
      <c r="D2333" s="76"/>
      <c r="E2333" s="5"/>
      <c r="F2333" s="5"/>
    </row>
    <row r="2334" spans="1:6" x14ac:dyDescent="0.3">
      <c r="A2334" s="1"/>
      <c r="B2334" s="4"/>
      <c r="C2334" s="75"/>
      <c r="D2334" s="76"/>
      <c r="E2334" s="5"/>
      <c r="F2334" s="5"/>
    </row>
    <row r="2335" spans="1:6" x14ac:dyDescent="0.3">
      <c r="A2335" s="1"/>
      <c r="B2335" s="4"/>
      <c r="C2335" s="75"/>
      <c r="D2335" s="76"/>
      <c r="E2335" s="5"/>
      <c r="F2335" s="5"/>
    </row>
    <row r="2336" spans="1:6" x14ac:dyDescent="0.3">
      <c r="A2336" s="1"/>
      <c r="B2336" s="4"/>
      <c r="C2336" s="75"/>
      <c r="D2336" s="76"/>
      <c r="E2336" s="5"/>
      <c r="F2336" s="5"/>
    </row>
    <row r="2337" spans="1:6" x14ac:dyDescent="0.3">
      <c r="A2337" s="1"/>
      <c r="B2337" s="4"/>
      <c r="C2337" s="75"/>
      <c r="D2337" s="76"/>
      <c r="E2337" s="5"/>
      <c r="F2337" s="5"/>
    </row>
    <row r="2338" spans="1:6" x14ac:dyDescent="0.3">
      <c r="A2338" s="1"/>
      <c r="B2338" s="4"/>
      <c r="C2338" s="75"/>
      <c r="D2338" s="76"/>
      <c r="E2338" s="5"/>
      <c r="F2338" s="5"/>
    </row>
    <row r="2339" spans="1:6" x14ac:dyDescent="0.3">
      <c r="A2339" s="1"/>
      <c r="B2339" s="4"/>
      <c r="C2339" s="75"/>
      <c r="D2339" s="76"/>
      <c r="E2339" s="5"/>
      <c r="F2339" s="5"/>
    </row>
    <row r="2340" spans="1:6" x14ac:dyDescent="0.3">
      <c r="A2340" s="1"/>
      <c r="B2340" s="4"/>
      <c r="C2340" s="75"/>
      <c r="D2340" s="76"/>
      <c r="E2340" s="5"/>
      <c r="F2340" s="5"/>
    </row>
    <row r="2341" spans="1:6" x14ac:dyDescent="0.3">
      <c r="A2341" s="1"/>
      <c r="B2341" s="4"/>
      <c r="C2341" s="75"/>
      <c r="D2341" s="76"/>
      <c r="E2341" s="5"/>
      <c r="F2341" s="5"/>
    </row>
    <row r="2342" spans="1:6" x14ac:dyDescent="0.3">
      <c r="A2342" s="1"/>
      <c r="B2342" s="4"/>
      <c r="C2342" s="75"/>
      <c r="D2342" s="76"/>
      <c r="E2342" s="5"/>
      <c r="F2342" s="5"/>
    </row>
    <row r="2343" spans="1:6" x14ac:dyDescent="0.3">
      <c r="A2343" s="1"/>
      <c r="B2343" s="4"/>
      <c r="C2343" s="75"/>
      <c r="D2343" s="76"/>
      <c r="E2343" s="5"/>
      <c r="F2343" s="5"/>
    </row>
    <row r="2344" spans="1:6" x14ac:dyDescent="0.3">
      <c r="A2344" s="1"/>
      <c r="B2344" s="4"/>
      <c r="C2344" s="75"/>
      <c r="D2344" s="76"/>
      <c r="E2344" s="5"/>
      <c r="F2344" s="5"/>
    </row>
    <row r="2345" spans="1:6" x14ac:dyDescent="0.3">
      <c r="A2345" s="1"/>
      <c r="B2345" s="4"/>
      <c r="C2345" s="75"/>
      <c r="D2345" s="76"/>
      <c r="E2345" s="5"/>
      <c r="F2345" s="5"/>
    </row>
    <row r="2346" spans="1:6" x14ac:dyDescent="0.3">
      <c r="A2346" s="1"/>
      <c r="B2346" s="4"/>
      <c r="C2346" s="75"/>
      <c r="D2346" s="76"/>
      <c r="E2346" s="5"/>
      <c r="F2346" s="5"/>
    </row>
    <row r="2347" spans="1:6" x14ac:dyDescent="0.3">
      <c r="A2347" s="1"/>
      <c r="B2347" s="4"/>
      <c r="C2347" s="75"/>
      <c r="D2347" s="76"/>
      <c r="E2347" s="5"/>
      <c r="F2347" s="5"/>
    </row>
    <row r="2348" spans="1:6" x14ac:dyDescent="0.3">
      <c r="A2348" s="1"/>
      <c r="B2348" s="4"/>
      <c r="C2348" s="75"/>
      <c r="D2348" s="76"/>
      <c r="E2348" s="5"/>
      <c r="F2348" s="5"/>
    </row>
    <row r="2349" spans="1:6" x14ac:dyDescent="0.3">
      <c r="A2349" s="1"/>
      <c r="B2349" s="4"/>
      <c r="C2349" s="75"/>
      <c r="D2349" s="76"/>
      <c r="E2349" s="5"/>
      <c r="F2349" s="5"/>
    </row>
    <row r="2350" spans="1:6" x14ac:dyDescent="0.3">
      <c r="A2350" s="1"/>
      <c r="B2350" s="4"/>
      <c r="C2350" s="75"/>
      <c r="D2350" s="76"/>
      <c r="E2350" s="5"/>
      <c r="F2350" s="5"/>
    </row>
    <row r="2351" spans="1:6" x14ac:dyDescent="0.3">
      <c r="A2351" s="1"/>
      <c r="B2351" s="4"/>
      <c r="C2351" s="75"/>
      <c r="D2351" s="76"/>
      <c r="E2351" s="5"/>
      <c r="F2351" s="5"/>
    </row>
    <row r="2352" spans="1:6" x14ac:dyDescent="0.3">
      <c r="A2352" s="1"/>
      <c r="B2352" s="4"/>
      <c r="C2352" s="75"/>
      <c r="D2352" s="76"/>
      <c r="E2352" s="5"/>
      <c r="F2352" s="5"/>
    </row>
    <row r="2353" spans="1:6" x14ac:dyDescent="0.3">
      <c r="A2353" s="1"/>
      <c r="B2353" s="4"/>
      <c r="C2353" s="75"/>
      <c r="D2353" s="76"/>
      <c r="E2353" s="5"/>
      <c r="F2353" s="5"/>
    </row>
    <row r="2354" spans="1:6" x14ac:dyDescent="0.3">
      <c r="A2354" s="1"/>
      <c r="B2354" s="4"/>
      <c r="C2354" s="75"/>
      <c r="D2354" s="76"/>
      <c r="E2354" s="5"/>
      <c r="F2354" s="5"/>
    </row>
    <row r="2355" spans="1:6" x14ac:dyDescent="0.3">
      <c r="A2355" s="1"/>
      <c r="B2355" s="4"/>
      <c r="C2355" s="75"/>
      <c r="D2355" s="76"/>
      <c r="E2355" s="5"/>
      <c r="F2355" s="5"/>
    </row>
    <row r="2356" spans="1:6" x14ac:dyDescent="0.3">
      <c r="A2356" s="1"/>
      <c r="B2356" s="4"/>
      <c r="C2356" s="75"/>
      <c r="D2356" s="76"/>
      <c r="E2356" s="5"/>
      <c r="F2356" s="5"/>
    </row>
    <row r="2357" spans="1:6" x14ac:dyDescent="0.3">
      <c r="A2357" s="1"/>
      <c r="B2357" s="4"/>
      <c r="C2357" s="75"/>
      <c r="D2357" s="76"/>
      <c r="E2357" s="5"/>
      <c r="F2357" s="5"/>
    </row>
    <row r="2358" spans="1:6" x14ac:dyDescent="0.3">
      <c r="A2358" s="1"/>
      <c r="B2358" s="4"/>
      <c r="C2358" s="75"/>
      <c r="D2358" s="76"/>
      <c r="E2358" s="5"/>
      <c r="F2358" s="5"/>
    </row>
    <row r="2359" spans="1:6" x14ac:dyDescent="0.3">
      <c r="A2359" s="1"/>
      <c r="B2359" s="4"/>
      <c r="C2359" s="75"/>
      <c r="D2359" s="76"/>
      <c r="E2359" s="5"/>
      <c r="F2359" s="5"/>
    </row>
    <row r="2360" spans="1:6" x14ac:dyDescent="0.3">
      <c r="A2360" s="1"/>
      <c r="B2360" s="4"/>
      <c r="C2360" s="75"/>
      <c r="D2360" s="76"/>
      <c r="E2360" s="5"/>
      <c r="F2360" s="5"/>
    </row>
    <row r="2361" spans="1:6" x14ac:dyDescent="0.3">
      <c r="A2361" s="1"/>
      <c r="B2361" s="4"/>
      <c r="C2361" s="75"/>
      <c r="D2361" s="76"/>
      <c r="E2361" s="5"/>
      <c r="F2361" s="5"/>
    </row>
    <row r="2362" spans="1:6" x14ac:dyDescent="0.3">
      <c r="A2362" s="1"/>
      <c r="B2362" s="4"/>
      <c r="C2362" s="75"/>
      <c r="D2362" s="76"/>
      <c r="E2362" s="5"/>
      <c r="F2362" s="5"/>
    </row>
    <row r="2363" spans="1:6" x14ac:dyDescent="0.3">
      <c r="A2363" s="1"/>
      <c r="B2363" s="4"/>
      <c r="C2363" s="75"/>
      <c r="D2363" s="76"/>
      <c r="E2363" s="5"/>
      <c r="F2363" s="5"/>
    </row>
    <row r="2364" spans="1:6" x14ac:dyDescent="0.3">
      <c r="A2364" s="1"/>
      <c r="B2364" s="4"/>
      <c r="C2364" s="75"/>
      <c r="D2364" s="76"/>
      <c r="E2364" s="5"/>
      <c r="F2364" s="5"/>
    </row>
    <row r="2365" spans="1:6" x14ac:dyDescent="0.3">
      <c r="A2365" s="1"/>
      <c r="B2365" s="4"/>
      <c r="C2365" s="75"/>
      <c r="D2365" s="76"/>
      <c r="E2365" s="5"/>
      <c r="F2365" s="5"/>
    </row>
    <row r="2366" spans="1:6" x14ac:dyDescent="0.3">
      <c r="A2366" s="1"/>
      <c r="B2366" s="4"/>
      <c r="C2366" s="75"/>
      <c r="D2366" s="76"/>
      <c r="E2366" s="5"/>
      <c r="F2366" s="5"/>
    </row>
    <row r="2367" spans="1:6" x14ac:dyDescent="0.3">
      <c r="A2367" s="1"/>
      <c r="B2367" s="4"/>
      <c r="C2367" s="75"/>
      <c r="D2367" s="76"/>
      <c r="E2367" s="5"/>
      <c r="F2367" s="5"/>
    </row>
    <row r="2368" spans="1:6" x14ac:dyDescent="0.3">
      <c r="A2368" s="1"/>
      <c r="B2368" s="4"/>
      <c r="C2368" s="75"/>
      <c r="D2368" s="76"/>
      <c r="E2368" s="5"/>
      <c r="F2368" s="5"/>
    </row>
    <row r="2369" spans="1:6" x14ac:dyDescent="0.3">
      <c r="A2369" s="1"/>
      <c r="B2369" s="4"/>
      <c r="C2369" s="75"/>
      <c r="D2369" s="76"/>
      <c r="E2369" s="5"/>
      <c r="F2369" s="5"/>
    </row>
    <row r="2370" spans="1:6" x14ac:dyDescent="0.3">
      <c r="A2370" s="1"/>
      <c r="B2370" s="4"/>
      <c r="C2370" s="75"/>
      <c r="D2370" s="76"/>
      <c r="E2370" s="5"/>
      <c r="F2370" s="5"/>
    </row>
    <row r="2371" spans="1:6" x14ac:dyDescent="0.3">
      <c r="A2371" s="1"/>
      <c r="B2371" s="4"/>
      <c r="C2371" s="75"/>
      <c r="D2371" s="76"/>
      <c r="E2371" s="5"/>
      <c r="F2371" s="5"/>
    </row>
    <row r="2372" spans="1:6" x14ac:dyDescent="0.3">
      <c r="A2372" s="1"/>
      <c r="B2372" s="4"/>
      <c r="C2372" s="75"/>
      <c r="D2372" s="76"/>
      <c r="E2372" s="5"/>
      <c r="F2372" s="5"/>
    </row>
    <row r="2373" spans="1:6" x14ac:dyDescent="0.3">
      <c r="A2373" s="1"/>
      <c r="B2373" s="4"/>
      <c r="C2373" s="75"/>
      <c r="D2373" s="76"/>
      <c r="E2373" s="5"/>
      <c r="F2373" s="5"/>
    </row>
    <row r="2374" spans="1:6" x14ac:dyDescent="0.3">
      <c r="A2374" s="1"/>
      <c r="B2374" s="4"/>
      <c r="C2374" s="75"/>
      <c r="D2374" s="76"/>
      <c r="E2374" s="5"/>
      <c r="F2374" s="5"/>
    </row>
    <row r="2375" spans="1:6" x14ac:dyDescent="0.3">
      <c r="A2375" s="1"/>
      <c r="B2375" s="4"/>
      <c r="C2375" s="75"/>
      <c r="D2375" s="76"/>
      <c r="E2375" s="5"/>
      <c r="F2375" s="5"/>
    </row>
    <row r="2376" spans="1:6" x14ac:dyDescent="0.3">
      <c r="A2376" s="1"/>
      <c r="B2376" s="4"/>
      <c r="C2376" s="75"/>
      <c r="D2376" s="76"/>
      <c r="E2376" s="5"/>
      <c r="F2376" s="5"/>
    </row>
    <row r="2377" spans="1:6" x14ac:dyDescent="0.3">
      <c r="A2377" s="1"/>
      <c r="B2377" s="4"/>
      <c r="C2377" s="75"/>
      <c r="D2377" s="76"/>
      <c r="E2377" s="5"/>
      <c r="F2377" s="5"/>
    </row>
    <row r="2378" spans="1:6" x14ac:dyDescent="0.3">
      <c r="A2378" s="1"/>
      <c r="B2378" s="4"/>
      <c r="C2378" s="75"/>
      <c r="D2378" s="76"/>
      <c r="E2378" s="5"/>
      <c r="F2378" s="5"/>
    </row>
    <row r="2379" spans="1:6" x14ac:dyDescent="0.3">
      <c r="A2379" s="1"/>
      <c r="B2379" s="4"/>
      <c r="C2379" s="75"/>
      <c r="D2379" s="76"/>
      <c r="E2379" s="5"/>
      <c r="F2379" s="5"/>
    </row>
    <row r="2380" spans="1:6" x14ac:dyDescent="0.3">
      <c r="A2380" s="1"/>
      <c r="B2380" s="4"/>
      <c r="C2380" s="75"/>
      <c r="D2380" s="76"/>
      <c r="E2380" s="5"/>
      <c r="F2380" s="5"/>
    </row>
    <row r="2381" spans="1:6" x14ac:dyDescent="0.3">
      <c r="A2381" s="1"/>
      <c r="B2381" s="4"/>
      <c r="C2381" s="75"/>
      <c r="D2381" s="76"/>
      <c r="E2381" s="5"/>
      <c r="F2381" s="5"/>
    </row>
    <row r="2382" spans="1:6" x14ac:dyDescent="0.3">
      <c r="A2382" s="1"/>
      <c r="B2382" s="4"/>
      <c r="C2382" s="75"/>
      <c r="D2382" s="76"/>
      <c r="E2382" s="5"/>
      <c r="F2382" s="5"/>
    </row>
    <row r="2383" spans="1:6" x14ac:dyDescent="0.3">
      <c r="A2383" s="1"/>
      <c r="B2383" s="4"/>
      <c r="C2383" s="75"/>
      <c r="D2383" s="76"/>
      <c r="E2383" s="5"/>
      <c r="F2383" s="5"/>
    </row>
    <row r="2384" spans="1:6" x14ac:dyDescent="0.3">
      <c r="A2384" s="1"/>
      <c r="B2384" s="4"/>
      <c r="C2384" s="75"/>
      <c r="D2384" s="76"/>
      <c r="E2384" s="5"/>
      <c r="F2384" s="5"/>
    </row>
    <row r="2385" spans="1:6" x14ac:dyDescent="0.3">
      <c r="A2385" s="1"/>
      <c r="B2385" s="4"/>
      <c r="C2385" s="75"/>
      <c r="D2385" s="76"/>
      <c r="E2385" s="5"/>
      <c r="F2385" s="5"/>
    </row>
    <row r="2386" spans="1:6" x14ac:dyDescent="0.3">
      <c r="A2386" s="1"/>
      <c r="B2386" s="4"/>
      <c r="C2386" s="75"/>
      <c r="D2386" s="76"/>
      <c r="E2386" s="5"/>
      <c r="F2386" s="5"/>
    </row>
    <row r="2387" spans="1:6" x14ac:dyDescent="0.3">
      <c r="A2387" s="1"/>
      <c r="B2387" s="4"/>
      <c r="C2387" s="75"/>
      <c r="D2387" s="76"/>
      <c r="E2387" s="5"/>
      <c r="F2387" s="5"/>
    </row>
    <row r="2388" spans="1:6" x14ac:dyDescent="0.3">
      <c r="A2388" s="1"/>
      <c r="B2388" s="4"/>
      <c r="C2388" s="75"/>
      <c r="D2388" s="76"/>
      <c r="E2388" s="5"/>
      <c r="F2388" s="5"/>
    </row>
    <row r="2389" spans="1:6" x14ac:dyDescent="0.3">
      <c r="A2389" s="1"/>
      <c r="B2389" s="4"/>
      <c r="C2389" s="75"/>
      <c r="D2389" s="76"/>
      <c r="E2389" s="5"/>
      <c r="F2389" s="5"/>
    </row>
    <row r="2390" spans="1:6" x14ac:dyDescent="0.3">
      <c r="A2390" s="1"/>
      <c r="B2390" s="4"/>
      <c r="C2390" s="75"/>
      <c r="D2390" s="76"/>
      <c r="E2390" s="5"/>
      <c r="F2390" s="5"/>
    </row>
    <row r="2391" spans="1:6" x14ac:dyDescent="0.3">
      <c r="A2391" s="1"/>
      <c r="B2391" s="4"/>
      <c r="C2391" s="75"/>
      <c r="D2391" s="76"/>
      <c r="E2391" s="5"/>
      <c r="F2391" s="5"/>
    </row>
    <row r="2392" spans="1:6" x14ac:dyDescent="0.3">
      <c r="A2392" s="1"/>
      <c r="B2392" s="4"/>
      <c r="C2392" s="75"/>
      <c r="D2392" s="76"/>
      <c r="E2392" s="5"/>
      <c r="F2392" s="5"/>
    </row>
    <row r="2393" spans="1:6" x14ac:dyDescent="0.3">
      <c r="A2393" s="1"/>
      <c r="B2393" s="4"/>
      <c r="C2393" s="75"/>
      <c r="D2393" s="76"/>
      <c r="E2393" s="5"/>
      <c r="F2393" s="5"/>
    </row>
    <row r="2394" spans="1:6" x14ac:dyDescent="0.3">
      <c r="A2394" s="1"/>
      <c r="B2394" s="4"/>
      <c r="C2394" s="75"/>
      <c r="D2394" s="76"/>
      <c r="E2394" s="5"/>
      <c r="F2394" s="5"/>
    </row>
    <row r="2395" spans="1:6" x14ac:dyDescent="0.3">
      <c r="A2395" s="1"/>
      <c r="B2395" s="4"/>
      <c r="C2395" s="75"/>
      <c r="D2395" s="76"/>
      <c r="E2395" s="5"/>
      <c r="F2395" s="5"/>
    </row>
    <row r="2396" spans="1:6" x14ac:dyDescent="0.3">
      <c r="A2396" s="1"/>
      <c r="B2396" s="4"/>
      <c r="C2396" s="75"/>
      <c r="D2396" s="76"/>
      <c r="E2396" s="5"/>
      <c r="F2396" s="5"/>
    </row>
    <row r="2397" spans="1:6" x14ac:dyDescent="0.3">
      <c r="A2397" s="1"/>
      <c r="B2397" s="4"/>
      <c r="C2397" s="75"/>
      <c r="D2397" s="76"/>
      <c r="E2397" s="5"/>
      <c r="F2397" s="5"/>
    </row>
    <row r="2398" spans="1:6" x14ac:dyDescent="0.3">
      <c r="A2398" s="1"/>
      <c r="B2398" s="4"/>
      <c r="C2398" s="75"/>
      <c r="D2398" s="76"/>
      <c r="E2398" s="5"/>
      <c r="F2398" s="5"/>
    </row>
    <row r="2399" spans="1:6" x14ac:dyDescent="0.3">
      <c r="A2399" s="1"/>
      <c r="B2399" s="4"/>
      <c r="C2399" s="75"/>
      <c r="D2399" s="76"/>
      <c r="E2399" s="5"/>
      <c r="F2399" s="5"/>
    </row>
    <row r="2400" spans="1:6" x14ac:dyDescent="0.3">
      <c r="A2400" s="1"/>
      <c r="B2400" s="4"/>
      <c r="C2400" s="75"/>
      <c r="D2400" s="76"/>
      <c r="E2400" s="5"/>
      <c r="F2400" s="5"/>
    </row>
    <row r="2401" spans="1:6" x14ac:dyDescent="0.3">
      <c r="A2401" s="1"/>
      <c r="B2401" s="4"/>
      <c r="C2401" s="75"/>
      <c r="D2401" s="76"/>
      <c r="E2401" s="5"/>
      <c r="F2401" s="5"/>
    </row>
    <row r="2402" spans="1:6" x14ac:dyDescent="0.3">
      <c r="A2402" s="1"/>
      <c r="B2402" s="4"/>
      <c r="C2402" s="75"/>
      <c r="D2402" s="76"/>
      <c r="E2402" s="5"/>
      <c r="F2402" s="5"/>
    </row>
    <row r="2403" spans="1:6" x14ac:dyDescent="0.3">
      <c r="A2403" s="1"/>
      <c r="B2403" s="4"/>
      <c r="C2403" s="75"/>
      <c r="D2403" s="76"/>
      <c r="E2403" s="5"/>
      <c r="F2403" s="5"/>
    </row>
    <row r="2404" spans="1:6" x14ac:dyDescent="0.3">
      <c r="A2404" s="1"/>
      <c r="B2404" s="4"/>
      <c r="C2404" s="75"/>
      <c r="D2404" s="76"/>
      <c r="E2404" s="5"/>
      <c r="F2404" s="5"/>
    </row>
    <row r="2405" spans="1:6" x14ac:dyDescent="0.3">
      <c r="A2405" s="1"/>
      <c r="B2405" s="4"/>
      <c r="C2405" s="75"/>
      <c r="D2405" s="76"/>
      <c r="E2405" s="5"/>
      <c r="F2405" s="5"/>
    </row>
    <row r="2406" spans="1:6" x14ac:dyDescent="0.3">
      <c r="A2406" s="1"/>
      <c r="B2406" s="4"/>
      <c r="C2406" s="75"/>
      <c r="D2406" s="76"/>
      <c r="E2406" s="5"/>
      <c r="F2406" s="5"/>
    </row>
    <row r="2407" spans="1:6" x14ac:dyDescent="0.3">
      <c r="A2407" s="1"/>
      <c r="B2407" s="4"/>
      <c r="C2407" s="75"/>
      <c r="D2407" s="76"/>
      <c r="E2407" s="5"/>
      <c r="F2407" s="5"/>
    </row>
    <row r="2408" spans="1:6" x14ac:dyDescent="0.3">
      <c r="A2408" s="1"/>
      <c r="B2408" s="4"/>
      <c r="C2408" s="75"/>
      <c r="D2408" s="76"/>
      <c r="E2408" s="5"/>
      <c r="F2408" s="5"/>
    </row>
    <row r="2409" spans="1:6" x14ac:dyDescent="0.3">
      <c r="A2409" s="1"/>
      <c r="B2409" s="4"/>
      <c r="C2409" s="75"/>
      <c r="D2409" s="76"/>
      <c r="E2409" s="5"/>
      <c r="F2409" s="5"/>
    </row>
    <row r="2410" spans="1:6" x14ac:dyDescent="0.3">
      <c r="A2410" s="1"/>
      <c r="B2410" s="4"/>
      <c r="C2410" s="75"/>
      <c r="D2410" s="76"/>
      <c r="E2410" s="5"/>
      <c r="F2410" s="5"/>
    </row>
    <row r="2411" spans="1:6" x14ac:dyDescent="0.3">
      <c r="A2411" s="1"/>
      <c r="B2411" s="4"/>
      <c r="C2411" s="75"/>
      <c r="D2411" s="76"/>
      <c r="E2411" s="5"/>
      <c r="F2411" s="5"/>
    </row>
    <row r="2412" spans="1:6" x14ac:dyDescent="0.3">
      <c r="A2412" s="1"/>
      <c r="B2412" s="4"/>
      <c r="C2412" s="75"/>
      <c r="D2412" s="76"/>
      <c r="E2412" s="5"/>
      <c r="F2412" s="5"/>
    </row>
    <row r="2413" spans="1:6" x14ac:dyDescent="0.3">
      <c r="A2413" s="1"/>
      <c r="B2413" s="4"/>
      <c r="C2413" s="75"/>
      <c r="D2413" s="76"/>
      <c r="E2413" s="5"/>
      <c r="F2413" s="5"/>
    </row>
    <row r="2414" spans="1:6" x14ac:dyDescent="0.3">
      <c r="A2414" s="1"/>
      <c r="B2414" s="4"/>
      <c r="C2414" s="75"/>
      <c r="D2414" s="76"/>
      <c r="E2414" s="5"/>
      <c r="F2414" s="5"/>
    </row>
    <row r="2415" spans="1:6" x14ac:dyDescent="0.3">
      <c r="A2415" s="1"/>
      <c r="B2415" s="4"/>
      <c r="C2415" s="75"/>
      <c r="D2415" s="76"/>
      <c r="E2415" s="5"/>
      <c r="F2415" s="5"/>
    </row>
    <row r="2416" spans="1:6" x14ac:dyDescent="0.3">
      <c r="A2416" s="1"/>
      <c r="B2416" s="4"/>
      <c r="C2416" s="75"/>
      <c r="D2416" s="76"/>
      <c r="E2416" s="5"/>
      <c r="F2416" s="5"/>
    </row>
    <row r="2417" spans="1:6" x14ac:dyDescent="0.3">
      <c r="A2417" s="1"/>
      <c r="B2417" s="4"/>
      <c r="C2417" s="75"/>
      <c r="D2417" s="76"/>
      <c r="E2417" s="5"/>
      <c r="F2417" s="5"/>
    </row>
    <row r="2418" spans="1:6" x14ac:dyDescent="0.3">
      <c r="A2418" s="1"/>
      <c r="B2418" s="4"/>
      <c r="C2418" s="75"/>
      <c r="D2418" s="76"/>
      <c r="E2418" s="5"/>
      <c r="F2418" s="5"/>
    </row>
    <row r="2419" spans="1:6" x14ac:dyDescent="0.3">
      <c r="A2419" s="1"/>
      <c r="B2419" s="4"/>
      <c r="C2419" s="75"/>
      <c r="D2419" s="76"/>
      <c r="E2419" s="5"/>
      <c r="F2419" s="5"/>
    </row>
    <row r="2420" spans="1:6" x14ac:dyDescent="0.3">
      <c r="A2420" s="1"/>
      <c r="B2420" s="4"/>
      <c r="C2420" s="75"/>
      <c r="D2420" s="76"/>
      <c r="E2420" s="5"/>
      <c r="F2420" s="5"/>
    </row>
    <row r="2421" spans="1:6" x14ac:dyDescent="0.3">
      <c r="A2421" s="1"/>
      <c r="B2421" s="4"/>
      <c r="C2421" s="75"/>
      <c r="D2421" s="76"/>
      <c r="E2421" s="5"/>
      <c r="F2421" s="5"/>
    </row>
    <row r="2422" spans="1:6" x14ac:dyDescent="0.3">
      <c r="A2422" s="1"/>
      <c r="B2422" s="4"/>
      <c r="C2422" s="75"/>
      <c r="D2422" s="76"/>
      <c r="E2422" s="5"/>
      <c r="F2422" s="5"/>
    </row>
    <row r="2423" spans="1:6" x14ac:dyDescent="0.3">
      <c r="A2423" s="1"/>
      <c r="B2423" s="4"/>
      <c r="C2423" s="75"/>
      <c r="D2423" s="76"/>
      <c r="E2423" s="5"/>
      <c r="F2423" s="5"/>
    </row>
    <row r="2424" spans="1:6" x14ac:dyDescent="0.3">
      <c r="A2424" s="1"/>
      <c r="B2424" s="4"/>
      <c r="C2424" s="75"/>
      <c r="D2424" s="76"/>
      <c r="E2424" s="5"/>
      <c r="F2424" s="5"/>
    </row>
    <row r="2425" spans="1:6" x14ac:dyDescent="0.3">
      <c r="A2425" s="1"/>
      <c r="B2425" s="4"/>
      <c r="C2425" s="75"/>
      <c r="D2425" s="76"/>
      <c r="E2425" s="5"/>
      <c r="F2425" s="5"/>
    </row>
    <row r="2426" spans="1:6" x14ac:dyDescent="0.3">
      <c r="A2426" s="1"/>
      <c r="B2426" s="4"/>
      <c r="C2426" s="75"/>
      <c r="D2426" s="76"/>
      <c r="E2426" s="5"/>
      <c r="F2426" s="5"/>
    </row>
    <row r="2427" spans="1:6" x14ac:dyDescent="0.3">
      <c r="A2427" s="1"/>
      <c r="B2427" s="4"/>
      <c r="C2427" s="75"/>
      <c r="D2427" s="76"/>
      <c r="E2427" s="5"/>
      <c r="F2427" s="5"/>
    </row>
    <row r="2428" spans="1:6" x14ac:dyDescent="0.3">
      <c r="A2428" s="1"/>
      <c r="B2428" s="4"/>
      <c r="C2428" s="75"/>
      <c r="D2428" s="76"/>
      <c r="E2428" s="5"/>
      <c r="F2428" s="5"/>
    </row>
    <row r="2429" spans="1:6" x14ac:dyDescent="0.3">
      <c r="A2429" s="1"/>
      <c r="B2429" s="4"/>
      <c r="C2429" s="75"/>
      <c r="D2429" s="76"/>
      <c r="E2429" s="5"/>
      <c r="F2429" s="5"/>
    </row>
    <row r="2430" spans="1:6" x14ac:dyDescent="0.3">
      <c r="A2430" s="1"/>
      <c r="B2430" s="4"/>
      <c r="C2430" s="75"/>
      <c r="D2430" s="76"/>
      <c r="E2430" s="5"/>
      <c r="F2430" s="5"/>
    </row>
    <row r="2431" spans="1:6" x14ac:dyDescent="0.3">
      <c r="A2431" s="1"/>
      <c r="B2431" s="4"/>
      <c r="C2431" s="75"/>
      <c r="D2431" s="76"/>
      <c r="E2431" s="5"/>
      <c r="F2431" s="5"/>
    </row>
    <row r="2432" spans="1:6" x14ac:dyDescent="0.3">
      <c r="A2432" s="1"/>
      <c r="B2432" s="4"/>
      <c r="C2432" s="75"/>
      <c r="D2432" s="76"/>
      <c r="E2432" s="5"/>
      <c r="F2432" s="5"/>
    </row>
    <row r="2433" spans="1:6" x14ac:dyDescent="0.3">
      <c r="A2433" s="1"/>
      <c r="B2433" s="4"/>
      <c r="C2433" s="75"/>
      <c r="D2433" s="76"/>
      <c r="E2433" s="5"/>
      <c r="F2433" s="5"/>
    </row>
    <row r="2434" spans="1:6" x14ac:dyDescent="0.3">
      <c r="A2434" s="1"/>
      <c r="B2434" s="4"/>
      <c r="C2434" s="75"/>
      <c r="D2434" s="76"/>
      <c r="E2434" s="5"/>
      <c r="F2434" s="5"/>
    </row>
    <row r="2435" spans="1:6" x14ac:dyDescent="0.3">
      <c r="A2435" s="1"/>
      <c r="B2435" s="4"/>
      <c r="C2435" s="75"/>
      <c r="D2435" s="76"/>
      <c r="E2435" s="5"/>
      <c r="F2435" s="5"/>
    </row>
    <row r="2436" spans="1:6" x14ac:dyDescent="0.3">
      <c r="A2436" s="1"/>
      <c r="B2436" s="4"/>
      <c r="C2436" s="75"/>
      <c r="D2436" s="76"/>
      <c r="E2436" s="5"/>
      <c r="F2436" s="5"/>
    </row>
    <row r="2437" spans="1:6" x14ac:dyDescent="0.3">
      <c r="A2437" s="1"/>
      <c r="B2437" s="4"/>
      <c r="C2437" s="75"/>
      <c r="D2437" s="76"/>
      <c r="E2437" s="5"/>
      <c r="F2437" s="5"/>
    </row>
    <row r="2438" spans="1:6" x14ac:dyDescent="0.3">
      <c r="A2438" s="1"/>
      <c r="B2438" s="4"/>
      <c r="C2438" s="75"/>
      <c r="D2438" s="76"/>
      <c r="E2438" s="5"/>
      <c r="F2438" s="5"/>
    </row>
    <row r="2439" spans="1:6" x14ac:dyDescent="0.3">
      <c r="A2439" s="1"/>
      <c r="B2439" s="4"/>
      <c r="C2439" s="75"/>
      <c r="D2439" s="76"/>
      <c r="E2439" s="5"/>
      <c r="F2439" s="5"/>
    </row>
    <row r="2440" spans="1:6" x14ac:dyDescent="0.3">
      <c r="A2440" s="1"/>
      <c r="B2440" s="4"/>
      <c r="C2440" s="75"/>
      <c r="D2440" s="76"/>
      <c r="E2440" s="5"/>
      <c r="F2440" s="5"/>
    </row>
    <row r="2441" spans="1:6" x14ac:dyDescent="0.3">
      <c r="A2441" s="1"/>
      <c r="B2441" s="4"/>
      <c r="C2441" s="75"/>
      <c r="D2441" s="76"/>
      <c r="E2441" s="5"/>
      <c r="F2441" s="5"/>
    </row>
    <row r="2442" spans="1:6" x14ac:dyDescent="0.3">
      <c r="A2442" s="1"/>
      <c r="B2442" s="4"/>
      <c r="C2442" s="75"/>
      <c r="D2442" s="76"/>
      <c r="E2442" s="5"/>
      <c r="F2442" s="5"/>
    </row>
    <row r="2443" spans="1:6" x14ac:dyDescent="0.3">
      <c r="A2443" s="1"/>
      <c r="B2443" s="4"/>
      <c r="C2443" s="75"/>
      <c r="D2443" s="76"/>
      <c r="E2443" s="5"/>
      <c r="F2443" s="5"/>
    </row>
    <row r="2444" spans="1:6" x14ac:dyDescent="0.3">
      <c r="A2444" s="1"/>
      <c r="B2444" s="4"/>
      <c r="C2444" s="75"/>
      <c r="D2444" s="76"/>
      <c r="E2444" s="5"/>
      <c r="F2444" s="5"/>
    </row>
    <row r="2445" spans="1:6" x14ac:dyDescent="0.3">
      <c r="A2445" s="1"/>
      <c r="B2445" s="4"/>
      <c r="C2445" s="75"/>
      <c r="D2445" s="76"/>
      <c r="E2445" s="5"/>
      <c r="F2445" s="5"/>
    </row>
    <row r="2446" spans="1:6" x14ac:dyDescent="0.3">
      <c r="A2446" s="1"/>
      <c r="B2446" s="4"/>
      <c r="C2446" s="75"/>
      <c r="D2446" s="76"/>
      <c r="E2446" s="5"/>
      <c r="F2446" s="5"/>
    </row>
    <row r="2447" spans="1:6" x14ac:dyDescent="0.3">
      <c r="A2447" s="1"/>
      <c r="B2447" s="4"/>
      <c r="C2447" s="75"/>
      <c r="D2447" s="76"/>
      <c r="E2447" s="5"/>
      <c r="F2447" s="5"/>
    </row>
    <row r="2448" spans="1:6" x14ac:dyDescent="0.3">
      <c r="A2448" s="1"/>
      <c r="B2448" s="4"/>
      <c r="C2448" s="75"/>
      <c r="D2448" s="76"/>
      <c r="E2448" s="5"/>
      <c r="F2448" s="5"/>
    </row>
    <row r="2449" spans="1:6" x14ac:dyDescent="0.3">
      <c r="A2449" s="1"/>
      <c r="B2449" s="4"/>
      <c r="C2449" s="75"/>
      <c r="D2449" s="76"/>
      <c r="E2449" s="5"/>
      <c r="F2449" s="5"/>
    </row>
    <row r="2450" spans="1:6" x14ac:dyDescent="0.3">
      <c r="A2450" s="1"/>
      <c r="B2450" s="4"/>
      <c r="C2450" s="75"/>
      <c r="D2450" s="76"/>
      <c r="E2450" s="5"/>
      <c r="F2450" s="5"/>
    </row>
    <row r="2451" spans="1:6" x14ac:dyDescent="0.3">
      <c r="A2451" s="1"/>
      <c r="B2451" s="4"/>
      <c r="C2451" s="75"/>
      <c r="D2451" s="76"/>
      <c r="E2451" s="5"/>
      <c r="F2451" s="5"/>
    </row>
    <row r="2452" spans="1:6" x14ac:dyDescent="0.3">
      <c r="A2452" s="1"/>
      <c r="B2452" s="4"/>
      <c r="C2452" s="75"/>
      <c r="D2452" s="76"/>
      <c r="E2452" s="5"/>
      <c r="F2452" s="5"/>
    </row>
    <row r="2453" spans="1:6" x14ac:dyDescent="0.3">
      <c r="A2453" s="1"/>
      <c r="B2453" s="4"/>
      <c r="C2453" s="75"/>
      <c r="D2453" s="76"/>
      <c r="E2453" s="5"/>
      <c r="F2453" s="5"/>
    </row>
    <row r="2454" spans="1:6" x14ac:dyDescent="0.3">
      <c r="A2454" s="1"/>
      <c r="B2454" s="4"/>
      <c r="C2454" s="75"/>
      <c r="D2454" s="76"/>
      <c r="E2454" s="5"/>
      <c r="F2454" s="5"/>
    </row>
    <row r="2455" spans="1:6" x14ac:dyDescent="0.3">
      <c r="A2455" s="1"/>
      <c r="B2455" s="4"/>
      <c r="C2455" s="75"/>
      <c r="D2455" s="76"/>
      <c r="E2455" s="5"/>
      <c r="F2455" s="5"/>
    </row>
    <row r="2456" spans="1:6" x14ac:dyDescent="0.3">
      <c r="A2456" s="1"/>
      <c r="B2456" s="4"/>
      <c r="C2456" s="75"/>
      <c r="D2456" s="76"/>
      <c r="E2456" s="5"/>
      <c r="F2456" s="5"/>
    </row>
    <row r="2457" spans="1:6" x14ac:dyDescent="0.3">
      <c r="A2457" s="1"/>
      <c r="B2457" s="4"/>
      <c r="C2457" s="75"/>
      <c r="D2457" s="76"/>
      <c r="E2457" s="5"/>
      <c r="F2457" s="5"/>
    </row>
    <row r="2458" spans="1:6" x14ac:dyDescent="0.3">
      <c r="A2458" s="1"/>
      <c r="B2458" s="4"/>
      <c r="C2458" s="75"/>
      <c r="D2458" s="76"/>
      <c r="E2458" s="5"/>
      <c r="F2458" s="5"/>
    </row>
    <row r="2459" spans="1:6" x14ac:dyDescent="0.3">
      <c r="A2459" s="1"/>
      <c r="B2459" s="4"/>
      <c r="C2459" s="75"/>
      <c r="D2459" s="76"/>
      <c r="E2459" s="5"/>
      <c r="F2459" s="5"/>
    </row>
    <row r="2460" spans="1:6" x14ac:dyDescent="0.3">
      <c r="A2460" s="1"/>
      <c r="B2460" s="4"/>
      <c r="C2460" s="75"/>
      <c r="D2460" s="76"/>
      <c r="E2460" s="5"/>
      <c r="F2460" s="5"/>
    </row>
    <row r="2461" spans="1:6" x14ac:dyDescent="0.3">
      <c r="A2461" s="1"/>
      <c r="B2461" s="4"/>
      <c r="C2461" s="75"/>
      <c r="D2461" s="76"/>
      <c r="E2461" s="5"/>
      <c r="F2461" s="5"/>
    </row>
    <row r="2462" spans="1:6" x14ac:dyDescent="0.3">
      <c r="A2462" s="1"/>
      <c r="B2462" s="4"/>
      <c r="C2462" s="75"/>
      <c r="D2462" s="76"/>
      <c r="E2462" s="5"/>
      <c r="F2462" s="5"/>
    </row>
    <row r="2463" spans="1:6" x14ac:dyDescent="0.3">
      <c r="A2463" s="1"/>
      <c r="B2463" s="4"/>
      <c r="C2463" s="75"/>
      <c r="D2463" s="76"/>
      <c r="E2463" s="5"/>
      <c r="F2463" s="5"/>
    </row>
    <row r="2464" spans="1:6" x14ac:dyDescent="0.3">
      <c r="A2464" s="1"/>
      <c r="B2464" s="4"/>
      <c r="C2464" s="75"/>
      <c r="D2464" s="76"/>
      <c r="E2464" s="5"/>
      <c r="F2464" s="5"/>
    </row>
    <row r="2465" spans="1:6" x14ac:dyDescent="0.3">
      <c r="A2465" s="1"/>
      <c r="B2465" s="4"/>
      <c r="C2465" s="75"/>
      <c r="D2465" s="76"/>
      <c r="E2465" s="5"/>
      <c r="F2465" s="5"/>
    </row>
    <row r="2466" spans="1:6" x14ac:dyDescent="0.3">
      <c r="A2466" s="1"/>
      <c r="B2466" s="4"/>
      <c r="C2466" s="75"/>
      <c r="D2466" s="76"/>
      <c r="E2466" s="5"/>
      <c r="F2466" s="5"/>
    </row>
    <row r="2467" spans="1:6" x14ac:dyDescent="0.3">
      <c r="A2467" s="1"/>
      <c r="B2467" s="4"/>
      <c r="C2467" s="75"/>
      <c r="D2467" s="76"/>
      <c r="E2467" s="5"/>
      <c r="F2467" s="5"/>
    </row>
    <row r="2468" spans="1:6" x14ac:dyDescent="0.3">
      <c r="A2468" s="1"/>
      <c r="B2468" s="4"/>
      <c r="C2468" s="75"/>
      <c r="D2468" s="76"/>
      <c r="E2468" s="5"/>
      <c r="F2468" s="5"/>
    </row>
    <row r="2469" spans="1:6" x14ac:dyDescent="0.3">
      <c r="A2469" s="1"/>
      <c r="B2469" s="4"/>
      <c r="C2469" s="75"/>
      <c r="D2469" s="76"/>
      <c r="E2469" s="5"/>
      <c r="F2469" s="5"/>
    </row>
    <row r="2470" spans="1:6" x14ac:dyDescent="0.3">
      <c r="A2470" s="1"/>
      <c r="B2470" s="4"/>
      <c r="C2470" s="75"/>
      <c r="D2470" s="76"/>
      <c r="E2470" s="5"/>
      <c r="F2470" s="5"/>
    </row>
    <row r="2471" spans="1:6" x14ac:dyDescent="0.3">
      <c r="A2471" s="1"/>
      <c r="B2471" s="4"/>
      <c r="C2471" s="75"/>
      <c r="D2471" s="76"/>
      <c r="E2471" s="5"/>
      <c r="F2471" s="5"/>
    </row>
    <row r="2472" spans="1:6" x14ac:dyDescent="0.3">
      <c r="A2472" s="1"/>
      <c r="B2472" s="4"/>
      <c r="C2472" s="75"/>
      <c r="D2472" s="76"/>
      <c r="E2472" s="5"/>
      <c r="F2472" s="5"/>
    </row>
    <row r="2473" spans="1:6" x14ac:dyDescent="0.3">
      <c r="A2473" s="1"/>
      <c r="B2473" s="4"/>
      <c r="C2473" s="75"/>
      <c r="D2473" s="76"/>
      <c r="E2473" s="5"/>
      <c r="F2473" s="5"/>
    </row>
    <row r="2474" spans="1:6" x14ac:dyDescent="0.3">
      <c r="A2474" s="1"/>
      <c r="B2474" s="4"/>
      <c r="C2474" s="75"/>
      <c r="D2474" s="76"/>
      <c r="E2474" s="5"/>
      <c r="F2474" s="5"/>
    </row>
    <row r="2475" spans="1:6" x14ac:dyDescent="0.3">
      <c r="A2475" s="1"/>
      <c r="B2475" s="4"/>
      <c r="C2475" s="75"/>
      <c r="D2475" s="76"/>
      <c r="E2475" s="5"/>
      <c r="F2475" s="5"/>
    </row>
    <row r="2476" spans="1:6" x14ac:dyDescent="0.3">
      <c r="A2476" s="1"/>
      <c r="B2476" s="4"/>
      <c r="C2476" s="75"/>
      <c r="D2476" s="76"/>
      <c r="E2476" s="5"/>
      <c r="F2476" s="5"/>
    </row>
    <row r="2477" spans="1:6" x14ac:dyDescent="0.3">
      <c r="A2477" s="1"/>
      <c r="B2477" s="4"/>
      <c r="C2477" s="75"/>
      <c r="D2477" s="76"/>
      <c r="E2477" s="5"/>
      <c r="F2477" s="5"/>
    </row>
    <row r="2478" spans="1:6" x14ac:dyDescent="0.3">
      <c r="A2478" s="1"/>
      <c r="B2478" s="4"/>
      <c r="C2478" s="75"/>
      <c r="D2478" s="76"/>
      <c r="E2478" s="5"/>
      <c r="F2478" s="5"/>
    </row>
    <row r="2479" spans="1:6" x14ac:dyDescent="0.3">
      <c r="A2479" s="1"/>
      <c r="B2479" s="4"/>
      <c r="C2479" s="75"/>
      <c r="D2479" s="76"/>
      <c r="E2479" s="5"/>
      <c r="F2479" s="5"/>
    </row>
    <row r="2480" spans="1:6" x14ac:dyDescent="0.3">
      <c r="A2480" s="1"/>
      <c r="B2480" s="4"/>
      <c r="C2480" s="75"/>
      <c r="D2480" s="76"/>
      <c r="E2480" s="5"/>
      <c r="F2480" s="5"/>
    </row>
    <row r="2481" spans="1:6" x14ac:dyDescent="0.3">
      <c r="A2481" s="1"/>
      <c r="B2481" s="4"/>
      <c r="C2481" s="75"/>
      <c r="D2481" s="76"/>
      <c r="E2481" s="5"/>
      <c r="F2481" s="5"/>
    </row>
    <row r="2482" spans="1:6" x14ac:dyDescent="0.3">
      <c r="A2482" s="1"/>
      <c r="B2482" s="4"/>
      <c r="C2482" s="75"/>
      <c r="D2482" s="76"/>
      <c r="E2482" s="5"/>
      <c r="F2482" s="5"/>
    </row>
    <row r="2483" spans="1:6" x14ac:dyDescent="0.3">
      <c r="A2483" s="1"/>
      <c r="B2483" s="4"/>
      <c r="C2483" s="75"/>
      <c r="D2483" s="76"/>
      <c r="E2483" s="5"/>
      <c r="F2483" s="5"/>
    </row>
    <row r="2484" spans="1:6" x14ac:dyDescent="0.3">
      <c r="A2484" s="1"/>
      <c r="B2484" s="4"/>
      <c r="C2484" s="75"/>
      <c r="D2484" s="76"/>
      <c r="E2484" s="5"/>
      <c r="F2484" s="5"/>
    </row>
    <row r="2485" spans="1:6" x14ac:dyDescent="0.3">
      <c r="A2485" s="1"/>
      <c r="B2485" s="4"/>
      <c r="C2485" s="75"/>
      <c r="D2485" s="76"/>
      <c r="E2485" s="5"/>
      <c r="F2485" s="5"/>
    </row>
    <row r="2486" spans="1:6" x14ac:dyDescent="0.3">
      <c r="A2486" s="1"/>
      <c r="B2486" s="4"/>
      <c r="C2486" s="75"/>
      <c r="D2486" s="76"/>
      <c r="E2486" s="5"/>
      <c r="F2486" s="5"/>
    </row>
    <row r="2487" spans="1:6" x14ac:dyDescent="0.3">
      <c r="A2487" s="1"/>
      <c r="B2487" s="4"/>
      <c r="C2487" s="75"/>
      <c r="D2487" s="76"/>
      <c r="E2487" s="5"/>
      <c r="F2487" s="5"/>
    </row>
    <row r="2488" spans="1:6" x14ac:dyDescent="0.3">
      <c r="A2488" s="1"/>
      <c r="B2488" s="4"/>
      <c r="C2488" s="75"/>
      <c r="D2488" s="76"/>
      <c r="E2488" s="5"/>
      <c r="F2488" s="5"/>
    </row>
    <row r="2489" spans="1:6" x14ac:dyDescent="0.3">
      <c r="A2489" s="1"/>
      <c r="B2489" s="4"/>
      <c r="C2489" s="75"/>
      <c r="D2489" s="76"/>
      <c r="E2489" s="5"/>
      <c r="F2489" s="5"/>
    </row>
    <row r="2490" spans="1:6" x14ac:dyDescent="0.3">
      <c r="A2490" s="1"/>
      <c r="B2490" s="4"/>
      <c r="C2490" s="75"/>
      <c r="D2490" s="76"/>
      <c r="E2490" s="5"/>
      <c r="F2490" s="5"/>
    </row>
    <row r="2491" spans="1:6" x14ac:dyDescent="0.3">
      <c r="A2491" s="1"/>
      <c r="B2491" s="4"/>
      <c r="C2491" s="75"/>
      <c r="D2491" s="76"/>
      <c r="E2491" s="5"/>
      <c r="F2491" s="5"/>
    </row>
    <row r="2492" spans="1:6" x14ac:dyDescent="0.3">
      <c r="A2492" s="1"/>
      <c r="B2492" s="4"/>
      <c r="C2492" s="75"/>
      <c r="D2492" s="76"/>
      <c r="E2492" s="5"/>
      <c r="F2492" s="5"/>
    </row>
    <row r="2493" spans="1:6" x14ac:dyDescent="0.3">
      <c r="A2493" s="1"/>
      <c r="B2493" s="4"/>
      <c r="C2493" s="75"/>
      <c r="D2493" s="76"/>
      <c r="E2493" s="5"/>
      <c r="F2493" s="5"/>
    </row>
    <row r="2494" spans="1:6" x14ac:dyDescent="0.3">
      <c r="A2494" s="1"/>
      <c r="B2494" s="4"/>
      <c r="C2494" s="75"/>
      <c r="D2494" s="76"/>
      <c r="E2494" s="5"/>
      <c r="F2494" s="5"/>
    </row>
    <row r="2495" spans="1:6" x14ac:dyDescent="0.3">
      <c r="A2495" s="1"/>
      <c r="B2495" s="4"/>
      <c r="C2495" s="75"/>
      <c r="D2495" s="76"/>
      <c r="E2495" s="5"/>
      <c r="F2495" s="5"/>
    </row>
    <row r="2496" spans="1:6" x14ac:dyDescent="0.3">
      <c r="A2496" s="1"/>
      <c r="B2496" s="4"/>
      <c r="C2496" s="75"/>
      <c r="D2496" s="76"/>
      <c r="E2496" s="5"/>
      <c r="F2496" s="5"/>
    </row>
    <row r="2497" spans="1:6" x14ac:dyDescent="0.3">
      <c r="A2497" s="1"/>
      <c r="B2497" s="4"/>
      <c r="C2497" s="75"/>
      <c r="D2497" s="76"/>
      <c r="E2497" s="5"/>
      <c r="F2497" s="5"/>
    </row>
    <row r="2498" spans="1:6" x14ac:dyDescent="0.3">
      <c r="A2498" s="1"/>
      <c r="B2498" s="4"/>
      <c r="C2498" s="75"/>
      <c r="D2498" s="76"/>
      <c r="E2498" s="5"/>
      <c r="F2498" s="5"/>
    </row>
    <row r="2499" spans="1:6" x14ac:dyDescent="0.3">
      <c r="A2499" s="1"/>
      <c r="B2499" s="4"/>
      <c r="C2499" s="75"/>
      <c r="D2499" s="76"/>
      <c r="E2499" s="5"/>
      <c r="F2499" s="5"/>
    </row>
    <row r="2500" spans="1:6" x14ac:dyDescent="0.3">
      <c r="A2500" s="1"/>
      <c r="B2500" s="4"/>
      <c r="C2500" s="75"/>
      <c r="D2500" s="76"/>
      <c r="E2500" s="5"/>
      <c r="F2500" s="5"/>
    </row>
    <row r="2501" spans="1:6" x14ac:dyDescent="0.3">
      <c r="A2501" s="1"/>
      <c r="B2501" s="4"/>
      <c r="C2501" s="75"/>
      <c r="D2501" s="76"/>
      <c r="E2501" s="5"/>
      <c r="F2501" s="5"/>
    </row>
    <row r="2502" spans="1:6" x14ac:dyDescent="0.3">
      <c r="A2502" s="1"/>
      <c r="B2502" s="4"/>
      <c r="C2502" s="75"/>
      <c r="D2502" s="76"/>
      <c r="E2502" s="5"/>
      <c r="F2502" s="5"/>
    </row>
    <row r="2503" spans="1:6" x14ac:dyDescent="0.3">
      <c r="A2503" s="1"/>
      <c r="B2503" s="4"/>
      <c r="C2503" s="75"/>
      <c r="D2503" s="76"/>
      <c r="E2503" s="5"/>
      <c r="F2503" s="5"/>
    </row>
    <row r="2504" spans="1:6" x14ac:dyDescent="0.3">
      <c r="A2504" s="1"/>
      <c r="B2504" s="4"/>
      <c r="C2504" s="75"/>
      <c r="D2504" s="76"/>
      <c r="E2504" s="5"/>
      <c r="F2504" s="5"/>
    </row>
    <row r="2505" spans="1:6" x14ac:dyDescent="0.3">
      <c r="A2505" s="1"/>
      <c r="B2505" s="4"/>
      <c r="C2505" s="75"/>
      <c r="D2505" s="76"/>
      <c r="E2505" s="5"/>
      <c r="F2505" s="5"/>
    </row>
    <row r="2506" spans="1:6" x14ac:dyDescent="0.3">
      <c r="A2506" s="1"/>
      <c r="B2506" s="4"/>
      <c r="C2506" s="75"/>
      <c r="D2506" s="76"/>
      <c r="E2506" s="5"/>
      <c r="F2506" s="5"/>
    </row>
    <row r="2507" spans="1:6" x14ac:dyDescent="0.3">
      <c r="A2507" s="1"/>
      <c r="B2507" s="4"/>
      <c r="C2507" s="75"/>
      <c r="D2507" s="76"/>
      <c r="E2507" s="5"/>
      <c r="F2507" s="5"/>
    </row>
    <row r="2508" spans="1:6" x14ac:dyDescent="0.3">
      <c r="A2508" s="1"/>
      <c r="B2508" s="4"/>
      <c r="C2508" s="75"/>
      <c r="D2508" s="76"/>
      <c r="E2508" s="5"/>
      <c r="F2508" s="5"/>
    </row>
    <row r="2509" spans="1:6" x14ac:dyDescent="0.3">
      <c r="A2509" s="1"/>
      <c r="B2509" s="4"/>
      <c r="C2509" s="75"/>
      <c r="D2509" s="76"/>
      <c r="E2509" s="5"/>
      <c r="F2509" s="5"/>
    </row>
    <row r="2510" spans="1:6" x14ac:dyDescent="0.3">
      <c r="A2510" s="1"/>
      <c r="B2510" s="4"/>
      <c r="C2510" s="75"/>
      <c r="D2510" s="76"/>
      <c r="E2510" s="5"/>
      <c r="F2510" s="5"/>
    </row>
    <row r="2511" spans="1:6" x14ac:dyDescent="0.3">
      <c r="A2511" s="1"/>
      <c r="B2511" s="4"/>
      <c r="C2511" s="75"/>
      <c r="D2511" s="76"/>
      <c r="E2511" s="5"/>
      <c r="F2511" s="5"/>
    </row>
    <row r="2512" spans="1:6" x14ac:dyDescent="0.3">
      <c r="A2512" s="1"/>
      <c r="B2512" s="4"/>
      <c r="C2512" s="75"/>
      <c r="D2512" s="76"/>
      <c r="E2512" s="5"/>
      <c r="F2512" s="5"/>
    </row>
    <row r="2513" spans="1:6" x14ac:dyDescent="0.3">
      <c r="A2513" s="1"/>
      <c r="B2513" s="4"/>
      <c r="C2513" s="75"/>
      <c r="D2513" s="76"/>
      <c r="E2513" s="5"/>
      <c r="F2513" s="5"/>
    </row>
    <row r="2514" spans="1:6" x14ac:dyDescent="0.3">
      <c r="A2514" s="1"/>
      <c r="B2514" s="4"/>
      <c r="C2514" s="75"/>
      <c r="D2514" s="76"/>
      <c r="E2514" s="5"/>
      <c r="F2514" s="5"/>
    </row>
    <row r="2515" spans="1:6" x14ac:dyDescent="0.3">
      <c r="A2515" s="1"/>
      <c r="B2515" s="4"/>
      <c r="C2515" s="75"/>
      <c r="D2515" s="76"/>
      <c r="E2515" s="5"/>
      <c r="F2515" s="5"/>
    </row>
    <row r="2516" spans="1:6" x14ac:dyDescent="0.3">
      <c r="A2516" s="1"/>
      <c r="B2516" s="4"/>
      <c r="C2516" s="75"/>
      <c r="D2516" s="76"/>
      <c r="E2516" s="5"/>
      <c r="F2516" s="5"/>
    </row>
    <row r="2517" spans="1:6" x14ac:dyDescent="0.3">
      <c r="A2517" s="1"/>
      <c r="B2517" s="4"/>
      <c r="C2517" s="75"/>
      <c r="D2517" s="76"/>
      <c r="E2517" s="5"/>
      <c r="F2517" s="5"/>
    </row>
    <row r="2518" spans="1:6" x14ac:dyDescent="0.3">
      <c r="A2518" s="1"/>
      <c r="B2518" s="4"/>
      <c r="C2518" s="75"/>
      <c r="D2518" s="76"/>
      <c r="E2518" s="5"/>
      <c r="F2518" s="5"/>
    </row>
    <row r="2519" spans="1:6" x14ac:dyDescent="0.3">
      <c r="A2519" s="1"/>
      <c r="B2519" s="4"/>
      <c r="C2519" s="75"/>
      <c r="D2519" s="76"/>
      <c r="E2519" s="5"/>
      <c r="F2519" s="5"/>
    </row>
    <row r="2520" spans="1:6" x14ac:dyDescent="0.3">
      <c r="A2520" s="1"/>
      <c r="B2520" s="4"/>
      <c r="C2520" s="75"/>
      <c r="D2520" s="76"/>
      <c r="E2520" s="5"/>
      <c r="F2520" s="5"/>
    </row>
    <row r="2521" spans="1:6" x14ac:dyDescent="0.3">
      <c r="A2521" s="1"/>
      <c r="B2521" s="4"/>
      <c r="C2521" s="75"/>
      <c r="D2521" s="76"/>
      <c r="E2521" s="5"/>
      <c r="F2521" s="5"/>
    </row>
    <row r="2522" spans="1:6" x14ac:dyDescent="0.3">
      <c r="A2522" s="1"/>
      <c r="B2522" s="4"/>
      <c r="C2522" s="75"/>
      <c r="D2522" s="76"/>
      <c r="E2522" s="5"/>
      <c r="F2522" s="5"/>
    </row>
    <row r="2523" spans="1:6" x14ac:dyDescent="0.3">
      <c r="A2523" s="1"/>
      <c r="B2523" s="4"/>
      <c r="C2523" s="75"/>
      <c r="D2523" s="76"/>
      <c r="E2523" s="5"/>
      <c r="F2523" s="5"/>
    </row>
    <row r="2524" spans="1:6" x14ac:dyDescent="0.3">
      <c r="A2524" s="1"/>
      <c r="B2524" s="4"/>
      <c r="C2524" s="75"/>
      <c r="D2524" s="76"/>
      <c r="E2524" s="5"/>
      <c r="F2524" s="5"/>
    </row>
    <row r="2525" spans="1:6" x14ac:dyDescent="0.3">
      <c r="A2525" s="1"/>
      <c r="B2525" s="4"/>
      <c r="C2525" s="75"/>
      <c r="D2525" s="76"/>
      <c r="E2525" s="5"/>
      <c r="F2525" s="5"/>
    </row>
    <row r="2526" spans="1:6" x14ac:dyDescent="0.3">
      <c r="A2526" s="1"/>
      <c r="B2526" s="4"/>
      <c r="C2526" s="75"/>
      <c r="D2526" s="76"/>
      <c r="E2526" s="5"/>
      <c r="F2526" s="5"/>
    </row>
    <row r="2527" spans="1:6" x14ac:dyDescent="0.3">
      <c r="A2527" s="1"/>
      <c r="B2527" s="4"/>
      <c r="C2527" s="75"/>
      <c r="D2527" s="76"/>
      <c r="E2527" s="5"/>
      <c r="F2527" s="5"/>
    </row>
    <row r="2528" spans="1:6" x14ac:dyDescent="0.3">
      <c r="A2528" s="1"/>
      <c r="B2528" s="4"/>
      <c r="C2528" s="75"/>
      <c r="D2528" s="76"/>
      <c r="E2528" s="5"/>
      <c r="F2528" s="5"/>
    </row>
    <row r="2529" spans="1:6" x14ac:dyDescent="0.3">
      <c r="A2529" s="1"/>
      <c r="B2529" s="4"/>
      <c r="C2529" s="75"/>
      <c r="D2529" s="76"/>
      <c r="E2529" s="5"/>
      <c r="F2529" s="5"/>
    </row>
    <row r="2530" spans="1:6" x14ac:dyDescent="0.3">
      <c r="A2530" s="1"/>
      <c r="B2530" s="4"/>
      <c r="C2530" s="75"/>
      <c r="D2530" s="76"/>
      <c r="E2530" s="5"/>
      <c r="F2530" s="5"/>
    </row>
    <row r="2531" spans="1:6" x14ac:dyDescent="0.3">
      <c r="A2531" s="1"/>
      <c r="B2531" s="4"/>
      <c r="C2531" s="75"/>
      <c r="D2531" s="76"/>
      <c r="E2531" s="5"/>
      <c r="F2531" s="5"/>
    </row>
    <row r="2532" spans="1:6" x14ac:dyDescent="0.3">
      <c r="A2532" s="1"/>
      <c r="B2532" s="4"/>
      <c r="C2532" s="75"/>
      <c r="D2532" s="76"/>
      <c r="E2532" s="5"/>
      <c r="F2532" s="5"/>
    </row>
    <row r="2533" spans="1:6" x14ac:dyDescent="0.3">
      <c r="A2533" s="1"/>
      <c r="B2533" s="4"/>
      <c r="C2533" s="75"/>
      <c r="D2533" s="76"/>
      <c r="E2533" s="5"/>
      <c r="F2533" s="5"/>
    </row>
    <row r="2534" spans="1:6" x14ac:dyDescent="0.3">
      <c r="A2534" s="1"/>
      <c r="B2534" s="4"/>
      <c r="C2534" s="75"/>
      <c r="D2534" s="76"/>
      <c r="E2534" s="5"/>
      <c r="F2534" s="5"/>
    </row>
    <row r="2535" spans="1:6" x14ac:dyDescent="0.3">
      <c r="A2535" s="1"/>
      <c r="B2535" s="4"/>
      <c r="C2535" s="75"/>
      <c r="D2535" s="76"/>
      <c r="E2535" s="5"/>
      <c r="F2535" s="5"/>
    </row>
    <row r="2536" spans="1:6" x14ac:dyDescent="0.3">
      <c r="A2536" s="1"/>
      <c r="B2536" s="4"/>
      <c r="C2536" s="75"/>
      <c r="D2536" s="76"/>
      <c r="E2536" s="5"/>
      <c r="F2536" s="5"/>
    </row>
    <row r="2537" spans="1:6" x14ac:dyDescent="0.3">
      <c r="A2537" s="1"/>
      <c r="B2537" s="4"/>
      <c r="C2537" s="75"/>
      <c r="D2537" s="76"/>
      <c r="E2537" s="5"/>
      <c r="F2537" s="5"/>
    </row>
    <row r="2538" spans="1:6" x14ac:dyDescent="0.3">
      <c r="A2538" s="1"/>
      <c r="B2538" s="4"/>
      <c r="C2538" s="75"/>
      <c r="D2538" s="76"/>
      <c r="E2538" s="5"/>
      <c r="F2538" s="5"/>
    </row>
    <row r="2539" spans="1:6" x14ac:dyDescent="0.3">
      <c r="A2539" s="1"/>
      <c r="B2539" s="4"/>
      <c r="C2539" s="75"/>
      <c r="D2539" s="76"/>
      <c r="E2539" s="5"/>
      <c r="F2539" s="5"/>
    </row>
    <row r="2540" spans="1:6" x14ac:dyDescent="0.3">
      <c r="A2540" s="1"/>
      <c r="B2540" s="4"/>
      <c r="C2540" s="75"/>
      <c r="D2540" s="76"/>
      <c r="E2540" s="5"/>
      <c r="F2540" s="5"/>
    </row>
    <row r="2541" spans="1:6" x14ac:dyDescent="0.3">
      <c r="A2541" s="1"/>
      <c r="B2541" s="4"/>
      <c r="C2541" s="75"/>
      <c r="D2541" s="76"/>
      <c r="E2541" s="5"/>
      <c r="F2541" s="5"/>
    </row>
    <row r="2542" spans="1:6" x14ac:dyDescent="0.3">
      <c r="A2542" s="1"/>
      <c r="B2542" s="4"/>
      <c r="C2542" s="75"/>
      <c r="D2542" s="76"/>
      <c r="E2542" s="5"/>
      <c r="F2542" s="5"/>
    </row>
    <row r="2543" spans="1:6" x14ac:dyDescent="0.3">
      <c r="A2543" s="1"/>
      <c r="B2543" s="4"/>
      <c r="C2543" s="75"/>
      <c r="D2543" s="76"/>
      <c r="E2543" s="5"/>
      <c r="F2543" s="5"/>
    </row>
    <row r="2544" spans="1:6" x14ac:dyDescent="0.3">
      <c r="A2544" s="1"/>
      <c r="B2544" s="4"/>
      <c r="C2544" s="75"/>
      <c r="D2544" s="76"/>
      <c r="E2544" s="5"/>
      <c r="F2544" s="5"/>
    </row>
    <row r="2545" spans="1:6" x14ac:dyDescent="0.3">
      <c r="A2545" s="1"/>
      <c r="B2545" s="4"/>
      <c r="C2545" s="75"/>
      <c r="D2545" s="76"/>
      <c r="E2545" s="5"/>
      <c r="F2545" s="5"/>
    </row>
    <row r="2546" spans="1:6" x14ac:dyDescent="0.3">
      <c r="A2546" s="1"/>
      <c r="B2546" s="4"/>
      <c r="C2546" s="75"/>
      <c r="D2546" s="76"/>
      <c r="E2546" s="5"/>
      <c r="F2546" s="5"/>
    </row>
    <row r="2547" spans="1:6" x14ac:dyDescent="0.3">
      <c r="A2547" s="1"/>
      <c r="B2547" s="4"/>
      <c r="C2547" s="75"/>
      <c r="D2547" s="76"/>
      <c r="E2547" s="5"/>
      <c r="F2547" s="5"/>
    </row>
    <row r="2548" spans="1:6" x14ac:dyDescent="0.3">
      <c r="A2548" s="1"/>
      <c r="B2548" s="4"/>
      <c r="C2548" s="75"/>
      <c r="D2548" s="76"/>
      <c r="E2548" s="5"/>
      <c r="F2548" s="5"/>
    </row>
    <row r="2549" spans="1:6" x14ac:dyDescent="0.3">
      <c r="A2549" s="1"/>
      <c r="B2549" s="4"/>
      <c r="C2549" s="75"/>
      <c r="D2549" s="76"/>
      <c r="E2549" s="5"/>
      <c r="F2549" s="5"/>
    </row>
    <row r="2550" spans="1:6" x14ac:dyDescent="0.3">
      <c r="A2550" s="1"/>
      <c r="B2550" s="4"/>
      <c r="C2550" s="75"/>
      <c r="D2550" s="76"/>
      <c r="E2550" s="5"/>
      <c r="F2550" s="5"/>
    </row>
    <row r="2551" spans="1:6" x14ac:dyDescent="0.3">
      <c r="A2551" s="1"/>
      <c r="B2551" s="4"/>
      <c r="C2551" s="75"/>
      <c r="D2551" s="76"/>
      <c r="E2551" s="5"/>
      <c r="F2551" s="5"/>
    </row>
    <row r="2552" spans="1:6" x14ac:dyDescent="0.3">
      <c r="A2552" s="1"/>
      <c r="B2552" s="4"/>
      <c r="C2552" s="75"/>
      <c r="D2552" s="76"/>
      <c r="E2552" s="5"/>
      <c r="F2552" s="5"/>
    </row>
    <row r="2553" spans="1:6" x14ac:dyDescent="0.3">
      <c r="A2553" s="1"/>
      <c r="B2553" s="4"/>
      <c r="C2553" s="75"/>
      <c r="D2553" s="76"/>
      <c r="E2553" s="5"/>
      <c r="F2553" s="5"/>
    </row>
    <row r="2554" spans="1:6" x14ac:dyDescent="0.3">
      <c r="A2554" s="1"/>
      <c r="B2554" s="4"/>
      <c r="C2554" s="75"/>
      <c r="D2554" s="76"/>
      <c r="E2554" s="5"/>
      <c r="F2554" s="5"/>
    </row>
    <row r="2555" spans="1:6" x14ac:dyDescent="0.3">
      <c r="A2555" s="1"/>
      <c r="B2555" s="4"/>
      <c r="C2555" s="75"/>
      <c r="D2555" s="76"/>
      <c r="E2555" s="5"/>
      <c r="F2555" s="5"/>
    </row>
    <row r="2556" spans="1:6" x14ac:dyDescent="0.3">
      <c r="A2556" s="1"/>
      <c r="B2556" s="4"/>
      <c r="C2556" s="75"/>
      <c r="D2556" s="76"/>
      <c r="E2556" s="5"/>
      <c r="F2556" s="5"/>
    </row>
    <row r="2557" spans="1:6" x14ac:dyDescent="0.3">
      <c r="A2557" s="1"/>
      <c r="B2557" s="4"/>
      <c r="C2557" s="75"/>
      <c r="D2557" s="76"/>
      <c r="E2557" s="5"/>
      <c r="F2557" s="5"/>
    </row>
    <row r="2558" spans="1:6" x14ac:dyDescent="0.3">
      <c r="A2558" s="1"/>
      <c r="B2558" s="4"/>
      <c r="C2558" s="75"/>
      <c r="D2558" s="76"/>
      <c r="E2558" s="5"/>
      <c r="F2558" s="5"/>
    </row>
    <row r="2559" spans="1:6" x14ac:dyDescent="0.3">
      <c r="A2559" s="1"/>
      <c r="B2559" s="4"/>
      <c r="C2559" s="75"/>
      <c r="D2559" s="76"/>
      <c r="E2559" s="5"/>
      <c r="F2559" s="5"/>
    </row>
    <row r="2560" spans="1:6" x14ac:dyDescent="0.3">
      <c r="A2560" s="1"/>
      <c r="B2560" s="4"/>
      <c r="C2560" s="75"/>
      <c r="D2560" s="76"/>
      <c r="E2560" s="5"/>
      <c r="F2560" s="5"/>
    </row>
    <row r="2561" spans="1:6" x14ac:dyDescent="0.3">
      <c r="A2561" s="1"/>
      <c r="B2561" s="4"/>
      <c r="C2561" s="75"/>
      <c r="D2561" s="76"/>
      <c r="E2561" s="5"/>
      <c r="F2561" s="5"/>
    </row>
    <row r="2562" spans="1:6" x14ac:dyDescent="0.3">
      <c r="A2562" s="1"/>
      <c r="B2562" s="4"/>
      <c r="C2562" s="75"/>
      <c r="D2562" s="76"/>
      <c r="E2562" s="5"/>
      <c r="F2562" s="5"/>
    </row>
    <row r="2563" spans="1:6" x14ac:dyDescent="0.3">
      <c r="A2563" s="1"/>
      <c r="B2563" s="4"/>
      <c r="C2563" s="75"/>
      <c r="D2563" s="76"/>
      <c r="E2563" s="5"/>
      <c r="F2563" s="5"/>
    </row>
    <row r="2564" spans="1:6" x14ac:dyDescent="0.3">
      <c r="A2564" s="1"/>
      <c r="B2564" s="4"/>
      <c r="C2564" s="75"/>
      <c r="D2564" s="76"/>
      <c r="E2564" s="5"/>
      <c r="F2564" s="5"/>
    </row>
    <row r="2565" spans="1:6" x14ac:dyDescent="0.3">
      <c r="A2565" s="1"/>
      <c r="B2565" s="4"/>
      <c r="C2565" s="75"/>
      <c r="D2565" s="76"/>
      <c r="E2565" s="5"/>
      <c r="F2565" s="5"/>
    </row>
    <row r="2566" spans="1:6" x14ac:dyDescent="0.3">
      <c r="A2566" s="1"/>
      <c r="B2566" s="4"/>
      <c r="C2566" s="75"/>
      <c r="D2566" s="76"/>
      <c r="E2566" s="5"/>
      <c r="F2566" s="5"/>
    </row>
    <row r="2567" spans="1:6" x14ac:dyDescent="0.3">
      <c r="A2567" s="1"/>
      <c r="B2567" s="4"/>
      <c r="C2567" s="75"/>
      <c r="D2567" s="76"/>
      <c r="E2567" s="5"/>
      <c r="F2567" s="5"/>
    </row>
    <row r="2568" spans="1:6" x14ac:dyDescent="0.3">
      <c r="A2568" s="1"/>
      <c r="B2568" s="4"/>
      <c r="C2568" s="75"/>
      <c r="D2568" s="76"/>
      <c r="E2568" s="5"/>
      <c r="F2568" s="5"/>
    </row>
    <row r="2569" spans="1:6" x14ac:dyDescent="0.3">
      <c r="A2569" s="1"/>
      <c r="B2569" s="4"/>
      <c r="C2569" s="75"/>
      <c r="D2569" s="76"/>
      <c r="E2569" s="5"/>
      <c r="F2569" s="5"/>
    </row>
    <row r="2570" spans="1:6" x14ac:dyDescent="0.3">
      <c r="A2570" s="1"/>
      <c r="B2570" s="4"/>
      <c r="C2570" s="75"/>
      <c r="D2570" s="76"/>
      <c r="E2570" s="5"/>
      <c r="F2570" s="5"/>
    </row>
    <row r="2571" spans="1:6" x14ac:dyDescent="0.3">
      <c r="A2571" s="1"/>
      <c r="B2571" s="4"/>
      <c r="C2571" s="75"/>
      <c r="D2571" s="76"/>
      <c r="E2571" s="5"/>
      <c r="F2571" s="5"/>
    </row>
    <row r="2572" spans="1:6" x14ac:dyDescent="0.3">
      <c r="A2572" s="1"/>
      <c r="B2572" s="4"/>
      <c r="C2572" s="75"/>
      <c r="D2572" s="76"/>
      <c r="E2572" s="5"/>
      <c r="F2572" s="5"/>
    </row>
    <row r="2573" spans="1:6" x14ac:dyDescent="0.3">
      <c r="A2573" s="1"/>
      <c r="B2573" s="4"/>
      <c r="C2573" s="75"/>
      <c r="D2573" s="76"/>
      <c r="E2573" s="5"/>
      <c r="F2573" s="5"/>
    </row>
    <row r="2574" spans="1:6" x14ac:dyDescent="0.3">
      <c r="A2574" s="1"/>
      <c r="B2574" s="4"/>
      <c r="C2574" s="75"/>
      <c r="D2574" s="76"/>
      <c r="E2574" s="5"/>
      <c r="F2574" s="5"/>
    </row>
    <row r="2575" spans="1:6" x14ac:dyDescent="0.3">
      <c r="A2575" s="1"/>
      <c r="B2575" s="4"/>
      <c r="C2575" s="75"/>
      <c r="D2575" s="76"/>
      <c r="E2575" s="5"/>
      <c r="F2575" s="5"/>
    </row>
    <row r="2576" spans="1:6" x14ac:dyDescent="0.3">
      <c r="A2576" s="1"/>
      <c r="B2576" s="4"/>
      <c r="C2576" s="75"/>
      <c r="D2576" s="76"/>
      <c r="E2576" s="5"/>
      <c r="F2576" s="5"/>
    </row>
    <row r="2577" spans="1:6" x14ac:dyDescent="0.3">
      <c r="A2577" s="1"/>
      <c r="B2577" s="4"/>
      <c r="C2577" s="75"/>
      <c r="D2577" s="76"/>
      <c r="E2577" s="5"/>
      <c r="F2577" s="5"/>
    </row>
    <row r="2578" spans="1:6" x14ac:dyDescent="0.3">
      <c r="A2578" s="1"/>
      <c r="B2578" s="4"/>
      <c r="C2578" s="75"/>
      <c r="D2578" s="76"/>
      <c r="E2578" s="5"/>
      <c r="F2578" s="5"/>
    </row>
    <row r="2579" spans="1:6" x14ac:dyDescent="0.3">
      <c r="A2579" s="1"/>
      <c r="B2579" s="4"/>
      <c r="C2579" s="75"/>
      <c r="D2579" s="76"/>
      <c r="E2579" s="5"/>
      <c r="F2579" s="5"/>
    </row>
    <row r="2580" spans="1:6" x14ac:dyDescent="0.3">
      <c r="A2580" s="1"/>
      <c r="B2580" s="4"/>
      <c r="C2580" s="75"/>
      <c r="D2580" s="76"/>
      <c r="E2580" s="5"/>
      <c r="F2580" s="5"/>
    </row>
    <row r="2581" spans="1:6" x14ac:dyDescent="0.3">
      <c r="A2581" s="1"/>
      <c r="B2581" s="4"/>
      <c r="C2581" s="75"/>
      <c r="D2581" s="76"/>
      <c r="E2581" s="5"/>
      <c r="F2581" s="5"/>
    </row>
    <row r="2582" spans="1:6" x14ac:dyDescent="0.3">
      <c r="A2582" s="1"/>
      <c r="B2582" s="4"/>
      <c r="C2582" s="75"/>
      <c r="D2582" s="76"/>
      <c r="E2582" s="5"/>
      <c r="F2582" s="5"/>
    </row>
    <row r="2583" spans="1:6" x14ac:dyDescent="0.3">
      <c r="A2583" s="1"/>
      <c r="B2583" s="4"/>
      <c r="C2583" s="75"/>
      <c r="D2583" s="76"/>
      <c r="E2583" s="5"/>
      <c r="F2583" s="5"/>
    </row>
    <row r="2584" spans="1:6" x14ac:dyDescent="0.3">
      <c r="A2584" s="1"/>
      <c r="B2584" s="4"/>
      <c r="C2584" s="75"/>
      <c r="D2584" s="76"/>
      <c r="E2584" s="5"/>
      <c r="F2584" s="5"/>
    </row>
    <row r="2585" spans="1:6" x14ac:dyDescent="0.3">
      <c r="A2585" s="1"/>
      <c r="B2585" s="4"/>
      <c r="C2585" s="75"/>
      <c r="D2585" s="76"/>
      <c r="E2585" s="5"/>
      <c r="F2585" s="5"/>
    </row>
    <row r="2586" spans="1:6" x14ac:dyDescent="0.3">
      <c r="A2586" s="1"/>
      <c r="B2586" s="4"/>
      <c r="C2586" s="75"/>
      <c r="D2586" s="76"/>
      <c r="E2586" s="5"/>
      <c r="F2586" s="5"/>
    </row>
    <row r="2587" spans="1:6" x14ac:dyDescent="0.3">
      <c r="A2587" s="1"/>
      <c r="B2587" s="4"/>
      <c r="C2587" s="75"/>
      <c r="D2587" s="76"/>
      <c r="E2587" s="5"/>
      <c r="F2587" s="5"/>
    </row>
    <row r="2588" spans="1:6" x14ac:dyDescent="0.3">
      <c r="A2588" s="1"/>
      <c r="B2588" s="4"/>
      <c r="C2588" s="75"/>
      <c r="D2588" s="76"/>
      <c r="E2588" s="5"/>
      <c r="F2588" s="5"/>
    </row>
    <row r="2589" spans="1:6" x14ac:dyDescent="0.3">
      <c r="A2589" s="1"/>
      <c r="B2589" s="4"/>
      <c r="C2589" s="75"/>
      <c r="D2589" s="76"/>
      <c r="E2589" s="5"/>
      <c r="F2589" s="5"/>
    </row>
    <row r="2590" spans="1:6" x14ac:dyDescent="0.3">
      <c r="A2590" s="1"/>
      <c r="B2590" s="4"/>
      <c r="C2590" s="75"/>
      <c r="D2590" s="76"/>
      <c r="E2590" s="5"/>
      <c r="F2590" s="5"/>
    </row>
    <row r="2591" spans="1:6" x14ac:dyDescent="0.3">
      <c r="A2591" s="1"/>
      <c r="B2591" s="4"/>
      <c r="C2591" s="75"/>
      <c r="D2591" s="76"/>
      <c r="E2591" s="5"/>
      <c r="F2591" s="5"/>
    </row>
    <row r="2592" spans="1:6" x14ac:dyDescent="0.3">
      <c r="A2592" s="1"/>
      <c r="B2592" s="4"/>
      <c r="C2592" s="75"/>
      <c r="D2592" s="76"/>
      <c r="E2592" s="5"/>
      <c r="F2592" s="5"/>
    </row>
    <row r="2593" spans="1:6" x14ac:dyDescent="0.3">
      <c r="A2593" s="1"/>
      <c r="B2593" s="4"/>
      <c r="C2593" s="75"/>
      <c r="D2593" s="76"/>
      <c r="E2593" s="5"/>
      <c r="F2593" s="5"/>
    </row>
    <row r="2594" spans="1:6" x14ac:dyDescent="0.3">
      <c r="A2594" s="1"/>
      <c r="B2594" s="4"/>
      <c r="C2594" s="75"/>
      <c r="D2594" s="76"/>
      <c r="E2594" s="5"/>
      <c r="F2594" s="5"/>
    </row>
    <row r="2595" spans="1:6" x14ac:dyDescent="0.3">
      <c r="A2595" s="1"/>
      <c r="B2595" s="4"/>
      <c r="C2595" s="75"/>
      <c r="D2595" s="76"/>
      <c r="E2595" s="5"/>
      <c r="F2595" s="5"/>
    </row>
    <row r="2596" spans="1:6" x14ac:dyDescent="0.3">
      <c r="A2596" s="1"/>
      <c r="B2596" s="4"/>
      <c r="C2596" s="75"/>
      <c r="D2596" s="76"/>
      <c r="E2596" s="5"/>
      <c r="F2596" s="5"/>
    </row>
    <row r="2597" spans="1:6" x14ac:dyDescent="0.3">
      <c r="A2597" s="1"/>
      <c r="B2597" s="4"/>
      <c r="C2597" s="75"/>
      <c r="D2597" s="76"/>
      <c r="E2597" s="5"/>
      <c r="F2597" s="5"/>
    </row>
    <row r="2598" spans="1:6" x14ac:dyDescent="0.3">
      <c r="A2598" s="1"/>
      <c r="B2598" s="4"/>
      <c r="C2598" s="75"/>
      <c r="D2598" s="76"/>
      <c r="E2598" s="5"/>
      <c r="F2598" s="5"/>
    </row>
    <row r="2599" spans="1:6" x14ac:dyDescent="0.3">
      <c r="A2599" s="1"/>
      <c r="B2599" s="4"/>
      <c r="C2599" s="75"/>
      <c r="D2599" s="76"/>
      <c r="E2599" s="5"/>
      <c r="F2599" s="5"/>
    </row>
    <row r="2600" spans="1:6" x14ac:dyDescent="0.3">
      <c r="A2600" s="1"/>
      <c r="B2600" s="4"/>
      <c r="C2600" s="75"/>
      <c r="D2600" s="76"/>
      <c r="E2600" s="5"/>
      <c r="F2600" s="5"/>
    </row>
    <row r="2601" spans="1:6" x14ac:dyDescent="0.3">
      <c r="A2601" s="1"/>
      <c r="B2601" s="4"/>
      <c r="C2601" s="75"/>
      <c r="D2601" s="76"/>
      <c r="E2601" s="5"/>
      <c r="F2601" s="5"/>
    </row>
    <row r="2602" spans="1:6" x14ac:dyDescent="0.3">
      <c r="A2602" s="1"/>
      <c r="B2602" s="4"/>
      <c r="C2602" s="75"/>
      <c r="D2602" s="76"/>
      <c r="E2602" s="5"/>
      <c r="F2602" s="5"/>
    </row>
    <row r="2603" spans="1:6" x14ac:dyDescent="0.3">
      <c r="A2603" s="1"/>
      <c r="B2603" s="4"/>
      <c r="C2603" s="75"/>
      <c r="D2603" s="76"/>
      <c r="E2603" s="5"/>
      <c r="F2603" s="5"/>
    </row>
    <row r="2604" spans="1:6" x14ac:dyDescent="0.3">
      <c r="A2604" s="1"/>
      <c r="B2604" s="4"/>
      <c r="C2604" s="75"/>
      <c r="D2604" s="76"/>
      <c r="E2604" s="5"/>
      <c r="F2604" s="5"/>
    </row>
    <row r="2605" spans="1:6" x14ac:dyDescent="0.3">
      <c r="A2605" s="1"/>
      <c r="B2605" s="4"/>
      <c r="C2605" s="75"/>
      <c r="D2605" s="76"/>
      <c r="E2605" s="5"/>
      <c r="F2605" s="5"/>
    </row>
    <row r="2606" spans="1:6" x14ac:dyDescent="0.3">
      <c r="A2606" s="1"/>
      <c r="B2606" s="4"/>
      <c r="C2606" s="75"/>
      <c r="D2606" s="76"/>
      <c r="E2606" s="5"/>
      <c r="F2606" s="5"/>
    </row>
    <row r="2607" spans="1:6" x14ac:dyDescent="0.3">
      <c r="A2607" s="1"/>
      <c r="B2607" s="4"/>
      <c r="C2607" s="75"/>
      <c r="D2607" s="76"/>
      <c r="E2607" s="5"/>
      <c r="F2607" s="5"/>
    </row>
    <row r="2608" spans="1:6" x14ac:dyDescent="0.3">
      <c r="A2608" s="1"/>
      <c r="B2608" s="4"/>
      <c r="C2608" s="75"/>
      <c r="D2608" s="76"/>
      <c r="E2608" s="5"/>
      <c r="F2608" s="5"/>
    </row>
    <row r="2609" spans="1:6" x14ac:dyDescent="0.3">
      <c r="A2609" s="1"/>
      <c r="B2609" s="4"/>
      <c r="C2609" s="75"/>
      <c r="D2609" s="76"/>
      <c r="E2609" s="5"/>
      <c r="F2609" s="5"/>
    </row>
    <row r="2610" spans="1:6" x14ac:dyDescent="0.3">
      <c r="A2610" s="1"/>
      <c r="B2610" s="4"/>
      <c r="C2610" s="75"/>
      <c r="D2610" s="76"/>
      <c r="E2610" s="5"/>
      <c r="F2610" s="5"/>
    </row>
    <row r="2611" spans="1:6" x14ac:dyDescent="0.3">
      <c r="A2611" s="1"/>
      <c r="B2611" s="4"/>
      <c r="C2611" s="75"/>
      <c r="D2611" s="76"/>
      <c r="E2611" s="5"/>
      <c r="F2611" s="5"/>
    </row>
    <row r="2612" spans="1:6" x14ac:dyDescent="0.3">
      <c r="A2612" s="1"/>
      <c r="B2612" s="4"/>
      <c r="C2612" s="75"/>
      <c r="D2612" s="76"/>
      <c r="E2612" s="5"/>
      <c r="F2612" s="5"/>
    </row>
    <row r="2613" spans="1:6" x14ac:dyDescent="0.3">
      <c r="A2613" s="1"/>
      <c r="B2613" s="4"/>
      <c r="C2613" s="75"/>
      <c r="D2613" s="76"/>
      <c r="E2613" s="5"/>
      <c r="F2613" s="5"/>
    </row>
    <row r="2614" spans="1:6" x14ac:dyDescent="0.3">
      <c r="A2614" s="1"/>
      <c r="B2614" s="4"/>
      <c r="C2614" s="75"/>
      <c r="D2614" s="76"/>
      <c r="E2614" s="5"/>
      <c r="F2614" s="5"/>
    </row>
    <row r="2615" spans="1:6" x14ac:dyDescent="0.3">
      <c r="A2615" s="1"/>
      <c r="B2615" s="4"/>
      <c r="C2615" s="75"/>
      <c r="D2615" s="76"/>
      <c r="E2615" s="5"/>
      <c r="F2615" s="5"/>
    </row>
    <row r="2616" spans="1:6" x14ac:dyDescent="0.3">
      <c r="A2616" s="1"/>
      <c r="B2616" s="4"/>
      <c r="C2616" s="75"/>
      <c r="D2616" s="76"/>
      <c r="E2616" s="5"/>
      <c r="F2616" s="5"/>
    </row>
    <row r="2617" spans="1:6" x14ac:dyDescent="0.3">
      <c r="A2617" s="1"/>
      <c r="B2617" s="4"/>
      <c r="C2617" s="75"/>
      <c r="D2617" s="76"/>
      <c r="E2617" s="5"/>
      <c r="F2617" s="5"/>
    </row>
    <row r="2618" spans="1:6" x14ac:dyDescent="0.3">
      <c r="A2618" s="1"/>
      <c r="B2618" s="4"/>
      <c r="C2618" s="75"/>
      <c r="D2618" s="76"/>
      <c r="E2618" s="5"/>
      <c r="F2618" s="5"/>
    </row>
    <row r="2619" spans="1:6" x14ac:dyDescent="0.3">
      <c r="A2619" s="1"/>
      <c r="B2619" s="4"/>
      <c r="C2619" s="75"/>
      <c r="D2619" s="76"/>
      <c r="E2619" s="5"/>
      <c r="F2619" s="5"/>
    </row>
    <row r="2620" spans="1:6" x14ac:dyDescent="0.3">
      <c r="A2620" s="1"/>
      <c r="B2620" s="4"/>
      <c r="C2620" s="75"/>
      <c r="D2620" s="76"/>
      <c r="E2620" s="5"/>
      <c r="F2620" s="5"/>
    </row>
    <row r="2621" spans="1:6" x14ac:dyDescent="0.3">
      <c r="A2621" s="1"/>
      <c r="B2621" s="4"/>
      <c r="C2621" s="75"/>
      <c r="D2621" s="76"/>
      <c r="E2621" s="5"/>
      <c r="F2621" s="5"/>
    </row>
    <row r="2622" spans="1:6" x14ac:dyDescent="0.3">
      <c r="A2622" s="1"/>
      <c r="B2622" s="4"/>
      <c r="C2622" s="75"/>
      <c r="D2622" s="76"/>
      <c r="E2622" s="5"/>
      <c r="F2622" s="5"/>
    </row>
    <row r="2623" spans="1:6" x14ac:dyDescent="0.3">
      <c r="A2623" s="1"/>
      <c r="B2623" s="4"/>
      <c r="C2623" s="75"/>
      <c r="D2623" s="76"/>
      <c r="E2623" s="5"/>
      <c r="F2623" s="5"/>
    </row>
    <row r="2624" spans="1:6" x14ac:dyDescent="0.3">
      <c r="A2624" s="1"/>
      <c r="B2624" s="4"/>
      <c r="C2624" s="75"/>
      <c r="D2624" s="76"/>
      <c r="E2624" s="5"/>
      <c r="F2624" s="5"/>
    </row>
    <row r="2625" spans="1:6" x14ac:dyDescent="0.3">
      <c r="A2625" s="1"/>
      <c r="B2625" s="4"/>
      <c r="C2625" s="75"/>
      <c r="D2625" s="76"/>
      <c r="E2625" s="5"/>
      <c r="F2625" s="5"/>
    </row>
    <row r="2626" spans="1:6" x14ac:dyDescent="0.3">
      <c r="A2626" s="1"/>
      <c r="B2626" s="4"/>
      <c r="C2626" s="75"/>
      <c r="D2626" s="76"/>
      <c r="E2626" s="5"/>
      <c r="F2626" s="5"/>
    </row>
    <row r="2627" spans="1:6" x14ac:dyDescent="0.3">
      <c r="A2627" s="1"/>
      <c r="B2627" s="4"/>
      <c r="C2627" s="75"/>
      <c r="D2627" s="76"/>
      <c r="E2627" s="5"/>
      <c r="F2627" s="5"/>
    </row>
    <row r="2628" spans="1:6" x14ac:dyDescent="0.3">
      <c r="A2628" s="1"/>
      <c r="B2628" s="4"/>
      <c r="C2628" s="75"/>
      <c r="D2628" s="76"/>
      <c r="E2628" s="5"/>
      <c r="F2628" s="5"/>
    </row>
    <row r="2629" spans="1:6" x14ac:dyDescent="0.3">
      <c r="A2629" s="1"/>
      <c r="B2629" s="4"/>
      <c r="C2629" s="75"/>
      <c r="D2629" s="76"/>
      <c r="E2629" s="5"/>
      <c r="F2629" s="5"/>
    </row>
    <row r="2630" spans="1:6" x14ac:dyDescent="0.3">
      <c r="A2630" s="1"/>
      <c r="B2630" s="4"/>
      <c r="C2630" s="75"/>
      <c r="D2630" s="76"/>
      <c r="E2630" s="5"/>
      <c r="F2630" s="5"/>
    </row>
    <row r="2631" spans="1:6" x14ac:dyDescent="0.3">
      <c r="A2631" s="1"/>
      <c r="B2631" s="4"/>
      <c r="C2631" s="75"/>
      <c r="D2631" s="76"/>
      <c r="E2631" s="5"/>
      <c r="F2631" s="5"/>
    </row>
    <row r="2632" spans="1:6" x14ac:dyDescent="0.3">
      <c r="A2632" s="1"/>
      <c r="B2632" s="4"/>
      <c r="C2632" s="75"/>
      <c r="D2632" s="76"/>
      <c r="E2632" s="5"/>
      <c r="F2632" s="5"/>
    </row>
    <row r="2633" spans="1:6" x14ac:dyDescent="0.3">
      <c r="A2633" s="1"/>
      <c r="B2633" s="4"/>
      <c r="C2633" s="75"/>
      <c r="D2633" s="76"/>
      <c r="E2633" s="5"/>
      <c r="F2633" s="5"/>
    </row>
    <row r="2634" spans="1:6" x14ac:dyDescent="0.3">
      <c r="A2634" s="1"/>
      <c r="B2634" s="4"/>
      <c r="C2634" s="75"/>
      <c r="D2634" s="76"/>
      <c r="E2634" s="5"/>
      <c r="F2634" s="5"/>
    </row>
    <row r="2635" spans="1:6" x14ac:dyDescent="0.3">
      <c r="A2635" s="1"/>
      <c r="B2635" s="4"/>
      <c r="C2635" s="75"/>
      <c r="D2635" s="76"/>
      <c r="E2635" s="5"/>
      <c r="F2635" s="5"/>
    </row>
    <row r="2636" spans="1:6" x14ac:dyDescent="0.3">
      <c r="A2636" s="1"/>
      <c r="B2636" s="4"/>
      <c r="C2636" s="75"/>
      <c r="D2636" s="76"/>
      <c r="E2636" s="5"/>
      <c r="F2636" s="5"/>
    </row>
    <row r="2637" spans="1:6" x14ac:dyDescent="0.3">
      <c r="A2637" s="1"/>
      <c r="B2637" s="4"/>
      <c r="C2637" s="75"/>
      <c r="D2637" s="76"/>
      <c r="E2637" s="5"/>
      <c r="F2637" s="5"/>
    </row>
    <row r="2638" spans="1:6" x14ac:dyDescent="0.3">
      <c r="A2638" s="1"/>
      <c r="B2638" s="4"/>
      <c r="C2638" s="75"/>
      <c r="D2638" s="76"/>
      <c r="E2638" s="5"/>
      <c r="F2638" s="5"/>
    </row>
    <row r="2639" spans="1:6" x14ac:dyDescent="0.3">
      <c r="A2639" s="1"/>
      <c r="B2639" s="4"/>
      <c r="C2639" s="75"/>
      <c r="D2639" s="76"/>
      <c r="E2639" s="5"/>
      <c r="F2639" s="5"/>
    </row>
    <row r="2640" spans="1:6" x14ac:dyDescent="0.3">
      <c r="A2640" s="1"/>
      <c r="B2640" s="4"/>
      <c r="C2640" s="75"/>
      <c r="D2640" s="76"/>
      <c r="E2640" s="5"/>
      <c r="F2640" s="5"/>
    </row>
    <row r="2641" spans="1:6" x14ac:dyDescent="0.3">
      <c r="A2641" s="1"/>
      <c r="B2641" s="4"/>
      <c r="C2641" s="75"/>
      <c r="D2641" s="76"/>
      <c r="E2641" s="5"/>
      <c r="F2641" s="5"/>
    </row>
    <row r="2642" spans="1:6" x14ac:dyDescent="0.3">
      <c r="A2642" s="1"/>
      <c r="B2642" s="4"/>
      <c r="C2642" s="75"/>
      <c r="D2642" s="76"/>
      <c r="E2642" s="5"/>
      <c r="F2642" s="5"/>
    </row>
    <row r="2643" spans="1:6" x14ac:dyDescent="0.3">
      <c r="A2643" s="1"/>
      <c r="B2643" s="4"/>
      <c r="C2643" s="75"/>
      <c r="D2643" s="76"/>
      <c r="E2643" s="5"/>
      <c r="F2643" s="5"/>
    </row>
    <row r="2644" spans="1:6" x14ac:dyDescent="0.3">
      <c r="A2644" s="1"/>
      <c r="B2644" s="4"/>
      <c r="C2644" s="75"/>
      <c r="D2644" s="76"/>
      <c r="E2644" s="5"/>
      <c r="F2644" s="5"/>
    </row>
    <row r="2645" spans="1:6" x14ac:dyDescent="0.3">
      <c r="A2645" s="1"/>
      <c r="B2645" s="4"/>
      <c r="C2645" s="75"/>
      <c r="D2645" s="76"/>
      <c r="E2645" s="5"/>
      <c r="F2645" s="5"/>
    </row>
    <row r="2646" spans="1:6" x14ac:dyDescent="0.3">
      <c r="A2646" s="1"/>
      <c r="B2646" s="4"/>
      <c r="C2646" s="75"/>
      <c r="D2646" s="76"/>
      <c r="E2646" s="5"/>
      <c r="F2646" s="5"/>
    </row>
    <row r="2647" spans="1:6" x14ac:dyDescent="0.3">
      <c r="A2647" s="1"/>
      <c r="B2647" s="4"/>
      <c r="C2647" s="75"/>
      <c r="D2647" s="76"/>
      <c r="E2647" s="5"/>
      <c r="F2647" s="5"/>
    </row>
    <row r="2648" spans="1:6" x14ac:dyDescent="0.3">
      <c r="A2648" s="1"/>
      <c r="B2648" s="4"/>
      <c r="C2648" s="75"/>
      <c r="D2648" s="76"/>
      <c r="E2648" s="5"/>
      <c r="F2648" s="5"/>
    </row>
    <row r="2649" spans="1:6" x14ac:dyDescent="0.3">
      <c r="A2649" s="1"/>
      <c r="B2649" s="4"/>
      <c r="C2649" s="75"/>
      <c r="D2649" s="76"/>
      <c r="E2649" s="5"/>
      <c r="F2649" s="5"/>
    </row>
    <row r="2650" spans="1:6" x14ac:dyDescent="0.3">
      <c r="A2650" s="1"/>
      <c r="B2650" s="4"/>
      <c r="C2650" s="75"/>
      <c r="D2650" s="76"/>
      <c r="E2650" s="5"/>
      <c r="F2650" s="5"/>
    </row>
    <row r="2651" spans="1:6" x14ac:dyDescent="0.3">
      <c r="A2651" s="1"/>
      <c r="B2651" s="4"/>
      <c r="C2651" s="75"/>
      <c r="D2651" s="76"/>
      <c r="E2651" s="5"/>
      <c r="F2651" s="5"/>
    </row>
    <row r="2652" spans="1:6" x14ac:dyDescent="0.3">
      <c r="A2652" s="1"/>
      <c r="B2652" s="4"/>
      <c r="C2652" s="75"/>
      <c r="D2652" s="76"/>
      <c r="E2652" s="5"/>
      <c r="F2652" s="5"/>
    </row>
    <row r="2653" spans="1:6" x14ac:dyDescent="0.3">
      <c r="A2653" s="1"/>
      <c r="B2653" s="4"/>
      <c r="C2653" s="75"/>
      <c r="D2653" s="76"/>
      <c r="E2653" s="5"/>
      <c r="F2653" s="5"/>
    </row>
    <row r="2654" spans="1:6" x14ac:dyDescent="0.3">
      <c r="A2654" s="1"/>
      <c r="B2654" s="4"/>
      <c r="C2654" s="75"/>
      <c r="D2654" s="76"/>
      <c r="E2654" s="5"/>
      <c r="F2654" s="5"/>
    </row>
    <row r="2655" spans="1:6" x14ac:dyDescent="0.3">
      <c r="A2655" s="1"/>
      <c r="B2655" s="4"/>
      <c r="C2655" s="75"/>
      <c r="D2655" s="76"/>
      <c r="E2655" s="5"/>
      <c r="F2655" s="5"/>
    </row>
    <row r="2656" spans="1:6" x14ac:dyDescent="0.3">
      <c r="A2656" s="1"/>
      <c r="B2656" s="4"/>
      <c r="C2656" s="75"/>
      <c r="D2656" s="76"/>
      <c r="E2656" s="5"/>
      <c r="F2656" s="5"/>
    </row>
    <row r="2657" spans="1:6" x14ac:dyDescent="0.3">
      <c r="A2657" s="1"/>
      <c r="B2657" s="4"/>
      <c r="C2657" s="75"/>
      <c r="D2657" s="76"/>
      <c r="E2657" s="5"/>
      <c r="F2657" s="5"/>
    </row>
    <row r="2658" spans="1:6" x14ac:dyDescent="0.3">
      <c r="A2658" s="1"/>
      <c r="B2658" s="4"/>
      <c r="C2658" s="75"/>
      <c r="D2658" s="76"/>
      <c r="E2658" s="5"/>
      <c r="F2658" s="5"/>
    </row>
    <row r="2659" spans="1:6" x14ac:dyDescent="0.3">
      <c r="A2659" s="1"/>
      <c r="B2659" s="4"/>
      <c r="C2659" s="75"/>
      <c r="D2659" s="76"/>
      <c r="E2659" s="5"/>
      <c r="F2659" s="5"/>
    </row>
    <row r="2660" spans="1:6" x14ac:dyDescent="0.3">
      <c r="A2660" s="1"/>
      <c r="B2660" s="4"/>
      <c r="C2660" s="75"/>
      <c r="D2660" s="76"/>
      <c r="E2660" s="5"/>
      <c r="F2660" s="5"/>
    </row>
    <row r="2661" spans="1:6" x14ac:dyDescent="0.3">
      <c r="A2661" s="1"/>
      <c r="B2661" s="4"/>
      <c r="C2661" s="75"/>
      <c r="D2661" s="76"/>
      <c r="E2661" s="5"/>
      <c r="F2661" s="5"/>
    </row>
    <row r="2662" spans="1:6" x14ac:dyDescent="0.3">
      <c r="A2662" s="1"/>
      <c r="B2662" s="4"/>
      <c r="C2662" s="75"/>
      <c r="D2662" s="76"/>
      <c r="E2662" s="5"/>
      <c r="F2662" s="5"/>
    </row>
    <row r="2663" spans="1:6" x14ac:dyDescent="0.3">
      <c r="A2663" s="1"/>
      <c r="B2663" s="4"/>
      <c r="C2663" s="75"/>
      <c r="D2663" s="76"/>
      <c r="E2663" s="5"/>
      <c r="F2663" s="5"/>
    </row>
    <row r="2664" spans="1:6" x14ac:dyDescent="0.3">
      <c r="A2664" s="1"/>
      <c r="B2664" s="4"/>
      <c r="C2664" s="75"/>
      <c r="D2664" s="76"/>
      <c r="E2664" s="5"/>
      <c r="F2664" s="5"/>
    </row>
    <row r="2665" spans="1:6" x14ac:dyDescent="0.3">
      <c r="A2665" s="1"/>
      <c r="B2665" s="4"/>
      <c r="C2665" s="75"/>
      <c r="D2665" s="76"/>
      <c r="E2665" s="5"/>
      <c r="F2665" s="5"/>
    </row>
    <row r="2666" spans="1:6" x14ac:dyDescent="0.3">
      <c r="A2666" s="1"/>
      <c r="B2666" s="4"/>
      <c r="C2666" s="75"/>
      <c r="D2666" s="76"/>
      <c r="E2666" s="5"/>
      <c r="F2666" s="5"/>
    </row>
    <row r="2667" spans="1:6" x14ac:dyDescent="0.3">
      <c r="A2667" s="1"/>
      <c r="B2667" s="4"/>
      <c r="C2667" s="75"/>
      <c r="D2667" s="76"/>
      <c r="E2667" s="5"/>
      <c r="F2667" s="5"/>
    </row>
    <row r="2668" spans="1:6" x14ac:dyDescent="0.3">
      <c r="A2668" s="1"/>
      <c r="B2668" s="4"/>
      <c r="C2668" s="75"/>
      <c r="D2668" s="76"/>
      <c r="E2668" s="5"/>
      <c r="F2668" s="5"/>
    </row>
    <row r="2669" spans="1:6" x14ac:dyDescent="0.3">
      <c r="A2669" s="1"/>
      <c r="B2669" s="4"/>
      <c r="C2669" s="75"/>
      <c r="D2669" s="76"/>
      <c r="E2669" s="5"/>
      <c r="F2669" s="5"/>
    </row>
    <row r="2670" spans="1:6" x14ac:dyDescent="0.3">
      <c r="A2670" s="1"/>
      <c r="B2670" s="4"/>
      <c r="C2670" s="75"/>
      <c r="D2670" s="76"/>
      <c r="E2670" s="5"/>
      <c r="F2670" s="5"/>
    </row>
    <row r="2671" spans="1:6" x14ac:dyDescent="0.3">
      <c r="A2671" s="1"/>
      <c r="B2671" s="4"/>
      <c r="C2671" s="75"/>
      <c r="D2671" s="76"/>
      <c r="E2671" s="5"/>
      <c r="F2671" s="5"/>
    </row>
    <row r="2672" spans="1:6" x14ac:dyDescent="0.3">
      <c r="A2672" s="1"/>
      <c r="B2672" s="4"/>
      <c r="C2672" s="75"/>
      <c r="D2672" s="76"/>
      <c r="E2672" s="5"/>
      <c r="F2672" s="5"/>
    </row>
    <row r="2673" spans="1:6" x14ac:dyDescent="0.3">
      <c r="A2673" s="1"/>
      <c r="B2673" s="4"/>
      <c r="C2673" s="75"/>
      <c r="D2673" s="76"/>
      <c r="E2673" s="5"/>
      <c r="F2673" s="5"/>
    </row>
    <row r="2674" spans="1:6" x14ac:dyDescent="0.3">
      <c r="A2674" s="1"/>
      <c r="B2674" s="4"/>
      <c r="C2674" s="75"/>
      <c r="D2674" s="76"/>
      <c r="E2674" s="5"/>
      <c r="F2674" s="5"/>
    </row>
    <row r="2675" spans="1:6" x14ac:dyDescent="0.3">
      <c r="A2675" s="1"/>
      <c r="B2675" s="4"/>
      <c r="C2675" s="75"/>
      <c r="D2675" s="76"/>
      <c r="E2675" s="5"/>
      <c r="F2675" s="5"/>
    </row>
    <row r="2676" spans="1:6" x14ac:dyDescent="0.3">
      <c r="A2676" s="1"/>
      <c r="B2676" s="4"/>
      <c r="C2676" s="75"/>
      <c r="D2676" s="76"/>
      <c r="E2676" s="5"/>
      <c r="F2676" s="5"/>
    </row>
    <row r="2677" spans="1:6" x14ac:dyDescent="0.3">
      <c r="A2677" s="1"/>
      <c r="B2677" s="4"/>
      <c r="C2677" s="75"/>
      <c r="D2677" s="76"/>
      <c r="E2677" s="5"/>
      <c r="F2677" s="5"/>
    </row>
    <row r="2678" spans="1:6" x14ac:dyDescent="0.3">
      <c r="A2678" s="1"/>
      <c r="B2678" s="4"/>
      <c r="C2678" s="75"/>
      <c r="D2678" s="76"/>
      <c r="E2678" s="5"/>
      <c r="F2678" s="5"/>
    </row>
    <row r="2679" spans="1:6" x14ac:dyDescent="0.3">
      <c r="A2679" s="1"/>
      <c r="B2679" s="4"/>
      <c r="C2679" s="75"/>
      <c r="D2679" s="76"/>
      <c r="E2679" s="5"/>
      <c r="F2679" s="5"/>
    </row>
    <row r="2680" spans="1:6" x14ac:dyDescent="0.3">
      <c r="A2680" s="1"/>
      <c r="B2680" s="4"/>
      <c r="C2680" s="75"/>
      <c r="D2680" s="76"/>
      <c r="E2680" s="5"/>
      <c r="F2680" s="5"/>
    </row>
    <row r="2681" spans="1:6" x14ac:dyDescent="0.3">
      <c r="A2681" s="1"/>
      <c r="B2681" s="4"/>
      <c r="C2681" s="75"/>
      <c r="D2681" s="76"/>
      <c r="E2681" s="5"/>
      <c r="F2681" s="5"/>
    </row>
    <row r="2682" spans="1:6" x14ac:dyDescent="0.3">
      <c r="A2682" s="1"/>
      <c r="B2682" s="4"/>
      <c r="C2682" s="75"/>
      <c r="D2682" s="76"/>
      <c r="E2682" s="5"/>
      <c r="F2682" s="5"/>
    </row>
    <row r="2683" spans="1:6" x14ac:dyDescent="0.3">
      <c r="A2683" s="1"/>
      <c r="B2683" s="4"/>
      <c r="C2683" s="75"/>
      <c r="D2683" s="76"/>
      <c r="E2683" s="5"/>
      <c r="F2683" s="5"/>
    </row>
    <row r="2684" spans="1:6" x14ac:dyDescent="0.3">
      <c r="A2684" s="1"/>
      <c r="B2684" s="4"/>
      <c r="C2684" s="75"/>
      <c r="D2684" s="76"/>
      <c r="E2684" s="5"/>
      <c r="F2684" s="5"/>
    </row>
    <row r="2685" spans="1:6" x14ac:dyDescent="0.3">
      <c r="A2685" s="1"/>
      <c r="B2685" s="4"/>
      <c r="C2685" s="75"/>
      <c r="D2685" s="76"/>
      <c r="E2685" s="5"/>
      <c r="F2685" s="5"/>
    </row>
    <row r="2686" spans="1:6" x14ac:dyDescent="0.3">
      <c r="A2686" s="1"/>
      <c r="B2686" s="4"/>
      <c r="C2686" s="75"/>
      <c r="D2686" s="76"/>
      <c r="E2686" s="5"/>
      <c r="F2686" s="5"/>
    </row>
    <row r="2687" spans="1:6" x14ac:dyDescent="0.3">
      <c r="A2687" s="1"/>
      <c r="B2687" s="4"/>
      <c r="C2687" s="75"/>
      <c r="D2687" s="76"/>
      <c r="E2687" s="5"/>
      <c r="F2687" s="5"/>
    </row>
    <row r="2688" spans="1:6" x14ac:dyDescent="0.3">
      <c r="A2688" s="1"/>
      <c r="B2688" s="4"/>
      <c r="C2688" s="75"/>
      <c r="D2688" s="76"/>
      <c r="E2688" s="5"/>
      <c r="F2688" s="5"/>
    </row>
    <row r="2689" spans="1:6" x14ac:dyDescent="0.3">
      <c r="A2689" s="1"/>
      <c r="B2689" s="4"/>
      <c r="C2689" s="75"/>
      <c r="D2689" s="76"/>
      <c r="E2689" s="5"/>
      <c r="F2689" s="5"/>
    </row>
    <row r="2690" spans="1:6" x14ac:dyDescent="0.3">
      <c r="A2690" s="1"/>
      <c r="B2690" s="4"/>
      <c r="C2690" s="75"/>
      <c r="D2690" s="76"/>
      <c r="E2690" s="5"/>
      <c r="F2690" s="5"/>
    </row>
    <row r="2691" spans="1:6" x14ac:dyDescent="0.3">
      <c r="A2691" s="1"/>
      <c r="B2691" s="4"/>
      <c r="C2691" s="75"/>
      <c r="D2691" s="76"/>
      <c r="E2691" s="5"/>
      <c r="F2691" s="5"/>
    </row>
    <row r="2692" spans="1:6" x14ac:dyDescent="0.3">
      <c r="A2692" s="1"/>
      <c r="B2692" s="4"/>
      <c r="C2692" s="75"/>
      <c r="D2692" s="76"/>
      <c r="E2692" s="5"/>
      <c r="F2692" s="5"/>
    </row>
    <row r="2693" spans="1:6" x14ac:dyDescent="0.3">
      <c r="A2693" s="1"/>
      <c r="B2693" s="4"/>
      <c r="C2693" s="75"/>
      <c r="D2693" s="76"/>
      <c r="E2693" s="5"/>
      <c r="F2693" s="5"/>
    </row>
    <row r="2694" spans="1:6" x14ac:dyDescent="0.3">
      <c r="A2694" s="1"/>
      <c r="B2694" s="4"/>
      <c r="C2694" s="75"/>
      <c r="D2694" s="76"/>
      <c r="E2694" s="5"/>
      <c r="F2694" s="5"/>
    </row>
    <row r="2695" spans="1:6" x14ac:dyDescent="0.3">
      <c r="A2695" s="1"/>
      <c r="B2695" s="4"/>
      <c r="C2695" s="75"/>
      <c r="D2695" s="76"/>
      <c r="E2695" s="5"/>
      <c r="F2695" s="5"/>
    </row>
    <row r="2696" spans="1:6" x14ac:dyDescent="0.3">
      <c r="A2696" s="1"/>
      <c r="B2696" s="4"/>
      <c r="C2696" s="75"/>
      <c r="D2696" s="76"/>
      <c r="E2696" s="5"/>
      <c r="F2696" s="5"/>
    </row>
    <row r="2697" spans="1:6" x14ac:dyDescent="0.3">
      <c r="A2697" s="1"/>
      <c r="B2697" s="4"/>
      <c r="C2697" s="75"/>
      <c r="D2697" s="76"/>
      <c r="E2697" s="5"/>
      <c r="F2697" s="5"/>
    </row>
    <row r="2698" spans="1:6" x14ac:dyDescent="0.3">
      <c r="A2698" s="1"/>
      <c r="B2698" s="4"/>
      <c r="C2698" s="75"/>
      <c r="D2698" s="76"/>
      <c r="E2698" s="5"/>
      <c r="F2698" s="5"/>
    </row>
    <row r="2699" spans="1:6" x14ac:dyDescent="0.3">
      <c r="A2699" s="1"/>
      <c r="B2699" s="4"/>
      <c r="C2699" s="75"/>
      <c r="D2699" s="76"/>
      <c r="E2699" s="5"/>
      <c r="F2699" s="5"/>
    </row>
    <row r="2700" spans="1:6" x14ac:dyDescent="0.3">
      <c r="A2700" s="1"/>
      <c r="B2700" s="4"/>
      <c r="C2700" s="75"/>
      <c r="D2700" s="76"/>
      <c r="E2700" s="5"/>
      <c r="F2700" s="5"/>
    </row>
    <row r="2701" spans="1:6" x14ac:dyDescent="0.3">
      <c r="A2701" s="1"/>
      <c r="B2701" s="4"/>
      <c r="C2701" s="75"/>
      <c r="D2701" s="76"/>
      <c r="E2701" s="5"/>
      <c r="F2701" s="5"/>
    </row>
    <row r="2702" spans="1:6" x14ac:dyDescent="0.3">
      <c r="A2702" s="1"/>
      <c r="B2702" s="4"/>
      <c r="C2702" s="75"/>
      <c r="D2702" s="76"/>
      <c r="E2702" s="5"/>
      <c r="F2702" s="5"/>
    </row>
    <row r="2703" spans="1:6" x14ac:dyDescent="0.3">
      <c r="A2703" s="1"/>
      <c r="B2703" s="4"/>
      <c r="C2703" s="75"/>
      <c r="D2703" s="76"/>
      <c r="E2703" s="5"/>
      <c r="F2703" s="5"/>
    </row>
    <row r="2704" spans="1:6" x14ac:dyDescent="0.3">
      <c r="A2704" s="1"/>
      <c r="B2704" s="4"/>
      <c r="C2704" s="75"/>
      <c r="D2704" s="76"/>
      <c r="E2704" s="5"/>
      <c r="F2704" s="5"/>
    </row>
    <row r="2705" spans="1:6" x14ac:dyDescent="0.3">
      <c r="A2705" s="1"/>
      <c r="B2705" s="4"/>
      <c r="C2705" s="75"/>
      <c r="D2705" s="76"/>
      <c r="E2705" s="5"/>
      <c r="F2705" s="5"/>
    </row>
    <row r="2706" spans="1:6" x14ac:dyDescent="0.3">
      <c r="A2706" s="1"/>
      <c r="B2706" s="4"/>
      <c r="C2706" s="75"/>
      <c r="D2706" s="76"/>
      <c r="E2706" s="5"/>
      <c r="F2706" s="5"/>
    </row>
    <row r="2707" spans="1:6" x14ac:dyDescent="0.3">
      <c r="A2707" s="1"/>
      <c r="B2707" s="4"/>
      <c r="C2707" s="75"/>
      <c r="D2707" s="76"/>
      <c r="E2707" s="5"/>
      <c r="F2707" s="5"/>
    </row>
    <row r="2708" spans="1:6" x14ac:dyDescent="0.3">
      <c r="A2708" s="1"/>
      <c r="B2708" s="4"/>
      <c r="C2708" s="75"/>
      <c r="D2708" s="76"/>
      <c r="E2708" s="5"/>
      <c r="F2708" s="5"/>
    </row>
    <row r="2709" spans="1:6" x14ac:dyDescent="0.3">
      <c r="A2709" s="1"/>
      <c r="B2709" s="4"/>
      <c r="C2709" s="75"/>
      <c r="D2709" s="76"/>
      <c r="E2709" s="5"/>
      <c r="F2709" s="5"/>
    </row>
    <row r="2710" spans="1:6" x14ac:dyDescent="0.3">
      <c r="A2710" s="1"/>
      <c r="B2710" s="4"/>
      <c r="C2710" s="75"/>
      <c r="D2710" s="76"/>
      <c r="E2710" s="5"/>
      <c r="F2710" s="5"/>
    </row>
    <row r="2711" spans="1:6" x14ac:dyDescent="0.3">
      <c r="A2711" s="1"/>
      <c r="B2711" s="4"/>
      <c r="C2711" s="75"/>
      <c r="D2711" s="76"/>
      <c r="E2711" s="5"/>
      <c r="F2711" s="5"/>
    </row>
    <row r="2712" spans="1:6" x14ac:dyDescent="0.3">
      <c r="A2712" s="1"/>
      <c r="B2712" s="4"/>
      <c r="C2712" s="75"/>
      <c r="D2712" s="76"/>
      <c r="E2712" s="5"/>
      <c r="F2712" s="5"/>
    </row>
    <row r="2713" spans="1:6" x14ac:dyDescent="0.3">
      <c r="A2713" s="1"/>
      <c r="B2713" s="4"/>
      <c r="C2713" s="75"/>
      <c r="D2713" s="76"/>
      <c r="E2713" s="5"/>
      <c r="F2713" s="5"/>
    </row>
    <row r="2714" spans="1:6" x14ac:dyDescent="0.3">
      <c r="A2714" s="1"/>
      <c r="B2714" s="4"/>
      <c r="C2714" s="75"/>
      <c r="D2714" s="76"/>
      <c r="E2714" s="5"/>
      <c r="F2714" s="5"/>
    </row>
    <row r="2715" spans="1:6" x14ac:dyDescent="0.3">
      <c r="A2715" s="1"/>
      <c r="B2715" s="4"/>
      <c r="C2715" s="75"/>
      <c r="D2715" s="76"/>
      <c r="E2715" s="5"/>
      <c r="F2715" s="5"/>
    </row>
    <row r="2716" spans="1:6" x14ac:dyDescent="0.3">
      <c r="A2716" s="1"/>
      <c r="B2716" s="4"/>
      <c r="C2716" s="75"/>
      <c r="D2716" s="76"/>
      <c r="E2716" s="5"/>
      <c r="F2716" s="5"/>
    </row>
    <row r="2717" spans="1:6" x14ac:dyDescent="0.3">
      <c r="A2717" s="1"/>
      <c r="B2717" s="4"/>
      <c r="C2717" s="75"/>
      <c r="D2717" s="76"/>
      <c r="E2717" s="5"/>
      <c r="F2717" s="5"/>
    </row>
    <row r="2718" spans="1:6" x14ac:dyDescent="0.3">
      <c r="A2718" s="1"/>
      <c r="B2718" s="4"/>
      <c r="C2718" s="75"/>
      <c r="D2718" s="76"/>
      <c r="E2718" s="5"/>
      <c r="F2718" s="5"/>
    </row>
    <row r="2719" spans="1:6" x14ac:dyDescent="0.3">
      <c r="A2719" s="1"/>
      <c r="B2719" s="4"/>
      <c r="C2719" s="75"/>
      <c r="D2719" s="76"/>
      <c r="E2719" s="5"/>
      <c r="F2719" s="5"/>
    </row>
    <row r="2720" spans="1:6" x14ac:dyDescent="0.3">
      <c r="A2720" s="1"/>
      <c r="B2720" s="4"/>
      <c r="C2720" s="75"/>
      <c r="D2720" s="76"/>
      <c r="E2720" s="5"/>
      <c r="F2720" s="5"/>
    </row>
    <row r="2721" spans="1:6" x14ac:dyDescent="0.3">
      <c r="A2721" s="1"/>
      <c r="B2721" s="4"/>
      <c r="C2721" s="75"/>
      <c r="D2721" s="76"/>
      <c r="E2721" s="5"/>
      <c r="F2721" s="5"/>
    </row>
    <row r="2722" spans="1:6" x14ac:dyDescent="0.3">
      <c r="A2722" s="1"/>
      <c r="B2722" s="4"/>
      <c r="C2722" s="75"/>
      <c r="D2722" s="76"/>
      <c r="E2722" s="5"/>
      <c r="F2722" s="5"/>
    </row>
    <row r="2723" spans="1:6" x14ac:dyDescent="0.3">
      <c r="A2723" s="1"/>
      <c r="B2723" s="4"/>
      <c r="C2723" s="75"/>
      <c r="D2723" s="76"/>
      <c r="E2723" s="5"/>
      <c r="F2723" s="5"/>
    </row>
    <row r="2724" spans="1:6" x14ac:dyDescent="0.3">
      <c r="A2724" s="1"/>
      <c r="B2724" s="4"/>
      <c r="C2724" s="75"/>
      <c r="D2724" s="76"/>
      <c r="E2724" s="5"/>
      <c r="F2724" s="5"/>
    </row>
    <row r="2725" spans="1:6" x14ac:dyDescent="0.3">
      <c r="A2725" s="1"/>
      <c r="B2725" s="4"/>
      <c r="C2725" s="75"/>
      <c r="D2725" s="76"/>
      <c r="E2725" s="5"/>
      <c r="F2725" s="5"/>
    </row>
    <row r="2726" spans="1:6" x14ac:dyDescent="0.3">
      <c r="A2726" s="1"/>
      <c r="B2726" s="4"/>
      <c r="C2726" s="75"/>
      <c r="D2726" s="76"/>
      <c r="E2726" s="5"/>
      <c r="F2726" s="5"/>
    </row>
    <row r="2727" spans="1:6" x14ac:dyDescent="0.3">
      <c r="A2727" s="1"/>
      <c r="B2727" s="4"/>
      <c r="C2727" s="75"/>
      <c r="D2727" s="76"/>
      <c r="E2727" s="5"/>
      <c r="F2727" s="5"/>
    </row>
    <row r="2728" spans="1:6" x14ac:dyDescent="0.3">
      <c r="A2728" s="1"/>
      <c r="B2728" s="4"/>
      <c r="C2728" s="75"/>
      <c r="D2728" s="76"/>
      <c r="E2728" s="5"/>
      <c r="F2728" s="5"/>
    </row>
    <row r="2729" spans="1:6" x14ac:dyDescent="0.3">
      <c r="A2729" s="1"/>
      <c r="B2729" s="4"/>
      <c r="C2729" s="75"/>
      <c r="D2729" s="76"/>
      <c r="E2729" s="5"/>
      <c r="F2729" s="5"/>
    </row>
    <row r="2730" spans="1:6" x14ac:dyDescent="0.3">
      <c r="A2730" s="1"/>
      <c r="B2730" s="4"/>
      <c r="C2730" s="75"/>
      <c r="D2730" s="76"/>
      <c r="E2730" s="5"/>
      <c r="F2730" s="5"/>
    </row>
    <row r="2731" spans="1:6" x14ac:dyDescent="0.3">
      <c r="A2731" s="1"/>
      <c r="B2731" s="4"/>
      <c r="C2731" s="75"/>
      <c r="D2731" s="76"/>
      <c r="E2731" s="5"/>
      <c r="F2731" s="5"/>
    </row>
    <row r="2732" spans="1:6" x14ac:dyDescent="0.3">
      <c r="A2732" s="1"/>
      <c r="B2732" s="4"/>
      <c r="C2732" s="75"/>
      <c r="D2732" s="76"/>
      <c r="E2732" s="5"/>
      <c r="F2732" s="5"/>
    </row>
    <row r="2733" spans="1:6" x14ac:dyDescent="0.3">
      <c r="A2733" s="1"/>
      <c r="B2733" s="4"/>
      <c r="C2733" s="75"/>
      <c r="D2733" s="76"/>
      <c r="E2733" s="5"/>
      <c r="F2733" s="5"/>
    </row>
    <row r="2734" spans="1:6" x14ac:dyDescent="0.3">
      <c r="A2734" s="1"/>
      <c r="B2734" s="4"/>
      <c r="C2734" s="75"/>
      <c r="D2734" s="76"/>
      <c r="E2734" s="5"/>
      <c r="F2734" s="5"/>
    </row>
    <row r="2735" spans="1:6" x14ac:dyDescent="0.3">
      <c r="A2735" s="1"/>
      <c r="B2735" s="4"/>
      <c r="C2735" s="75"/>
      <c r="D2735" s="76"/>
      <c r="E2735" s="5"/>
      <c r="F2735" s="5"/>
    </row>
    <row r="2736" spans="1:6" x14ac:dyDescent="0.3">
      <c r="A2736" s="1"/>
      <c r="B2736" s="4"/>
      <c r="C2736" s="75"/>
      <c r="D2736" s="76"/>
      <c r="E2736" s="5"/>
      <c r="F2736" s="5"/>
    </row>
    <row r="2737" spans="1:6" x14ac:dyDescent="0.3">
      <c r="A2737" s="1"/>
      <c r="B2737" s="4"/>
      <c r="C2737" s="75"/>
      <c r="D2737" s="76"/>
      <c r="E2737" s="5"/>
      <c r="F2737" s="5"/>
    </row>
    <row r="2738" spans="1:6" x14ac:dyDescent="0.3">
      <c r="A2738" s="1"/>
      <c r="B2738" s="4"/>
      <c r="C2738" s="75"/>
      <c r="D2738" s="76"/>
      <c r="E2738" s="5"/>
      <c r="F2738" s="5"/>
    </row>
    <row r="2739" spans="1:6" x14ac:dyDescent="0.3">
      <c r="A2739" s="1"/>
      <c r="B2739" s="4"/>
      <c r="C2739" s="75"/>
      <c r="D2739" s="76"/>
      <c r="E2739" s="5"/>
      <c r="F2739" s="5"/>
    </row>
    <row r="2740" spans="1:6" x14ac:dyDescent="0.3">
      <c r="A2740" s="1"/>
      <c r="B2740" s="4"/>
      <c r="C2740" s="75"/>
      <c r="D2740" s="76"/>
      <c r="E2740" s="5"/>
      <c r="F2740" s="5"/>
    </row>
    <row r="2741" spans="1:6" x14ac:dyDescent="0.3">
      <c r="A2741" s="1"/>
      <c r="B2741" s="4"/>
      <c r="C2741" s="75"/>
      <c r="D2741" s="76"/>
      <c r="E2741" s="5"/>
      <c r="F2741" s="5"/>
    </row>
    <row r="2742" spans="1:6" x14ac:dyDescent="0.3">
      <c r="A2742" s="1"/>
      <c r="B2742" s="4"/>
      <c r="C2742" s="75"/>
      <c r="D2742" s="76"/>
      <c r="E2742" s="5"/>
      <c r="F2742" s="5"/>
    </row>
    <row r="2743" spans="1:6" x14ac:dyDescent="0.3">
      <c r="A2743" s="1"/>
      <c r="B2743" s="4"/>
      <c r="C2743" s="75"/>
      <c r="D2743" s="76"/>
      <c r="E2743" s="5"/>
      <c r="F2743" s="5"/>
    </row>
    <row r="2744" spans="1:6" x14ac:dyDescent="0.3">
      <c r="A2744" s="1"/>
      <c r="B2744" s="4"/>
      <c r="C2744" s="75"/>
      <c r="D2744" s="76"/>
      <c r="E2744" s="5"/>
      <c r="F2744" s="5"/>
    </row>
    <row r="2745" spans="1:6" x14ac:dyDescent="0.3">
      <c r="A2745" s="1"/>
      <c r="B2745" s="4"/>
      <c r="C2745" s="75"/>
      <c r="D2745" s="76"/>
      <c r="E2745" s="5"/>
      <c r="F2745" s="5"/>
    </row>
    <row r="2746" spans="1:6" x14ac:dyDescent="0.3">
      <c r="A2746" s="1"/>
      <c r="B2746" s="4"/>
      <c r="C2746" s="75"/>
      <c r="D2746" s="76"/>
      <c r="E2746" s="5"/>
      <c r="F2746" s="5"/>
    </row>
    <row r="2747" spans="1:6" x14ac:dyDescent="0.3">
      <c r="A2747" s="1"/>
      <c r="B2747" s="4"/>
      <c r="C2747" s="75"/>
      <c r="D2747" s="76"/>
      <c r="E2747" s="5"/>
      <c r="F2747" s="5"/>
    </row>
    <row r="2748" spans="1:6" x14ac:dyDescent="0.3">
      <c r="A2748" s="1"/>
      <c r="B2748" s="4"/>
      <c r="C2748" s="75"/>
      <c r="D2748" s="76"/>
      <c r="E2748" s="5"/>
      <c r="F2748" s="5"/>
    </row>
    <row r="2749" spans="1:6" x14ac:dyDescent="0.3">
      <c r="A2749" s="1"/>
      <c r="B2749" s="4"/>
      <c r="C2749" s="75"/>
      <c r="D2749" s="76"/>
      <c r="E2749" s="5"/>
      <c r="F2749" s="5"/>
    </row>
    <row r="2750" spans="1:6" x14ac:dyDescent="0.3">
      <c r="A2750" s="1"/>
      <c r="B2750" s="4"/>
      <c r="C2750" s="75"/>
      <c r="D2750" s="76"/>
      <c r="E2750" s="5"/>
      <c r="F2750" s="5"/>
    </row>
    <row r="2751" spans="1:6" x14ac:dyDescent="0.3">
      <c r="A2751" s="1"/>
      <c r="B2751" s="4"/>
      <c r="C2751" s="75"/>
      <c r="D2751" s="76"/>
      <c r="E2751" s="5"/>
      <c r="F2751" s="5"/>
    </row>
    <row r="2752" spans="1:6" x14ac:dyDescent="0.3">
      <c r="A2752" s="1"/>
      <c r="B2752" s="4"/>
      <c r="C2752" s="75"/>
      <c r="D2752" s="76"/>
      <c r="E2752" s="5"/>
      <c r="F2752" s="5"/>
    </row>
    <row r="2753" spans="1:6" x14ac:dyDescent="0.3">
      <c r="A2753" s="1"/>
      <c r="B2753" s="4"/>
      <c r="C2753" s="75"/>
      <c r="D2753" s="76"/>
      <c r="E2753" s="5"/>
      <c r="F2753" s="5"/>
    </row>
    <row r="2754" spans="1:6" x14ac:dyDescent="0.3">
      <c r="A2754" s="1"/>
      <c r="B2754" s="4"/>
      <c r="C2754" s="75"/>
      <c r="D2754" s="76"/>
      <c r="E2754" s="5"/>
      <c r="F2754" s="5"/>
    </row>
    <row r="2755" spans="1:6" x14ac:dyDescent="0.3">
      <c r="A2755" s="1"/>
      <c r="B2755" s="4"/>
      <c r="C2755" s="75"/>
      <c r="D2755" s="76"/>
      <c r="E2755" s="5"/>
      <c r="F2755" s="5"/>
    </row>
    <row r="2756" spans="1:6" x14ac:dyDescent="0.3">
      <c r="A2756" s="1"/>
      <c r="B2756" s="4"/>
      <c r="C2756" s="75"/>
      <c r="D2756" s="76"/>
      <c r="E2756" s="5"/>
      <c r="F2756" s="5"/>
    </row>
    <row r="2757" spans="1:6" x14ac:dyDescent="0.3">
      <c r="A2757" s="1"/>
      <c r="B2757" s="4"/>
      <c r="C2757" s="75"/>
      <c r="D2757" s="76"/>
      <c r="E2757" s="5"/>
      <c r="F2757" s="5"/>
    </row>
    <row r="2758" spans="1:6" x14ac:dyDescent="0.3">
      <c r="A2758" s="1"/>
      <c r="B2758" s="4"/>
      <c r="C2758" s="75"/>
      <c r="D2758" s="76"/>
      <c r="E2758" s="5"/>
      <c r="F2758" s="5"/>
    </row>
    <row r="2759" spans="1:6" x14ac:dyDescent="0.3">
      <c r="A2759" s="1"/>
      <c r="B2759" s="4"/>
      <c r="C2759" s="75"/>
      <c r="D2759" s="76"/>
      <c r="E2759" s="5"/>
      <c r="F2759" s="5"/>
    </row>
    <row r="2760" spans="1:6" x14ac:dyDescent="0.3">
      <c r="A2760" s="1"/>
      <c r="B2760" s="4"/>
      <c r="C2760" s="75"/>
      <c r="D2760" s="76"/>
      <c r="E2760" s="5"/>
      <c r="F2760" s="5"/>
    </row>
    <row r="2761" spans="1:6" x14ac:dyDescent="0.3">
      <c r="A2761" s="1"/>
      <c r="B2761" s="4"/>
      <c r="C2761" s="75"/>
      <c r="D2761" s="76"/>
      <c r="E2761" s="5"/>
      <c r="F2761" s="5"/>
    </row>
    <row r="2762" spans="1:6" x14ac:dyDescent="0.3">
      <c r="A2762" s="1"/>
      <c r="B2762" s="4"/>
      <c r="C2762" s="75"/>
      <c r="D2762" s="76"/>
      <c r="E2762" s="5"/>
      <c r="F2762" s="5"/>
    </row>
    <row r="2763" spans="1:6" x14ac:dyDescent="0.3">
      <c r="A2763" s="1"/>
      <c r="B2763" s="4"/>
      <c r="C2763" s="75"/>
      <c r="D2763" s="76"/>
      <c r="E2763" s="5"/>
      <c r="F2763" s="5"/>
    </row>
    <row r="2764" spans="1:6" x14ac:dyDescent="0.3">
      <c r="A2764" s="1"/>
      <c r="B2764" s="4"/>
      <c r="C2764" s="75"/>
      <c r="D2764" s="76"/>
      <c r="E2764" s="5"/>
      <c r="F2764" s="5"/>
    </row>
    <row r="2765" spans="1:6" x14ac:dyDescent="0.3">
      <c r="A2765" s="1"/>
      <c r="B2765" s="4"/>
      <c r="C2765" s="75"/>
      <c r="D2765" s="76"/>
      <c r="E2765" s="5"/>
      <c r="F2765" s="5"/>
    </row>
    <row r="2766" spans="1:6" x14ac:dyDescent="0.3">
      <c r="A2766" s="1"/>
      <c r="B2766" s="4"/>
      <c r="C2766" s="75"/>
      <c r="D2766" s="76"/>
      <c r="E2766" s="5"/>
      <c r="F2766" s="5"/>
    </row>
    <row r="2767" spans="1:6" x14ac:dyDescent="0.3">
      <c r="A2767" s="1"/>
      <c r="B2767" s="4"/>
      <c r="C2767" s="75"/>
      <c r="D2767" s="76"/>
      <c r="E2767" s="5"/>
      <c r="F2767" s="5"/>
    </row>
    <row r="2768" spans="1:6" x14ac:dyDescent="0.3">
      <c r="A2768" s="1"/>
      <c r="B2768" s="4"/>
      <c r="C2768" s="75"/>
      <c r="D2768" s="76"/>
      <c r="E2768" s="5"/>
      <c r="F2768" s="5"/>
    </row>
    <row r="2769" spans="1:6" x14ac:dyDescent="0.3">
      <c r="A2769" s="1"/>
      <c r="B2769" s="4"/>
      <c r="C2769" s="75"/>
      <c r="D2769" s="76"/>
      <c r="E2769" s="5"/>
      <c r="F2769" s="5"/>
    </row>
    <row r="2770" spans="1:6" x14ac:dyDescent="0.3">
      <c r="A2770" s="1"/>
      <c r="B2770" s="4"/>
      <c r="C2770" s="75"/>
      <c r="D2770" s="76"/>
      <c r="E2770" s="5"/>
      <c r="F2770" s="5"/>
    </row>
    <row r="2771" spans="1:6" x14ac:dyDescent="0.3">
      <c r="A2771" s="1"/>
      <c r="B2771" s="4"/>
      <c r="C2771" s="75"/>
      <c r="D2771" s="76"/>
      <c r="E2771" s="5"/>
      <c r="F2771" s="5"/>
    </row>
    <row r="2772" spans="1:6" x14ac:dyDescent="0.3">
      <c r="A2772" s="1"/>
      <c r="B2772" s="4"/>
      <c r="C2772" s="75"/>
      <c r="D2772" s="76"/>
      <c r="E2772" s="5"/>
      <c r="F2772" s="5"/>
    </row>
    <row r="2773" spans="1:6" x14ac:dyDescent="0.3">
      <c r="A2773" s="1"/>
      <c r="B2773" s="4"/>
      <c r="C2773" s="75"/>
      <c r="D2773" s="76"/>
      <c r="E2773" s="5"/>
      <c r="F2773" s="5"/>
    </row>
    <row r="2774" spans="1:6" x14ac:dyDescent="0.3">
      <c r="A2774" s="1"/>
      <c r="B2774" s="4"/>
      <c r="C2774" s="75"/>
      <c r="D2774" s="76"/>
      <c r="E2774" s="5"/>
      <c r="F2774" s="5"/>
    </row>
    <row r="2775" spans="1:6" x14ac:dyDescent="0.3">
      <c r="A2775" s="1"/>
      <c r="B2775" s="4"/>
      <c r="C2775" s="75"/>
      <c r="D2775" s="76"/>
      <c r="E2775" s="5"/>
      <c r="F2775" s="5"/>
    </row>
    <row r="2776" spans="1:6" x14ac:dyDescent="0.3">
      <c r="A2776" s="1"/>
      <c r="B2776" s="4"/>
      <c r="C2776" s="75"/>
      <c r="D2776" s="76"/>
      <c r="E2776" s="5"/>
      <c r="F2776" s="5"/>
    </row>
    <row r="2777" spans="1:6" x14ac:dyDescent="0.3">
      <c r="A2777" s="1"/>
      <c r="B2777" s="4"/>
      <c r="C2777" s="75"/>
      <c r="D2777" s="76"/>
      <c r="E2777" s="5"/>
      <c r="F2777" s="5"/>
    </row>
    <row r="2778" spans="1:6" x14ac:dyDescent="0.3">
      <c r="A2778" s="1"/>
      <c r="B2778" s="4"/>
      <c r="C2778" s="75"/>
      <c r="D2778" s="76"/>
      <c r="E2778" s="5"/>
      <c r="F2778" s="5"/>
    </row>
    <row r="2779" spans="1:6" x14ac:dyDescent="0.3">
      <c r="A2779" s="1"/>
      <c r="B2779" s="4"/>
      <c r="C2779" s="75"/>
      <c r="D2779" s="76"/>
      <c r="E2779" s="5"/>
      <c r="F2779" s="5"/>
    </row>
    <row r="2780" spans="1:6" x14ac:dyDescent="0.3">
      <c r="A2780" s="1"/>
      <c r="B2780" s="4"/>
      <c r="C2780" s="75"/>
      <c r="D2780" s="76"/>
      <c r="E2780" s="5"/>
      <c r="F2780" s="5"/>
    </row>
    <row r="2781" spans="1:6" x14ac:dyDescent="0.3">
      <c r="A2781" s="1"/>
      <c r="B2781" s="4"/>
      <c r="C2781" s="75"/>
      <c r="D2781" s="76"/>
      <c r="E2781" s="5"/>
      <c r="F2781" s="5"/>
    </row>
    <row r="2782" spans="1:6" x14ac:dyDescent="0.3">
      <c r="A2782" s="1"/>
      <c r="B2782" s="4"/>
      <c r="C2782" s="75"/>
      <c r="D2782" s="76"/>
      <c r="E2782" s="5"/>
      <c r="F2782" s="5"/>
    </row>
    <row r="2783" spans="1:6" x14ac:dyDescent="0.3">
      <c r="A2783" s="1"/>
      <c r="B2783" s="4"/>
      <c r="C2783" s="75"/>
      <c r="D2783" s="76"/>
      <c r="E2783" s="5"/>
      <c r="F2783" s="5"/>
    </row>
    <row r="2784" spans="1:6" x14ac:dyDescent="0.3">
      <c r="A2784" s="1"/>
      <c r="B2784" s="4"/>
      <c r="C2784" s="75"/>
      <c r="D2784" s="76"/>
      <c r="E2784" s="5"/>
      <c r="F2784" s="5"/>
    </row>
    <row r="2785" spans="1:6" x14ac:dyDescent="0.3">
      <c r="A2785" s="1"/>
      <c r="B2785" s="4"/>
      <c r="C2785" s="75"/>
      <c r="D2785" s="76"/>
      <c r="E2785" s="5"/>
      <c r="F2785" s="5"/>
    </row>
    <row r="2786" spans="1:6" x14ac:dyDescent="0.3">
      <c r="A2786" s="1"/>
      <c r="B2786" s="4"/>
      <c r="C2786" s="75"/>
      <c r="D2786" s="76"/>
      <c r="E2786" s="5"/>
      <c r="F2786" s="5"/>
    </row>
    <row r="2787" spans="1:6" x14ac:dyDescent="0.3">
      <c r="A2787" s="1"/>
      <c r="B2787" s="4"/>
      <c r="C2787" s="75"/>
      <c r="D2787" s="76"/>
      <c r="E2787" s="5"/>
      <c r="F2787" s="5"/>
    </row>
    <row r="2788" spans="1:6" x14ac:dyDescent="0.3">
      <c r="A2788" s="1"/>
      <c r="B2788" s="4"/>
      <c r="C2788" s="75"/>
      <c r="D2788" s="76"/>
      <c r="E2788" s="5"/>
      <c r="F2788" s="5"/>
    </row>
    <row r="2789" spans="1:6" x14ac:dyDescent="0.3">
      <c r="A2789" s="1"/>
      <c r="B2789" s="4"/>
      <c r="C2789" s="75"/>
      <c r="D2789" s="76"/>
      <c r="E2789" s="5"/>
      <c r="F2789" s="5"/>
    </row>
    <row r="2790" spans="1:6" x14ac:dyDescent="0.3">
      <c r="A2790" s="1"/>
      <c r="B2790" s="4"/>
      <c r="C2790" s="75"/>
      <c r="D2790" s="76"/>
      <c r="E2790" s="5"/>
      <c r="F2790" s="5"/>
    </row>
    <row r="2791" spans="1:6" x14ac:dyDescent="0.3">
      <c r="A2791" s="1"/>
      <c r="B2791" s="4"/>
      <c r="C2791" s="75"/>
      <c r="D2791" s="76"/>
      <c r="E2791" s="5"/>
      <c r="F2791" s="5"/>
    </row>
    <row r="2792" spans="1:6" x14ac:dyDescent="0.3">
      <c r="A2792" s="1"/>
      <c r="B2792" s="4"/>
      <c r="C2792" s="75"/>
      <c r="D2792" s="76"/>
      <c r="E2792" s="5"/>
      <c r="F2792" s="5"/>
    </row>
    <row r="2793" spans="1:6" x14ac:dyDescent="0.3">
      <c r="A2793" s="1"/>
      <c r="B2793" s="4"/>
      <c r="C2793" s="75"/>
      <c r="D2793" s="76"/>
      <c r="E2793" s="5"/>
      <c r="F2793" s="5"/>
    </row>
    <row r="2794" spans="1:6" x14ac:dyDescent="0.3">
      <c r="A2794" s="1"/>
      <c r="B2794" s="4"/>
      <c r="C2794" s="75"/>
      <c r="D2794" s="76"/>
      <c r="E2794" s="5"/>
      <c r="F2794" s="5"/>
    </row>
    <row r="2795" spans="1:6" x14ac:dyDescent="0.3">
      <c r="A2795" s="1"/>
      <c r="B2795" s="4"/>
      <c r="C2795" s="75"/>
      <c r="D2795" s="76"/>
      <c r="E2795" s="5"/>
      <c r="F2795" s="5"/>
    </row>
    <row r="2796" spans="1:6" x14ac:dyDescent="0.3">
      <c r="A2796" s="1"/>
      <c r="B2796" s="4"/>
      <c r="C2796" s="75"/>
      <c r="D2796" s="76"/>
      <c r="E2796" s="5"/>
      <c r="F2796" s="5"/>
    </row>
    <row r="2797" spans="1:6" x14ac:dyDescent="0.3">
      <c r="A2797" s="1"/>
      <c r="B2797" s="4"/>
      <c r="C2797" s="75"/>
      <c r="D2797" s="76"/>
      <c r="E2797" s="5"/>
      <c r="F2797" s="5"/>
    </row>
    <row r="2798" spans="1:6" x14ac:dyDescent="0.3">
      <c r="A2798" s="1"/>
      <c r="B2798" s="4"/>
      <c r="C2798" s="75"/>
      <c r="D2798" s="76"/>
      <c r="E2798" s="5"/>
      <c r="F2798" s="5"/>
    </row>
    <row r="2799" spans="1:6" x14ac:dyDescent="0.3">
      <c r="A2799" s="1"/>
      <c r="B2799" s="4"/>
      <c r="C2799" s="75"/>
      <c r="D2799" s="76"/>
      <c r="E2799" s="5"/>
      <c r="F2799" s="5"/>
    </row>
    <row r="2800" spans="1:6" x14ac:dyDescent="0.3">
      <c r="A2800" s="1"/>
      <c r="B2800" s="4"/>
      <c r="C2800" s="75"/>
      <c r="D2800" s="76"/>
      <c r="E2800" s="5"/>
      <c r="F2800" s="5"/>
    </row>
    <row r="2801" spans="1:6" x14ac:dyDescent="0.3">
      <c r="A2801" s="1"/>
      <c r="B2801" s="4"/>
      <c r="C2801" s="75"/>
      <c r="D2801" s="76"/>
      <c r="E2801" s="5"/>
      <c r="F2801" s="5"/>
    </row>
    <row r="2802" spans="1:6" x14ac:dyDescent="0.3">
      <c r="A2802" s="1"/>
      <c r="B2802" s="4"/>
      <c r="C2802" s="75"/>
      <c r="D2802" s="76"/>
      <c r="E2802" s="5"/>
      <c r="F2802" s="5"/>
    </row>
    <row r="2803" spans="1:6" x14ac:dyDescent="0.3">
      <c r="A2803" s="1"/>
      <c r="B2803" s="4"/>
      <c r="C2803" s="75"/>
      <c r="D2803" s="76"/>
      <c r="E2803" s="5"/>
      <c r="F2803" s="5"/>
    </row>
    <row r="2804" spans="1:6" x14ac:dyDescent="0.3">
      <c r="A2804" s="1"/>
      <c r="B2804" s="4"/>
      <c r="C2804" s="75"/>
      <c r="D2804" s="76"/>
      <c r="E2804" s="5"/>
      <c r="F2804" s="5"/>
    </row>
    <row r="2805" spans="1:6" x14ac:dyDescent="0.3">
      <c r="A2805" s="1"/>
      <c r="B2805" s="4"/>
      <c r="C2805" s="75"/>
      <c r="D2805" s="76"/>
      <c r="E2805" s="5"/>
      <c r="F2805" s="5"/>
    </row>
    <row r="2806" spans="1:6" x14ac:dyDescent="0.3">
      <c r="A2806" s="1"/>
      <c r="B2806" s="4"/>
      <c r="C2806" s="75"/>
      <c r="D2806" s="76"/>
      <c r="E2806" s="5"/>
      <c r="F2806" s="5"/>
    </row>
    <row r="2807" spans="1:6" x14ac:dyDescent="0.3">
      <c r="A2807" s="1"/>
      <c r="B2807" s="4"/>
      <c r="C2807" s="75"/>
      <c r="D2807" s="76"/>
      <c r="E2807" s="5"/>
      <c r="F2807" s="5"/>
    </row>
    <row r="2808" spans="1:6" x14ac:dyDescent="0.3">
      <c r="A2808" s="1"/>
      <c r="B2808" s="4"/>
      <c r="C2808" s="75"/>
      <c r="D2808" s="76"/>
      <c r="E2808" s="5"/>
      <c r="F2808" s="5"/>
    </row>
    <row r="2809" spans="1:6" x14ac:dyDescent="0.3">
      <c r="A2809" s="1"/>
      <c r="B2809" s="4"/>
      <c r="C2809" s="75"/>
      <c r="D2809" s="76"/>
      <c r="E2809" s="5"/>
      <c r="F2809" s="5"/>
    </row>
    <row r="2810" spans="1:6" x14ac:dyDescent="0.3">
      <c r="A2810" s="1"/>
      <c r="B2810" s="4"/>
      <c r="C2810" s="75"/>
      <c r="D2810" s="76"/>
      <c r="E2810" s="5"/>
      <c r="F2810" s="5"/>
    </row>
    <row r="2811" spans="1:6" x14ac:dyDescent="0.3">
      <c r="A2811" s="1"/>
      <c r="B2811" s="4"/>
      <c r="C2811" s="75"/>
      <c r="D2811" s="76"/>
      <c r="E2811" s="5"/>
      <c r="F2811" s="5"/>
    </row>
    <row r="2812" spans="1:6" x14ac:dyDescent="0.3">
      <c r="A2812" s="1"/>
      <c r="B2812" s="4"/>
      <c r="C2812" s="75"/>
      <c r="D2812" s="76"/>
      <c r="E2812" s="5"/>
      <c r="F2812" s="5"/>
    </row>
    <row r="2813" spans="1:6" x14ac:dyDescent="0.3">
      <c r="A2813" s="1"/>
      <c r="B2813" s="4"/>
      <c r="C2813" s="75"/>
      <c r="D2813" s="76"/>
      <c r="E2813" s="5"/>
      <c r="F2813" s="5"/>
    </row>
    <row r="2814" spans="1:6" x14ac:dyDescent="0.3">
      <c r="A2814" s="1"/>
      <c r="B2814" s="4"/>
      <c r="C2814" s="75"/>
      <c r="D2814" s="76"/>
      <c r="E2814" s="5"/>
      <c r="F2814" s="5"/>
    </row>
    <row r="2815" spans="1:6" x14ac:dyDescent="0.3">
      <c r="A2815" s="1"/>
      <c r="B2815" s="4"/>
      <c r="C2815" s="75"/>
      <c r="D2815" s="76"/>
      <c r="E2815" s="5"/>
      <c r="F2815" s="5"/>
    </row>
    <row r="2816" spans="1:6" x14ac:dyDescent="0.3">
      <c r="A2816" s="1"/>
      <c r="B2816" s="4"/>
      <c r="C2816" s="75"/>
      <c r="D2816" s="76"/>
      <c r="E2816" s="5"/>
      <c r="F2816" s="5"/>
    </row>
    <row r="2817" spans="1:6" x14ac:dyDescent="0.3">
      <c r="A2817" s="1"/>
      <c r="B2817" s="4"/>
      <c r="C2817" s="75"/>
      <c r="D2817" s="76"/>
      <c r="E2817" s="5"/>
      <c r="F2817" s="5"/>
    </row>
    <row r="2818" spans="1:6" x14ac:dyDescent="0.3">
      <c r="A2818" s="1"/>
      <c r="B2818" s="4"/>
      <c r="C2818" s="75"/>
      <c r="D2818" s="76"/>
      <c r="E2818" s="5"/>
      <c r="F2818" s="5"/>
    </row>
    <row r="2819" spans="1:6" x14ac:dyDescent="0.3">
      <c r="A2819" s="1"/>
      <c r="B2819" s="4"/>
      <c r="C2819" s="75"/>
      <c r="D2819" s="76"/>
      <c r="E2819" s="5"/>
      <c r="F2819" s="5"/>
    </row>
    <row r="2820" spans="1:6" x14ac:dyDescent="0.3">
      <c r="A2820" s="1"/>
      <c r="B2820" s="4"/>
      <c r="C2820" s="75"/>
      <c r="D2820" s="76"/>
      <c r="E2820" s="5"/>
      <c r="F2820" s="5"/>
    </row>
    <row r="2821" spans="1:6" x14ac:dyDescent="0.3">
      <c r="A2821" s="1"/>
      <c r="B2821" s="4"/>
      <c r="C2821" s="75"/>
      <c r="D2821" s="76"/>
      <c r="E2821" s="5"/>
      <c r="F2821" s="5"/>
    </row>
    <row r="2822" spans="1:6" x14ac:dyDescent="0.3">
      <c r="A2822" s="1"/>
      <c r="B2822" s="4"/>
      <c r="C2822" s="75"/>
      <c r="D2822" s="76"/>
      <c r="E2822" s="5"/>
      <c r="F2822" s="5"/>
    </row>
    <row r="2823" spans="1:6" x14ac:dyDescent="0.3">
      <c r="A2823" s="1"/>
      <c r="B2823" s="4"/>
      <c r="C2823" s="75"/>
      <c r="D2823" s="76"/>
      <c r="E2823" s="5"/>
      <c r="F2823" s="5"/>
    </row>
    <row r="2824" spans="1:6" x14ac:dyDescent="0.3">
      <c r="A2824" s="1"/>
      <c r="B2824" s="4"/>
      <c r="C2824" s="75"/>
      <c r="D2824" s="76"/>
      <c r="E2824" s="5"/>
      <c r="F2824" s="5"/>
    </row>
    <row r="2825" spans="1:6" x14ac:dyDescent="0.3">
      <c r="A2825" s="1"/>
      <c r="B2825" s="4"/>
      <c r="C2825" s="75"/>
      <c r="D2825" s="76"/>
      <c r="E2825" s="5"/>
      <c r="F2825" s="5"/>
    </row>
    <row r="2826" spans="1:6" x14ac:dyDescent="0.3">
      <c r="A2826" s="1"/>
      <c r="B2826" s="4"/>
      <c r="C2826" s="75"/>
      <c r="D2826" s="76"/>
      <c r="E2826" s="5"/>
      <c r="F2826" s="5"/>
    </row>
    <row r="2827" spans="1:6" x14ac:dyDescent="0.3">
      <c r="A2827" s="1"/>
      <c r="B2827" s="4"/>
      <c r="C2827" s="75"/>
      <c r="D2827" s="76"/>
      <c r="E2827" s="5"/>
      <c r="F2827" s="5"/>
    </row>
    <row r="2828" spans="1:6" x14ac:dyDescent="0.3">
      <c r="A2828" s="1"/>
      <c r="B2828" s="4"/>
      <c r="C2828" s="75"/>
      <c r="D2828" s="76"/>
      <c r="E2828" s="5"/>
      <c r="F2828" s="5"/>
    </row>
    <row r="2829" spans="1:6" x14ac:dyDescent="0.3">
      <c r="A2829" s="1"/>
      <c r="B2829" s="4"/>
      <c r="C2829" s="75"/>
      <c r="D2829" s="76"/>
      <c r="E2829" s="5"/>
      <c r="F2829" s="5"/>
    </row>
    <row r="2830" spans="1:6" x14ac:dyDescent="0.3">
      <c r="A2830" s="1"/>
      <c r="B2830" s="4"/>
      <c r="C2830" s="75"/>
      <c r="D2830" s="76"/>
      <c r="E2830" s="5"/>
      <c r="F2830" s="5"/>
    </row>
    <row r="2831" spans="1:6" x14ac:dyDescent="0.3">
      <c r="A2831" s="1"/>
      <c r="B2831" s="4"/>
      <c r="C2831" s="75"/>
      <c r="D2831" s="76"/>
      <c r="E2831" s="5"/>
      <c r="F2831" s="5"/>
    </row>
    <row r="2832" spans="1:6" x14ac:dyDescent="0.3">
      <c r="A2832" s="1"/>
      <c r="B2832" s="4"/>
      <c r="C2832" s="75"/>
      <c r="D2832" s="76"/>
      <c r="E2832" s="5"/>
      <c r="F2832" s="5"/>
    </row>
    <row r="2833" spans="1:6" x14ac:dyDescent="0.3">
      <c r="A2833" s="1"/>
      <c r="B2833" s="4"/>
      <c r="C2833" s="75"/>
      <c r="D2833" s="76"/>
      <c r="E2833" s="5"/>
      <c r="F2833" s="5"/>
    </row>
    <row r="2834" spans="1:6" x14ac:dyDescent="0.3">
      <c r="A2834" s="1"/>
      <c r="B2834" s="4"/>
      <c r="C2834" s="75"/>
      <c r="D2834" s="76"/>
      <c r="E2834" s="5"/>
      <c r="F2834" s="5"/>
    </row>
    <row r="2835" spans="1:6" x14ac:dyDescent="0.3">
      <c r="A2835" s="1"/>
      <c r="B2835" s="4"/>
      <c r="C2835" s="75"/>
      <c r="D2835" s="76"/>
      <c r="E2835" s="5"/>
      <c r="F2835" s="5"/>
    </row>
    <row r="2836" spans="1:6" x14ac:dyDescent="0.3">
      <c r="A2836" s="1"/>
      <c r="B2836" s="4"/>
      <c r="C2836" s="75"/>
      <c r="D2836" s="76"/>
      <c r="E2836" s="5"/>
      <c r="F2836" s="5"/>
    </row>
  </sheetData>
  <pageMargins left="0.7" right="0.7" top="0.75" bottom="0.75" header="0.3" footer="0.3"/>
  <pageSetup paperSize="9" orientation="portrait" r:id="rId1"/>
  <rowBreaks count="1" manualBreakCount="1">
    <brk id="849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H35"/>
  <sheetViews>
    <sheetView view="pageBreakPreview" zoomScale="130" zoomScaleNormal="100" zoomScaleSheetLayoutView="130" workbookViewId="0">
      <pane ySplit="4" topLeftCell="A20" activePane="bottomLeft" state="frozen"/>
      <selection pane="bottomLeft" activeCell="C7" sqref="C7"/>
    </sheetView>
  </sheetViews>
  <sheetFormatPr defaultRowHeight="14.4" x14ac:dyDescent="0.3"/>
  <cols>
    <col min="1" max="1" width="13.44140625" customWidth="1"/>
    <col min="2" max="2" width="11.6640625" bestFit="1" customWidth="1"/>
    <col min="3" max="3" width="17" customWidth="1"/>
    <col min="4" max="4" width="15.109375" customWidth="1"/>
    <col min="5" max="5" width="32.88671875" customWidth="1"/>
    <col min="6" max="6" width="17.33203125" customWidth="1"/>
    <col min="7" max="7" width="12.33203125" bestFit="1" customWidth="1"/>
    <col min="8" max="8" width="17" style="9" customWidth="1"/>
  </cols>
  <sheetData>
    <row r="1" spans="1:8" ht="43.2" customHeight="1" x14ac:dyDescent="0.3">
      <c r="A1" s="50" t="s">
        <v>0</v>
      </c>
      <c r="B1" s="50" t="s">
        <v>68</v>
      </c>
      <c r="C1" s="50" t="s">
        <v>56</v>
      </c>
      <c r="D1" s="50" t="s">
        <v>111</v>
      </c>
      <c r="E1" s="50" t="s">
        <v>69</v>
      </c>
      <c r="F1" s="50" t="s">
        <v>70</v>
      </c>
    </row>
    <row r="2" spans="1:8" ht="24" customHeight="1" x14ac:dyDescent="0.35">
      <c r="A2" s="255"/>
      <c r="B2" s="258"/>
      <c r="C2" s="258">
        <f>+SUM(C5:C9214)</f>
        <v>0</v>
      </c>
      <c r="D2" s="258">
        <f>+SUM(D5:D9214)</f>
        <v>0</v>
      </c>
      <c r="E2" s="258"/>
      <c r="F2" s="258">
        <f>+SUM(F5:F9214)</f>
        <v>0</v>
      </c>
      <c r="G2" s="40" t="s">
        <v>56</v>
      </c>
      <c r="H2" s="40">
        <f>+C2</f>
        <v>0</v>
      </c>
    </row>
    <row r="3" spans="1:8" ht="18" customHeight="1" x14ac:dyDescent="0.35">
      <c r="A3" s="256"/>
      <c r="B3" s="259"/>
      <c r="C3" s="259"/>
      <c r="D3" s="259"/>
      <c r="E3" s="259"/>
      <c r="F3" s="259"/>
      <c r="G3" s="40" t="s">
        <v>51</v>
      </c>
      <c r="H3" s="40">
        <f>+D2</f>
        <v>0</v>
      </c>
    </row>
    <row r="4" spans="1:8" ht="18" x14ac:dyDescent="0.35">
      <c r="A4" s="257"/>
      <c r="B4" s="260"/>
      <c r="C4" s="260"/>
      <c r="D4" s="260"/>
      <c r="E4" s="260"/>
      <c r="F4" s="260"/>
      <c r="G4" s="167" t="s">
        <v>14</v>
      </c>
      <c r="H4" s="168">
        <f>+H2-H3-H7-H8-H9-H10-H11-H12</f>
        <v>0</v>
      </c>
    </row>
    <row r="5" spans="1:8" ht="18" x14ac:dyDescent="0.35">
      <c r="A5" s="59">
        <v>46235</v>
      </c>
      <c r="B5" s="57"/>
      <c r="C5" s="54">
        <f t="shared" ref="C5:C33" si="0">+B5*100</f>
        <v>0</v>
      </c>
      <c r="D5" s="57"/>
      <c r="E5" s="60"/>
      <c r="F5" s="54"/>
      <c r="G5" s="165" t="s">
        <v>5</v>
      </c>
      <c r="H5" s="166">
        <f>+H4/2</f>
        <v>0</v>
      </c>
    </row>
    <row r="6" spans="1:8" ht="18" x14ac:dyDescent="0.35">
      <c r="A6" s="59">
        <f t="shared" ref="A6:A35" si="1">+A5+1</f>
        <v>46236</v>
      </c>
      <c r="B6" s="57"/>
      <c r="C6" s="54">
        <f t="shared" si="0"/>
        <v>0</v>
      </c>
      <c r="D6" s="57"/>
      <c r="E6" s="60"/>
      <c r="F6" s="54"/>
      <c r="G6" s="165" t="s">
        <v>469</v>
      </c>
      <c r="H6" s="166">
        <f>+H5</f>
        <v>0</v>
      </c>
    </row>
    <row r="7" spans="1:8" ht="18" x14ac:dyDescent="0.35">
      <c r="A7" s="59">
        <f t="shared" si="1"/>
        <v>46237</v>
      </c>
      <c r="B7" s="57"/>
      <c r="C7" s="54">
        <f t="shared" si="0"/>
        <v>0</v>
      </c>
      <c r="D7" s="57"/>
      <c r="E7" s="60"/>
      <c r="F7" s="54"/>
      <c r="G7" s="39" t="s">
        <v>1904</v>
      </c>
      <c r="H7" s="221"/>
    </row>
    <row r="8" spans="1:8" ht="18" x14ac:dyDescent="0.35">
      <c r="A8" s="59">
        <f t="shared" si="1"/>
        <v>46238</v>
      </c>
      <c r="B8" s="57"/>
      <c r="C8" s="54">
        <f t="shared" si="0"/>
        <v>0</v>
      </c>
      <c r="D8" s="57"/>
      <c r="E8" s="60"/>
      <c r="F8" s="54"/>
      <c r="G8" s="39" t="s">
        <v>240</v>
      </c>
      <c r="H8" s="221"/>
    </row>
    <row r="9" spans="1:8" ht="18" x14ac:dyDescent="0.35">
      <c r="A9" s="59">
        <f t="shared" si="1"/>
        <v>46239</v>
      </c>
      <c r="B9" s="57"/>
      <c r="C9" s="54">
        <f t="shared" si="0"/>
        <v>0</v>
      </c>
      <c r="D9" s="57"/>
      <c r="E9" s="60"/>
      <c r="F9" s="54"/>
      <c r="G9" s="39" t="s">
        <v>1629</v>
      </c>
      <c r="H9" s="221"/>
    </row>
    <row r="10" spans="1:8" ht="18" x14ac:dyDescent="0.35">
      <c r="A10" s="59">
        <f t="shared" si="1"/>
        <v>46240</v>
      </c>
      <c r="B10" s="57"/>
      <c r="C10" s="54">
        <f t="shared" si="0"/>
        <v>0</v>
      </c>
      <c r="D10" s="57"/>
      <c r="E10" s="60"/>
      <c r="F10" s="54"/>
      <c r="G10" s="39"/>
      <c r="H10" s="222"/>
    </row>
    <row r="11" spans="1:8" ht="18" x14ac:dyDescent="0.35">
      <c r="A11" s="59">
        <f t="shared" si="1"/>
        <v>46241</v>
      </c>
      <c r="B11" s="57"/>
      <c r="C11" s="54">
        <f t="shared" si="0"/>
        <v>0</v>
      </c>
      <c r="D11" s="57"/>
      <c r="E11" s="60"/>
      <c r="F11" s="54"/>
      <c r="G11" s="223"/>
      <c r="H11" s="224"/>
    </row>
    <row r="12" spans="1:8" ht="18" x14ac:dyDescent="0.35">
      <c r="A12" s="59">
        <f t="shared" si="1"/>
        <v>46242</v>
      </c>
      <c r="B12" s="57"/>
      <c r="C12" s="54">
        <f t="shared" si="0"/>
        <v>0</v>
      </c>
      <c r="D12" s="57"/>
      <c r="E12" s="60"/>
      <c r="F12" s="54"/>
      <c r="G12" s="223"/>
      <c r="H12" s="224"/>
    </row>
    <row r="13" spans="1:8" ht="18" x14ac:dyDescent="0.35">
      <c r="A13" s="59">
        <f t="shared" si="1"/>
        <v>46243</v>
      </c>
      <c r="B13" s="57"/>
      <c r="C13" s="54">
        <f t="shared" si="0"/>
        <v>0</v>
      </c>
      <c r="D13" s="57"/>
      <c r="E13" s="60"/>
      <c r="F13" s="54"/>
      <c r="G13" s="39"/>
      <c r="H13" s="221"/>
    </row>
    <row r="14" spans="1:8" x14ac:dyDescent="0.3">
      <c r="A14" s="59">
        <f t="shared" si="1"/>
        <v>46244</v>
      </c>
      <c r="B14" s="57"/>
      <c r="C14" s="54">
        <f t="shared" si="0"/>
        <v>0</v>
      </c>
      <c r="D14" s="57"/>
      <c r="E14" s="60"/>
      <c r="F14" s="54"/>
    </row>
    <row r="15" spans="1:8" x14ac:dyDescent="0.3">
      <c r="A15" s="59">
        <f t="shared" si="1"/>
        <v>46245</v>
      </c>
      <c r="B15" s="57"/>
      <c r="C15" s="54">
        <f t="shared" si="0"/>
        <v>0</v>
      </c>
      <c r="D15" s="57"/>
      <c r="E15" s="60"/>
      <c r="F15" s="54"/>
    </row>
    <row r="16" spans="1:8" x14ac:dyDescent="0.3">
      <c r="A16" s="59">
        <f t="shared" si="1"/>
        <v>46246</v>
      </c>
      <c r="B16" s="57"/>
      <c r="C16" s="54">
        <f t="shared" si="0"/>
        <v>0</v>
      </c>
      <c r="D16" s="57"/>
      <c r="E16" s="60"/>
      <c r="F16" s="54"/>
    </row>
    <row r="17" spans="1:6" x14ac:dyDescent="0.3">
      <c r="A17" s="59">
        <f t="shared" si="1"/>
        <v>46247</v>
      </c>
      <c r="B17" s="57"/>
      <c r="C17" s="54">
        <f t="shared" si="0"/>
        <v>0</v>
      </c>
      <c r="D17" s="57"/>
      <c r="E17" s="60"/>
      <c r="F17" s="54"/>
    </row>
    <row r="18" spans="1:6" x14ac:dyDescent="0.3">
      <c r="A18" s="59">
        <f t="shared" si="1"/>
        <v>46248</v>
      </c>
      <c r="B18" s="57"/>
      <c r="C18" s="54">
        <f t="shared" si="0"/>
        <v>0</v>
      </c>
      <c r="D18" s="57"/>
      <c r="E18" s="60"/>
      <c r="F18" s="54"/>
    </row>
    <row r="19" spans="1:6" x14ac:dyDescent="0.3">
      <c r="A19" s="59">
        <f t="shared" si="1"/>
        <v>46249</v>
      </c>
      <c r="B19" s="57"/>
      <c r="C19" s="54">
        <f t="shared" si="0"/>
        <v>0</v>
      </c>
      <c r="D19" s="57"/>
      <c r="E19" s="60"/>
      <c r="F19" s="54"/>
    </row>
    <row r="20" spans="1:6" x14ac:dyDescent="0.3">
      <c r="A20" s="59">
        <f t="shared" si="1"/>
        <v>46250</v>
      </c>
      <c r="B20" s="57"/>
      <c r="C20" s="54">
        <f t="shared" si="0"/>
        <v>0</v>
      </c>
      <c r="D20" s="57"/>
      <c r="E20" s="60"/>
      <c r="F20" s="54"/>
    </row>
    <row r="21" spans="1:6" x14ac:dyDescent="0.3">
      <c r="A21" s="59">
        <f t="shared" si="1"/>
        <v>46251</v>
      </c>
      <c r="B21" s="57"/>
      <c r="C21" s="54">
        <f t="shared" si="0"/>
        <v>0</v>
      </c>
      <c r="D21" s="57"/>
      <c r="E21" s="60"/>
      <c r="F21" s="54"/>
    </row>
    <row r="22" spans="1:6" x14ac:dyDescent="0.3">
      <c r="A22" s="59">
        <f t="shared" si="1"/>
        <v>46252</v>
      </c>
      <c r="B22" s="57"/>
      <c r="C22" s="54">
        <f t="shared" si="0"/>
        <v>0</v>
      </c>
      <c r="D22" s="57"/>
      <c r="E22" s="60"/>
      <c r="F22" s="54"/>
    </row>
    <row r="23" spans="1:6" x14ac:dyDescent="0.3">
      <c r="A23" s="59">
        <f t="shared" si="1"/>
        <v>46253</v>
      </c>
      <c r="B23" s="57"/>
      <c r="C23" s="54">
        <f t="shared" si="0"/>
        <v>0</v>
      </c>
      <c r="D23" s="57"/>
      <c r="E23" s="60"/>
      <c r="F23" s="54"/>
    </row>
    <row r="24" spans="1:6" x14ac:dyDescent="0.3">
      <c r="A24" s="59">
        <f t="shared" si="1"/>
        <v>46254</v>
      </c>
      <c r="B24" s="57"/>
      <c r="C24" s="54">
        <f t="shared" si="0"/>
        <v>0</v>
      </c>
      <c r="D24" s="57"/>
      <c r="E24" s="60"/>
      <c r="F24" s="54"/>
    </row>
    <row r="25" spans="1:6" x14ac:dyDescent="0.3">
      <c r="A25" s="59">
        <f t="shared" si="1"/>
        <v>46255</v>
      </c>
      <c r="B25" s="57"/>
      <c r="C25" s="54">
        <f t="shared" si="0"/>
        <v>0</v>
      </c>
      <c r="D25" s="57"/>
      <c r="E25" s="60"/>
      <c r="F25" s="54"/>
    </row>
    <row r="26" spans="1:6" x14ac:dyDescent="0.3">
      <c r="A26" s="59">
        <f t="shared" si="1"/>
        <v>46256</v>
      </c>
      <c r="B26" s="57"/>
      <c r="C26" s="54">
        <f t="shared" si="0"/>
        <v>0</v>
      </c>
      <c r="D26" s="57"/>
      <c r="E26" s="60"/>
      <c r="F26" s="54"/>
    </row>
    <row r="27" spans="1:6" x14ac:dyDescent="0.3">
      <c r="A27" s="59">
        <f t="shared" si="1"/>
        <v>46257</v>
      </c>
      <c r="B27" s="57"/>
      <c r="C27" s="54">
        <f t="shared" si="0"/>
        <v>0</v>
      </c>
      <c r="D27" s="57"/>
      <c r="E27" s="60"/>
      <c r="F27" s="54"/>
    </row>
    <row r="28" spans="1:6" x14ac:dyDescent="0.3">
      <c r="A28" s="59">
        <f t="shared" si="1"/>
        <v>46258</v>
      </c>
      <c r="B28" s="57"/>
      <c r="C28" s="54">
        <f t="shared" si="0"/>
        <v>0</v>
      </c>
      <c r="D28" s="57"/>
      <c r="E28" s="60"/>
      <c r="F28" s="54"/>
    </row>
    <row r="29" spans="1:6" x14ac:dyDescent="0.3">
      <c r="A29" s="59">
        <f t="shared" si="1"/>
        <v>46259</v>
      </c>
      <c r="B29" s="57"/>
      <c r="C29" s="54">
        <f t="shared" si="0"/>
        <v>0</v>
      </c>
      <c r="D29" s="57"/>
      <c r="E29" s="60"/>
      <c r="F29" s="54"/>
    </row>
    <row r="30" spans="1:6" x14ac:dyDescent="0.3">
      <c r="A30" s="59">
        <f t="shared" si="1"/>
        <v>46260</v>
      </c>
      <c r="B30" s="57"/>
      <c r="C30" s="54">
        <f t="shared" si="0"/>
        <v>0</v>
      </c>
      <c r="D30" s="57"/>
      <c r="E30" s="60"/>
      <c r="F30" s="54"/>
    </row>
    <row r="31" spans="1:6" x14ac:dyDescent="0.3">
      <c r="A31" s="59">
        <f t="shared" si="1"/>
        <v>46261</v>
      </c>
      <c r="B31" s="57"/>
      <c r="C31" s="54">
        <f t="shared" si="0"/>
        <v>0</v>
      </c>
      <c r="D31" s="57"/>
      <c r="E31" s="60"/>
      <c r="F31" s="54"/>
    </row>
    <row r="32" spans="1:6" x14ac:dyDescent="0.3">
      <c r="A32" s="59">
        <f t="shared" si="1"/>
        <v>46262</v>
      </c>
      <c r="B32" s="57"/>
      <c r="C32" s="54">
        <f t="shared" si="0"/>
        <v>0</v>
      </c>
      <c r="D32" s="57"/>
      <c r="E32" s="60"/>
      <c r="F32" s="54"/>
    </row>
    <row r="33" spans="1:6" x14ac:dyDescent="0.3">
      <c r="A33" s="59">
        <f t="shared" si="1"/>
        <v>46263</v>
      </c>
      <c r="B33" s="57"/>
      <c r="C33" s="54">
        <f t="shared" si="0"/>
        <v>0</v>
      </c>
      <c r="D33" s="57"/>
      <c r="E33" s="60"/>
      <c r="F33" s="54"/>
    </row>
    <row r="34" spans="1:6" x14ac:dyDescent="0.3">
      <c r="A34" s="59">
        <f t="shared" si="1"/>
        <v>46264</v>
      </c>
      <c r="B34" s="57"/>
      <c r="C34" s="54">
        <f t="shared" ref="C34:C35" si="2">+B34*100</f>
        <v>0</v>
      </c>
      <c r="D34" s="57"/>
      <c r="E34" s="60"/>
      <c r="F34" s="54"/>
    </row>
    <row r="35" spans="1:6" x14ac:dyDescent="0.3">
      <c r="A35" s="59">
        <f t="shared" si="1"/>
        <v>46265</v>
      </c>
      <c r="B35" s="57"/>
      <c r="C35" s="54">
        <f t="shared" si="2"/>
        <v>0</v>
      </c>
      <c r="D35" s="57"/>
      <c r="E35" s="60"/>
      <c r="F35" s="54"/>
    </row>
  </sheetData>
  <mergeCells count="6">
    <mergeCell ref="A2:A4"/>
    <mergeCell ref="F2:F4"/>
    <mergeCell ref="B2:B4"/>
    <mergeCell ref="C2:C4"/>
    <mergeCell ref="D2:D4"/>
    <mergeCell ref="E2:E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U38"/>
  <sheetViews>
    <sheetView zoomScaleNormal="100" zoomScaleSheetLayoutView="100" workbookViewId="0">
      <selection activeCell="D17" sqref="D17"/>
    </sheetView>
  </sheetViews>
  <sheetFormatPr defaultRowHeight="14.4" x14ac:dyDescent="0.3"/>
  <cols>
    <col min="1" max="1" width="37" bestFit="1" customWidth="1"/>
    <col min="2" max="2" width="27.44140625" bestFit="1" customWidth="1"/>
    <col min="3" max="3" width="23.6640625" bestFit="1" customWidth="1"/>
    <col min="4" max="4" width="17" style="9" customWidth="1"/>
    <col min="5" max="5" width="25.44140625" style="9" bestFit="1" customWidth="1"/>
    <col min="6" max="6" width="16.6640625" style="9" bestFit="1" customWidth="1"/>
    <col min="7" max="7" width="10.88671875" style="9" customWidth="1"/>
    <col min="8" max="8" width="12" customWidth="1"/>
    <col min="9" max="9" width="21.77734375" customWidth="1"/>
    <col min="10" max="11" width="22.88671875" bestFit="1" customWidth="1"/>
    <col min="12" max="12" width="9.6640625" bestFit="1" customWidth="1"/>
    <col min="13" max="13" width="12" customWidth="1"/>
    <col min="14" max="14" width="17.5546875" customWidth="1"/>
    <col min="15" max="16" width="22.88671875" bestFit="1" customWidth="1"/>
    <col min="18" max="18" width="12" customWidth="1"/>
    <col min="19" max="19" width="17.5546875" customWidth="1"/>
    <col min="20" max="21" width="22.88671875" bestFit="1" customWidth="1"/>
    <col min="23" max="23" width="24.109375" bestFit="1" customWidth="1"/>
    <col min="24" max="24" width="9" bestFit="1" customWidth="1"/>
  </cols>
  <sheetData>
    <row r="1" spans="1:21" ht="42" customHeight="1" thickBot="1" x14ac:dyDescent="0.35">
      <c r="A1" s="34" t="s">
        <v>0</v>
      </c>
      <c r="B1" s="35" t="s">
        <v>37</v>
      </c>
      <c r="C1" s="36" t="s">
        <v>38</v>
      </c>
      <c r="D1" s="36" t="s">
        <v>34</v>
      </c>
      <c r="E1" s="36" t="s">
        <v>39</v>
      </c>
      <c r="F1" s="36" t="s">
        <v>36</v>
      </c>
      <c r="H1" s="28" t="s">
        <v>0</v>
      </c>
      <c r="I1" s="100" t="s">
        <v>1262</v>
      </c>
      <c r="J1" s="100" t="s">
        <v>1261</v>
      </c>
      <c r="K1" s="100" t="s">
        <v>295</v>
      </c>
      <c r="M1" s="28" t="s">
        <v>0</v>
      </c>
      <c r="N1" s="100" t="s">
        <v>151</v>
      </c>
      <c r="O1" s="100" t="s">
        <v>152</v>
      </c>
      <c r="P1" s="100" t="s">
        <v>295</v>
      </c>
      <c r="R1" s="28" t="s">
        <v>0</v>
      </c>
      <c r="S1" s="100" t="s">
        <v>151</v>
      </c>
      <c r="T1" s="100" t="s">
        <v>1692</v>
      </c>
      <c r="U1" s="100" t="s">
        <v>295</v>
      </c>
    </row>
    <row r="2" spans="1:21" ht="21" x14ac:dyDescent="0.4">
      <c r="A2" s="32" t="s">
        <v>48</v>
      </c>
      <c r="B2" s="41">
        <f>60340000+10200000</f>
        <v>70540000</v>
      </c>
      <c r="C2" s="160">
        <v>10200000</v>
      </c>
      <c r="D2" s="42"/>
      <c r="E2" s="42"/>
      <c r="F2" s="42"/>
      <c r="H2" s="261">
        <f>I3-J3</f>
        <v>5639500</v>
      </c>
      <c r="I2" s="262"/>
      <c r="J2" s="262"/>
      <c r="M2" s="261">
        <f>N3-O3</f>
        <v>101446000</v>
      </c>
      <c r="N2" s="262"/>
      <c r="O2" s="262"/>
      <c r="R2" s="261">
        <f>S3-T3</f>
        <v>0</v>
      </c>
      <c r="S2" s="262"/>
      <c r="T2" s="262"/>
    </row>
    <row r="3" spans="1:21" ht="21.6" thickBot="1" x14ac:dyDescent="0.35">
      <c r="A3" s="33" t="s">
        <v>426</v>
      </c>
      <c r="B3" s="43">
        <v>41500000</v>
      </c>
      <c r="C3" s="43">
        <v>27120000</v>
      </c>
      <c r="D3" s="43">
        <v>2200000</v>
      </c>
      <c r="E3" s="44"/>
      <c r="F3" s="44"/>
      <c r="H3" s="102"/>
      <c r="I3" s="103">
        <f>+SUM(I4:I9995)</f>
        <v>27539500</v>
      </c>
      <c r="J3" s="103">
        <f>+SUM(J4:J18)</f>
        <v>21900000</v>
      </c>
      <c r="K3" s="103"/>
      <c r="M3" s="102"/>
      <c r="N3" s="103">
        <f>+SUM(N4:N9995)</f>
        <v>517803000</v>
      </c>
      <c r="O3" s="103">
        <f>+SUM(O4:O9995)</f>
        <v>416357000</v>
      </c>
      <c r="P3" s="103"/>
      <c r="R3" s="102"/>
      <c r="S3" s="103">
        <f>+SUM(S4:S9995)</f>
        <v>0</v>
      </c>
      <c r="T3" s="103">
        <f>+SUM(T4:T9995)</f>
        <v>0</v>
      </c>
      <c r="U3" s="103"/>
    </row>
    <row r="4" spans="1:21" ht="21" x14ac:dyDescent="0.3">
      <c r="A4" s="33" t="s">
        <v>41</v>
      </c>
      <c r="B4" s="43"/>
      <c r="C4" s="43"/>
      <c r="D4" s="43"/>
      <c r="E4" s="44"/>
      <c r="F4" s="44"/>
      <c r="H4" s="1" t="s">
        <v>1745</v>
      </c>
      <c r="I4" s="4">
        <v>10880000</v>
      </c>
      <c r="J4" s="75">
        <v>6600000</v>
      </c>
      <c r="K4" s="75"/>
      <c r="M4" s="1" t="s">
        <v>1791</v>
      </c>
      <c r="N4" s="4">
        <v>48523000</v>
      </c>
      <c r="O4" s="75"/>
      <c r="P4" s="75"/>
      <c r="R4" s="1"/>
      <c r="S4" s="4"/>
      <c r="T4" s="75"/>
      <c r="U4" s="75"/>
    </row>
    <row r="5" spans="1:21" ht="21" x14ac:dyDescent="0.3">
      <c r="A5" s="33" t="s">
        <v>42</v>
      </c>
      <c r="B5" s="43"/>
      <c r="C5" s="43"/>
      <c r="D5" s="43"/>
      <c r="E5" s="44"/>
      <c r="F5" s="44"/>
      <c r="H5" s="1" t="s">
        <v>1791</v>
      </c>
      <c r="I5" s="75">
        <v>3652500</v>
      </c>
      <c r="J5" s="75">
        <v>1000000</v>
      </c>
      <c r="K5" s="75">
        <v>48523000</v>
      </c>
      <c r="M5" s="1"/>
      <c r="N5" s="75">
        <v>160995000</v>
      </c>
      <c r="O5" s="75">
        <v>50000000</v>
      </c>
      <c r="P5" s="75"/>
      <c r="R5" s="1"/>
      <c r="S5" s="75"/>
      <c r="T5" s="75"/>
      <c r="U5" s="75"/>
    </row>
    <row r="6" spans="1:21" ht="21" x14ac:dyDescent="0.3">
      <c r="A6" s="33" t="s">
        <v>43</v>
      </c>
      <c r="B6" s="43"/>
      <c r="C6" s="43"/>
      <c r="D6" s="45"/>
      <c r="E6" s="43"/>
      <c r="F6" s="43"/>
      <c r="H6" s="1"/>
      <c r="I6" s="4"/>
      <c r="J6" s="75"/>
      <c r="K6" s="75"/>
      <c r="M6" s="1"/>
      <c r="N6" s="4"/>
      <c r="O6" s="75">
        <v>60000000</v>
      </c>
      <c r="P6" s="75"/>
      <c r="R6" s="1"/>
      <c r="S6" s="4"/>
      <c r="T6" s="4"/>
      <c r="U6" s="75"/>
    </row>
    <row r="7" spans="1:21" ht="21" x14ac:dyDescent="0.3">
      <c r="A7" s="33" t="s">
        <v>44</v>
      </c>
      <c r="B7" s="43"/>
      <c r="C7" s="43"/>
      <c r="D7" s="43"/>
      <c r="E7" s="44"/>
      <c r="F7" s="44"/>
      <c r="H7" s="1" t="s">
        <v>1822</v>
      </c>
      <c r="I7" s="4">
        <v>6622000</v>
      </c>
      <c r="J7" s="75">
        <v>6500000</v>
      </c>
      <c r="K7" s="75"/>
      <c r="M7" s="1" t="s">
        <v>1804</v>
      </c>
      <c r="N7" s="4"/>
      <c r="O7" s="75">
        <v>80000000</v>
      </c>
      <c r="P7" s="75"/>
      <c r="R7" s="1"/>
      <c r="S7" s="4"/>
      <c r="T7" s="75"/>
      <c r="U7" s="75"/>
    </row>
    <row r="8" spans="1:21" ht="21" x14ac:dyDescent="0.3">
      <c r="A8" s="33" t="s">
        <v>45</v>
      </c>
      <c r="B8" s="43"/>
      <c r="C8" s="43"/>
      <c r="D8" s="43"/>
      <c r="E8" s="44"/>
      <c r="F8" s="44"/>
      <c r="H8" s="1" t="s">
        <v>1918</v>
      </c>
      <c r="I8" s="75">
        <v>6385000</v>
      </c>
      <c r="J8" s="75">
        <v>7800000</v>
      </c>
      <c r="K8" s="75"/>
      <c r="L8" t="s">
        <v>759</v>
      </c>
      <c r="M8" s="1" t="s">
        <v>1822</v>
      </c>
      <c r="N8" s="75">
        <v>172885000</v>
      </c>
      <c r="O8" s="75">
        <v>70000000</v>
      </c>
      <c r="P8" s="75"/>
      <c r="R8" s="1"/>
      <c r="S8" s="75"/>
      <c r="T8" s="75"/>
      <c r="U8" s="75"/>
    </row>
    <row r="9" spans="1:21" ht="21" x14ac:dyDescent="0.3">
      <c r="A9" s="33" t="s">
        <v>46</v>
      </c>
      <c r="B9" s="43"/>
      <c r="C9" s="43"/>
      <c r="D9" s="43"/>
      <c r="E9" s="44"/>
      <c r="F9" s="44"/>
      <c r="H9" s="1"/>
      <c r="I9" s="75"/>
      <c r="J9" s="75"/>
      <c r="K9" s="75"/>
      <c r="M9" s="1" t="s">
        <v>1869</v>
      </c>
      <c r="N9" s="75"/>
      <c r="O9" s="75">
        <f>2900*11830</f>
        <v>34307000</v>
      </c>
      <c r="P9" s="75" t="s">
        <v>1878</v>
      </c>
      <c r="R9" s="1"/>
      <c r="S9" s="75"/>
      <c r="T9" s="75"/>
      <c r="U9" s="75"/>
    </row>
    <row r="10" spans="1:21" ht="21" x14ac:dyDescent="0.3">
      <c r="A10" s="33"/>
      <c r="B10" s="43"/>
      <c r="C10" s="43"/>
      <c r="D10" s="43"/>
      <c r="E10" s="44"/>
      <c r="F10" s="44"/>
      <c r="H10" s="1"/>
      <c r="I10" s="75"/>
      <c r="J10" s="75"/>
      <c r="K10" s="75"/>
      <c r="M10" s="1"/>
      <c r="N10" s="75"/>
      <c r="O10" s="75">
        <v>15000000</v>
      </c>
      <c r="P10" s="75" t="s">
        <v>123</v>
      </c>
      <c r="R10" s="1"/>
      <c r="S10" s="75"/>
      <c r="T10" s="75"/>
      <c r="U10" s="75"/>
    </row>
    <row r="11" spans="1:21" ht="22.2" x14ac:dyDescent="0.3">
      <c r="A11" s="113"/>
      <c r="B11" s="114">
        <f>+SUM(B2:B10)-E11</f>
        <v>112040000</v>
      </c>
      <c r="C11" s="114">
        <f>+SUM(C2:C10)</f>
        <v>37320000</v>
      </c>
      <c r="D11" s="114">
        <f t="shared" ref="D11" si="0">+SUM(D2:D10)</f>
        <v>2200000</v>
      </c>
      <c r="E11" s="114">
        <f>+SUM(E2:E10)</f>
        <v>0</v>
      </c>
      <c r="F11" s="114">
        <f>+SUM(F2:F10)</f>
        <v>0</v>
      </c>
      <c r="H11" s="1"/>
      <c r="I11" s="4"/>
      <c r="J11" s="75"/>
      <c r="K11" s="75"/>
      <c r="M11" s="1" t="s">
        <v>1918</v>
      </c>
      <c r="N11" s="4">
        <v>135400000</v>
      </c>
      <c r="O11" s="75">
        <v>65550000</v>
      </c>
      <c r="P11" s="75" t="s">
        <v>1919</v>
      </c>
      <c r="R11" s="1"/>
      <c r="S11" s="4"/>
      <c r="T11" s="75"/>
      <c r="U11" s="75"/>
    </row>
    <row r="12" spans="1:21" x14ac:dyDescent="0.3">
      <c r="H12" s="1"/>
      <c r="I12" s="75"/>
      <c r="J12" s="75"/>
      <c r="K12" s="75"/>
      <c r="M12" s="1" t="s">
        <v>1927</v>
      </c>
      <c r="N12" s="4"/>
      <c r="O12" s="75">
        <v>41500000</v>
      </c>
      <c r="P12" s="75"/>
      <c r="R12" s="1"/>
      <c r="S12" s="4"/>
      <c r="T12" s="75"/>
      <c r="U12" s="75"/>
    </row>
    <row r="13" spans="1:21" ht="18" x14ac:dyDescent="0.3">
      <c r="A13" s="37"/>
      <c r="B13" s="38"/>
      <c r="H13" s="169"/>
      <c r="I13" s="75"/>
      <c r="J13" s="75"/>
      <c r="K13" s="75"/>
      <c r="M13" s="1"/>
      <c r="N13" s="4"/>
      <c r="O13" s="75"/>
      <c r="P13" s="75"/>
      <c r="R13" s="1"/>
      <c r="S13" s="4"/>
      <c r="T13" s="75"/>
      <c r="U13" s="75"/>
    </row>
    <row r="14" spans="1:21" ht="18" x14ac:dyDescent="0.3">
      <c r="A14" s="37"/>
      <c r="B14" s="38"/>
      <c r="H14" s="1"/>
      <c r="I14" s="75"/>
      <c r="J14" s="75"/>
      <c r="K14" s="75"/>
      <c r="M14" s="1"/>
      <c r="N14" s="4"/>
      <c r="O14" s="75"/>
      <c r="P14" s="75"/>
      <c r="R14" s="1"/>
      <c r="S14" s="4"/>
      <c r="T14" s="75"/>
      <c r="U14" s="75"/>
    </row>
    <row r="15" spans="1:21" ht="18" x14ac:dyDescent="0.3">
      <c r="A15" s="37" t="s">
        <v>34</v>
      </c>
      <c r="B15" s="38">
        <f>+D11</f>
        <v>2200000</v>
      </c>
      <c r="C15" t="s">
        <v>950</v>
      </c>
      <c r="H15" s="1"/>
      <c r="I15" s="4"/>
      <c r="J15" s="75"/>
      <c r="K15" s="75"/>
      <c r="M15" s="1"/>
      <c r="N15" s="4"/>
      <c r="O15" s="75"/>
      <c r="P15" s="75"/>
      <c r="R15" s="1"/>
      <c r="S15" s="4"/>
      <c r="T15" s="75"/>
      <c r="U15" s="75"/>
    </row>
    <row r="16" spans="1:21" ht="18" x14ac:dyDescent="0.35">
      <c r="A16" s="39" t="s">
        <v>47</v>
      </c>
      <c r="B16" s="185">
        <v>5639500</v>
      </c>
      <c r="C16" s="184" t="s">
        <v>760</v>
      </c>
      <c r="H16" s="1"/>
      <c r="I16" s="75"/>
      <c r="J16" s="75"/>
      <c r="K16" s="75"/>
      <c r="M16" s="1"/>
      <c r="N16" s="4"/>
      <c r="O16" s="75"/>
      <c r="P16" s="75"/>
      <c r="R16" s="1"/>
      <c r="S16" s="4"/>
      <c r="T16" s="75"/>
      <c r="U16" s="75"/>
    </row>
    <row r="17" spans="1:21" ht="18" x14ac:dyDescent="0.35">
      <c r="A17" s="39" t="s">
        <v>49</v>
      </c>
      <c r="B17" s="40">
        <f>+B16-B15</f>
        <v>3439500</v>
      </c>
      <c r="C17" s="9"/>
      <c r="F17" s="9" t="s">
        <v>33</v>
      </c>
      <c r="H17" s="1"/>
      <c r="I17" s="4"/>
      <c r="J17" s="75"/>
      <c r="K17" s="75"/>
      <c r="M17" s="1"/>
      <c r="N17" s="4"/>
      <c r="O17" s="75"/>
      <c r="P17" s="75"/>
      <c r="R17" s="1"/>
      <c r="S17" s="4"/>
      <c r="T17" s="75"/>
      <c r="U17" s="75"/>
    </row>
    <row r="18" spans="1:21" ht="18" x14ac:dyDescent="0.3">
      <c r="A18" s="46" t="s">
        <v>35</v>
      </c>
      <c r="B18" s="47">
        <f>B11-C11-D11</f>
        <v>72520000</v>
      </c>
      <c r="M18" s="1"/>
      <c r="N18" s="4"/>
      <c r="O18" s="4"/>
      <c r="P18" s="75"/>
      <c r="R18" s="1"/>
      <c r="S18" s="4"/>
      <c r="T18" s="4"/>
      <c r="U18" s="75"/>
    </row>
    <row r="19" spans="1:21" ht="18" x14ac:dyDescent="0.35">
      <c r="A19" s="39" t="s">
        <v>73</v>
      </c>
      <c r="B19" s="40">
        <f>C11-F11</f>
        <v>37320000</v>
      </c>
      <c r="G19"/>
      <c r="K19">
        <v>2900</v>
      </c>
      <c r="M19" s="1"/>
      <c r="N19" s="4"/>
      <c r="O19" s="75"/>
      <c r="P19" s="75"/>
    </row>
    <row r="20" spans="1:21" ht="18" x14ac:dyDescent="0.35">
      <c r="A20" s="39" t="s">
        <v>14</v>
      </c>
      <c r="B20" s="40">
        <f>+F11-C11</f>
        <v>-37320000</v>
      </c>
      <c r="C20" s="9"/>
      <c r="G20"/>
      <c r="K20">
        <v>15</v>
      </c>
      <c r="M20" s="1"/>
      <c r="N20" s="4"/>
      <c r="O20" s="75"/>
      <c r="P20" s="75"/>
    </row>
    <row r="21" spans="1:21" ht="18" x14ac:dyDescent="0.35">
      <c r="A21" s="72" t="s">
        <v>74</v>
      </c>
      <c r="B21" s="73">
        <f>+B20/2</f>
        <v>-18660000</v>
      </c>
      <c r="G21"/>
      <c r="M21" s="1"/>
      <c r="N21" s="4"/>
      <c r="O21" s="75"/>
      <c r="P21" s="75"/>
    </row>
    <row r="22" spans="1:21" x14ac:dyDescent="0.3">
      <c r="G22"/>
      <c r="H22" s="9"/>
      <c r="I22" s="9"/>
    </row>
    <row r="23" spans="1:21" x14ac:dyDescent="0.3">
      <c r="C23" s="9"/>
      <c r="F23"/>
      <c r="G23"/>
      <c r="H23" s="9"/>
      <c r="I23" s="9"/>
    </row>
    <row r="24" spans="1:21" ht="31.95" customHeight="1" x14ac:dyDescent="0.3">
      <c r="C24" s="9"/>
      <c r="F24"/>
      <c r="G24"/>
      <c r="H24" s="9"/>
      <c r="I24" s="9"/>
    </row>
    <row r="25" spans="1:21" x14ac:dyDescent="0.3">
      <c r="C25" s="9"/>
      <c r="F25"/>
      <c r="G25"/>
      <c r="H25" s="9"/>
      <c r="I25" s="9"/>
    </row>
    <row r="26" spans="1:21" x14ac:dyDescent="0.3">
      <c r="B26" s="206"/>
      <c r="C26" s="9"/>
      <c r="F26"/>
      <c r="G26"/>
      <c r="H26" s="9"/>
      <c r="I26" s="9"/>
    </row>
    <row r="27" spans="1:21" x14ac:dyDescent="0.3">
      <c r="C27" s="9"/>
      <c r="F27"/>
      <c r="G27"/>
      <c r="H27" s="9"/>
      <c r="I27" s="9"/>
      <c r="R27" s="1"/>
      <c r="S27" s="4"/>
      <c r="T27" s="75"/>
      <c r="U27" s="75"/>
    </row>
    <row r="28" spans="1:21" x14ac:dyDescent="0.3">
      <c r="H28" s="9"/>
      <c r="I28" s="9"/>
      <c r="R28" s="1"/>
      <c r="S28" s="4"/>
      <c r="T28" s="75"/>
      <c r="U28" s="75"/>
    </row>
    <row r="29" spans="1:21" x14ac:dyDescent="0.3">
      <c r="H29" s="9"/>
      <c r="I29" s="9"/>
      <c r="R29" s="1"/>
      <c r="S29" s="4"/>
      <c r="T29" s="75"/>
      <c r="U29" s="75"/>
    </row>
    <row r="30" spans="1:21" x14ac:dyDescent="0.3">
      <c r="H30" s="9"/>
      <c r="I30" s="9"/>
      <c r="R30" s="1"/>
      <c r="S30" s="4"/>
      <c r="T30" s="75"/>
      <c r="U30" s="75"/>
    </row>
    <row r="31" spans="1:21" x14ac:dyDescent="0.3">
      <c r="H31" s="9"/>
      <c r="I31" s="9"/>
      <c r="R31" s="1"/>
      <c r="S31" s="4"/>
      <c r="T31" s="75"/>
      <c r="U31" s="75"/>
    </row>
    <row r="32" spans="1:21" x14ac:dyDescent="0.3">
      <c r="C32" s="9"/>
      <c r="H32" s="9"/>
      <c r="I32" s="9"/>
      <c r="R32" s="1"/>
      <c r="S32" s="4"/>
      <c r="T32" s="75"/>
      <c r="U32" s="75"/>
    </row>
    <row r="33" spans="3:21" x14ac:dyDescent="0.3">
      <c r="C33" s="9"/>
      <c r="H33" s="9"/>
      <c r="I33" s="9"/>
      <c r="R33" s="1"/>
      <c r="S33" s="4"/>
      <c r="T33" s="75"/>
      <c r="U33" s="75"/>
    </row>
    <row r="34" spans="3:21" x14ac:dyDescent="0.3">
      <c r="C34" s="9"/>
      <c r="H34" s="9"/>
      <c r="I34" s="9"/>
    </row>
    <row r="35" spans="3:21" x14ac:dyDescent="0.3">
      <c r="D35"/>
      <c r="E35"/>
      <c r="F35"/>
      <c r="G35"/>
      <c r="H35" s="9"/>
      <c r="I35" s="9"/>
    </row>
    <row r="36" spans="3:21" x14ac:dyDescent="0.3">
      <c r="D36"/>
      <c r="E36"/>
      <c r="F36"/>
      <c r="G36"/>
    </row>
    <row r="37" spans="3:21" x14ac:dyDescent="0.3">
      <c r="D37"/>
      <c r="E37"/>
      <c r="F37"/>
      <c r="G37"/>
    </row>
    <row r="38" spans="3:21" x14ac:dyDescent="0.3">
      <c r="D38"/>
      <c r="E38"/>
      <c r="F38"/>
      <c r="G38"/>
    </row>
  </sheetData>
  <mergeCells count="3">
    <mergeCell ref="M2:O2"/>
    <mergeCell ref="H2:J2"/>
    <mergeCell ref="R2:T2"/>
  </mergeCells>
  <pageMargins left="0.7" right="0.7" top="0.75" bottom="0.75" header="0.3" footer="0.3"/>
  <pageSetup paperSize="9" orientation="portrait" r:id="rId1"/>
  <ignoredErrors>
    <ignoredError sqref="F1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A1:F56"/>
  <sheetViews>
    <sheetView view="pageBreakPreview" topLeftCell="C1" zoomScale="131" zoomScaleNormal="100" zoomScaleSheetLayoutView="131" workbookViewId="0">
      <pane ySplit="1" topLeftCell="A18" activePane="bottomLeft" state="frozen"/>
      <selection pane="bottomLeft" activeCell="E23" sqref="E23"/>
    </sheetView>
  </sheetViews>
  <sheetFormatPr defaultRowHeight="14.4" x14ac:dyDescent="0.3"/>
  <cols>
    <col min="1" max="1" width="13.44140625" style="25" customWidth="1"/>
    <col min="2" max="3" width="16" customWidth="1"/>
    <col min="4" max="4" width="21.88671875" customWidth="1"/>
    <col min="5" max="6" width="32.88671875" customWidth="1"/>
  </cols>
  <sheetData>
    <row r="1" spans="1:6" ht="46.2" customHeight="1" x14ac:dyDescent="0.3">
      <c r="A1" s="50" t="s">
        <v>0</v>
      </c>
      <c r="B1" s="50" t="s">
        <v>99</v>
      </c>
      <c r="C1" s="77" t="s">
        <v>100</v>
      </c>
      <c r="D1" s="50" t="s">
        <v>75</v>
      </c>
      <c r="E1" s="50" t="s">
        <v>77</v>
      </c>
      <c r="F1" s="50" t="s">
        <v>68</v>
      </c>
    </row>
    <row r="2" spans="1:6" x14ac:dyDescent="0.3">
      <c r="A2" s="151"/>
      <c r="B2" s="54"/>
      <c r="C2" s="54"/>
      <c r="D2" s="54"/>
      <c r="E2" s="54" t="s">
        <v>80</v>
      </c>
      <c r="F2" s="54">
        <v>380</v>
      </c>
    </row>
    <row r="3" spans="1:6" x14ac:dyDescent="0.3">
      <c r="A3" s="151" t="s">
        <v>847</v>
      </c>
      <c r="B3" s="54">
        <v>594</v>
      </c>
      <c r="C3" s="54">
        <v>594</v>
      </c>
      <c r="D3" s="54"/>
      <c r="E3" s="54" t="s">
        <v>81</v>
      </c>
      <c r="F3" s="54">
        <v>104</v>
      </c>
    </row>
    <row r="4" spans="1:6" x14ac:dyDescent="0.3">
      <c r="A4" s="151"/>
      <c r="B4" s="54"/>
      <c r="C4" s="54"/>
      <c r="D4" s="54"/>
      <c r="E4" s="54" t="s">
        <v>82</v>
      </c>
      <c r="F4" s="54">
        <v>107</v>
      </c>
    </row>
    <row r="5" spans="1:6" x14ac:dyDescent="0.3">
      <c r="A5" s="151"/>
      <c r="B5" s="54"/>
      <c r="C5" s="54"/>
      <c r="D5" s="54"/>
      <c r="E5" s="54" t="s">
        <v>83</v>
      </c>
      <c r="F5" s="54">
        <v>349</v>
      </c>
    </row>
    <row r="6" spans="1:6" x14ac:dyDescent="0.3">
      <c r="A6" s="151"/>
      <c r="B6" s="54"/>
      <c r="C6" s="54"/>
      <c r="D6" s="54"/>
      <c r="E6" s="54" t="s">
        <v>84</v>
      </c>
      <c r="F6" s="54">
        <v>300</v>
      </c>
    </row>
    <row r="7" spans="1:6" x14ac:dyDescent="0.3">
      <c r="A7" s="151"/>
      <c r="B7" s="54"/>
      <c r="C7" s="54"/>
      <c r="D7" s="54"/>
      <c r="E7" s="54" t="s">
        <v>85</v>
      </c>
      <c r="F7" s="54">
        <v>286</v>
      </c>
    </row>
    <row r="8" spans="1:6" x14ac:dyDescent="0.3">
      <c r="A8" s="151"/>
      <c r="B8" s="54"/>
      <c r="C8" s="54"/>
      <c r="D8" s="54"/>
      <c r="E8" s="54" t="s">
        <v>86</v>
      </c>
      <c r="F8" s="54">
        <v>78</v>
      </c>
    </row>
    <row r="9" spans="1:6" x14ac:dyDescent="0.3">
      <c r="A9" s="151"/>
      <c r="B9" s="54"/>
      <c r="C9" s="54"/>
      <c r="D9" s="54"/>
      <c r="E9" s="54" t="s">
        <v>87</v>
      </c>
      <c r="F9" s="54">
        <v>570</v>
      </c>
    </row>
    <row r="10" spans="1:6" x14ac:dyDescent="0.3">
      <c r="A10" s="151"/>
      <c r="B10" s="54"/>
      <c r="C10" s="54"/>
      <c r="D10" s="54"/>
      <c r="E10" s="54" t="s">
        <v>88</v>
      </c>
      <c r="F10" s="54">
        <v>310</v>
      </c>
    </row>
    <row r="11" spans="1:6" x14ac:dyDescent="0.3">
      <c r="A11" s="151"/>
      <c r="B11" s="54"/>
      <c r="C11" s="54"/>
      <c r="D11" s="54"/>
      <c r="E11" s="54" t="s">
        <v>89</v>
      </c>
      <c r="F11" s="54">
        <v>407</v>
      </c>
    </row>
    <row r="12" spans="1:6" x14ac:dyDescent="0.3">
      <c r="A12" s="151"/>
      <c r="B12" s="54"/>
      <c r="C12" s="54"/>
      <c r="D12" s="54"/>
      <c r="E12" s="54" t="s">
        <v>89</v>
      </c>
      <c r="F12" s="54">
        <v>95</v>
      </c>
    </row>
    <row r="13" spans="1:6" x14ac:dyDescent="0.3">
      <c r="A13" s="151"/>
      <c r="B13" s="54"/>
      <c r="C13" s="54"/>
      <c r="D13" s="54"/>
      <c r="E13" s="54" t="s">
        <v>90</v>
      </c>
      <c r="F13" s="54">
        <v>105</v>
      </c>
    </row>
    <row r="14" spans="1:6" x14ac:dyDescent="0.3">
      <c r="A14" s="151"/>
      <c r="B14" s="54"/>
      <c r="C14" s="54"/>
      <c r="D14" s="54"/>
      <c r="E14" s="54" t="s">
        <v>91</v>
      </c>
      <c r="F14" s="54">
        <v>280</v>
      </c>
    </row>
    <row r="15" spans="1:6" x14ac:dyDescent="0.3">
      <c r="A15" s="151"/>
      <c r="B15" s="54"/>
      <c r="C15" s="54"/>
      <c r="D15" s="54"/>
      <c r="E15" s="54" t="s">
        <v>92</v>
      </c>
      <c r="F15" s="54">
        <v>7</v>
      </c>
    </row>
    <row r="16" spans="1:6" x14ac:dyDescent="0.3">
      <c r="A16" s="151"/>
      <c r="B16" s="60"/>
      <c r="C16" s="60"/>
      <c r="D16" s="54"/>
      <c r="E16" s="60" t="s">
        <v>93</v>
      </c>
      <c r="F16" s="60">
        <v>3540</v>
      </c>
    </row>
    <row r="17" spans="1:6" x14ac:dyDescent="0.3">
      <c r="A17" s="151"/>
      <c r="B17" s="60"/>
      <c r="C17" s="60"/>
      <c r="D17" s="54"/>
      <c r="E17" s="60" t="s">
        <v>94</v>
      </c>
      <c r="F17" s="60">
        <v>741</v>
      </c>
    </row>
    <row r="18" spans="1:6" x14ac:dyDescent="0.3">
      <c r="A18" s="151"/>
      <c r="B18" s="60"/>
      <c r="C18" s="60"/>
      <c r="D18" s="54"/>
      <c r="E18" s="60" t="s">
        <v>95</v>
      </c>
      <c r="F18" s="60">
        <v>154</v>
      </c>
    </row>
    <row r="19" spans="1:6" x14ac:dyDescent="0.3">
      <c r="A19" s="151"/>
      <c r="B19" s="60"/>
      <c r="C19" s="60"/>
      <c r="D19" s="54"/>
      <c r="E19" s="60" t="s">
        <v>96</v>
      </c>
      <c r="F19" s="60">
        <v>136</v>
      </c>
    </row>
    <row r="20" spans="1:6" x14ac:dyDescent="0.3">
      <c r="A20" s="151"/>
      <c r="B20" s="60"/>
      <c r="C20" s="60"/>
      <c r="D20" s="54"/>
      <c r="E20" s="60" t="s">
        <v>97</v>
      </c>
      <c r="F20" s="60">
        <v>484</v>
      </c>
    </row>
    <row r="21" spans="1:6" x14ac:dyDescent="0.3">
      <c r="A21" s="151"/>
      <c r="B21" s="60"/>
      <c r="C21" s="60"/>
      <c r="D21" s="54"/>
      <c r="E21" s="60" t="s">
        <v>98</v>
      </c>
      <c r="F21" s="60">
        <v>256</v>
      </c>
    </row>
    <row r="22" spans="1:6" x14ac:dyDescent="0.3">
      <c r="A22" s="151"/>
      <c r="B22" s="60"/>
      <c r="C22" s="60"/>
      <c r="D22" s="54"/>
      <c r="E22" s="60" t="s">
        <v>1628</v>
      </c>
      <c r="F22" s="60"/>
    </row>
    <row r="23" spans="1:6" x14ac:dyDescent="0.3">
      <c r="A23" s="151"/>
      <c r="B23" s="60"/>
      <c r="C23" s="60"/>
      <c r="D23" s="54"/>
      <c r="E23" s="60"/>
      <c r="F23" s="60"/>
    </row>
    <row r="24" spans="1:6" x14ac:dyDescent="0.3">
      <c r="A24" s="151"/>
      <c r="B24" s="60"/>
      <c r="C24" s="60"/>
      <c r="D24" s="54"/>
      <c r="E24" s="60"/>
      <c r="F24" s="60"/>
    </row>
    <row r="25" spans="1:6" x14ac:dyDescent="0.3">
      <c r="A25" s="151"/>
      <c r="B25" s="60"/>
      <c r="C25" s="60"/>
      <c r="D25" s="54">
        <v>95</v>
      </c>
      <c r="E25" s="60"/>
      <c r="F25" s="60"/>
    </row>
    <row r="26" spans="1:6" x14ac:dyDescent="0.3">
      <c r="A26" s="151"/>
      <c r="B26" s="60"/>
      <c r="C26" s="60"/>
      <c r="D26" s="54"/>
      <c r="E26" s="60"/>
      <c r="F26" s="60"/>
    </row>
    <row r="27" spans="1:6" x14ac:dyDescent="0.3">
      <c r="A27" s="151"/>
      <c r="B27" s="60"/>
      <c r="C27" s="60"/>
      <c r="D27" s="54"/>
      <c r="E27" s="60"/>
      <c r="F27" s="60"/>
    </row>
    <row r="28" spans="1:6" x14ac:dyDescent="0.3">
      <c r="A28" s="151"/>
      <c r="B28" s="60"/>
      <c r="C28" s="60"/>
      <c r="D28" s="54"/>
      <c r="E28" s="60" t="s">
        <v>280</v>
      </c>
      <c r="F28" s="60">
        <v>15000</v>
      </c>
    </row>
    <row r="29" spans="1:6" x14ac:dyDescent="0.3">
      <c r="A29" s="151"/>
      <c r="B29" s="60"/>
      <c r="C29" s="60"/>
      <c r="D29" s="54"/>
      <c r="E29" s="60" t="s">
        <v>159</v>
      </c>
      <c r="F29" s="60">
        <v>5000</v>
      </c>
    </row>
    <row r="30" spans="1:6" x14ac:dyDescent="0.3">
      <c r="A30" s="151"/>
      <c r="B30" s="60"/>
      <c r="C30" s="60"/>
      <c r="D30" s="54"/>
      <c r="E30" s="60" t="s">
        <v>242</v>
      </c>
      <c r="F30" s="60">
        <v>5000</v>
      </c>
    </row>
    <row r="31" spans="1:6" x14ac:dyDescent="0.3">
      <c r="A31" s="151"/>
      <c r="B31" s="60"/>
      <c r="C31" s="60"/>
      <c r="D31" s="54"/>
      <c r="E31" s="60" t="s">
        <v>279</v>
      </c>
      <c r="F31" s="60">
        <v>5000</v>
      </c>
    </row>
    <row r="32" spans="1:6" x14ac:dyDescent="0.3">
      <c r="A32" s="151"/>
      <c r="B32" s="60"/>
      <c r="C32" s="60"/>
      <c r="D32" s="54"/>
      <c r="E32" s="60" t="s">
        <v>401</v>
      </c>
      <c r="F32" s="60">
        <v>10000</v>
      </c>
    </row>
    <row r="33" spans="1:6" x14ac:dyDescent="0.3">
      <c r="A33" s="151"/>
      <c r="B33" s="60"/>
      <c r="C33" s="60"/>
      <c r="D33" s="54"/>
      <c r="E33" s="60"/>
      <c r="F33" s="60"/>
    </row>
    <row r="34" spans="1:6" x14ac:dyDescent="0.3">
      <c r="A34" s="151"/>
      <c r="B34" s="60"/>
      <c r="C34" s="60"/>
      <c r="D34" s="54"/>
      <c r="E34" s="60"/>
      <c r="F34" s="60"/>
    </row>
    <row r="35" spans="1:6" x14ac:dyDescent="0.3">
      <c r="A35" s="151"/>
      <c r="B35" s="60"/>
      <c r="C35" s="60"/>
      <c r="D35" s="54"/>
      <c r="E35" s="60"/>
      <c r="F35" s="60"/>
    </row>
    <row r="36" spans="1:6" x14ac:dyDescent="0.3">
      <c r="A36" s="151"/>
      <c r="B36" s="60"/>
      <c r="C36" s="60"/>
      <c r="D36" s="54"/>
      <c r="E36" s="60"/>
      <c r="F36" s="60"/>
    </row>
    <row r="37" spans="1:6" x14ac:dyDescent="0.3">
      <c r="A37" s="151"/>
      <c r="B37" s="60"/>
      <c r="C37" s="60"/>
      <c r="D37" s="54"/>
      <c r="E37" s="60"/>
      <c r="F37" s="60"/>
    </row>
    <row r="38" spans="1:6" x14ac:dyDescent="0.3">
      <c r="A38" s="151"/>
      <c r="B38" s="60"/>
      <c r="C38" s="60"/>
      <c r="D38" s="54"/>
      <c r="E38" s="60"/>
      <c r="F38" s="60"/>
    </row>
    <row r="39" spans="1:6" x14ac:dyDescent="0.3">
      <c r="A39" s="151"/>
      <c r="B39" s="60"/>
      <c r="C39" s="60"/>
      <c r="D39" s="54"/>
      <c r="E39" s="60"/>
      <c r="F39" s="60"/>
    </row>
    <row r="40" spans="1:6" x14ac:dyDescent="0.3">
      <c r="A40" s="151"/>
      <c r="B40" s="60"/>
      <c r="C40" s="60"/>
      <c r="D40" s="54"/>
      <c r="E40" s="60"/>
      <c r="F40" s="60"/>
    </row>
    <row r="41" spans="1:6" x14ac:dyDescent="0.3">
      <c r="A41" s="151"/>
      <c r="B41" s="60"/>
      <c r="C41" s="60"/>
      <c r="D41" s="54"/>
      <c r="E41" s="60"/>
      <c r="F41" s="60"/>
    </row>
    <row r="42" spans="1:6" x14ac:dyDescent="0.3">
      <c r="A42" s="151"/>
      <c r="B42" s="60"/>
      <c r="C42" s="60"/>
      <c r="D42" s="54"/>
      <c r="E42" s="60"/>
      <c r="F42" s="60"/>
    </row>
    <row r="43" spans="1:6" x14ac:dyDescent="0.3">
      <c r="A43" s="151"/>
      <c r="B43" s="60"/>
      <c r="C43" s="60"/>
      <c r="D43" s="54"/>
      <c r="E43" s="60"/>
      <c r="F43" s="60"/>
    </row>
    <row r="44" spans="1:6" x14ac:dyDescent="0.3">
      <c r="A44" s="151"/>
      <c r="B44" s="60"/>
      <c r="C44" s="60"/>
      <c r="D44" s="54"/>
      <c r="E44" s="60"/>
      <c r="F44" s="60"/>
    </row>
    <row r="45" spans="1:6" x14ac:dyDescent="0.3">
      <c r="A45" s="151"/>
      <c r="B45" s="60"/>
      <c r="C45" s="60"/>
      <c r="D45" s="54"/>
      <c r="E45" s="60"/>
      <c r="F45" s="60"/>
    </row>
    <row r="46" spans="1:6" x14ac:dyDescent="0.3">
      <c r="A46" s="151"/>
      <c r="B46" s="60"/>
      <c r="C46" s="60"/>
      <c r="D46" s="54"/>
      <c r="E46" s="60"/>
      <c r="F46" s="60"/>
    </row>
    <row r="47" spans="1:6" x14ac:dyDescent="0.3">
      <c r="A47" s="151"/>
      <c r="B47" s="60"/>
      <c r="C47" s="60"/>
      <c r="D47" s="54"/>
      <c r="E47" s="60"/>
      <c r="F47" s="60"/>
    </row>
    <row r="48" spans="1:6" x14ac:dyDescent="0.3">
      <c r="A48" s="151"/>
      <c r="B48" s="60"/>
      <c r="C48" s="60"/>
      <c r="D48" s="54"/>
      <c r="E48" s="60"/>
      <c r="F48" s="60"/>
    </row>
    <row r="49" spans="1:6" x14ac:dyDescent="0.3">
      <c r="A49" s="151"/>
      <c r="B49" s="60"/>
      <c r="C49" s="60"/>
      <c r="D49" s="54"/>
      <c r="E49" s="60"/>
      <c r="F49" s="60"/>
    </row>
    <row r="50" spans="1:6" x14ac:dyDescent="0.3">
      <c r="A50" s="151"/>
      <c r="B50" s="60"/>
      <c r="C50" s="60"/>
      <c r="D50" s="54"/>
      <c r="E50" s="60"/>
      <c r="F50" s="60"/>
    </row>
    <row r="51" spans="1:6" ht="15.6" x14ac:dyDescent="0.3">
      <c r="A51" s="152"/>
      <c r="B51" s="61">
        <f>+SUM(B2:B50)</f>
        <v>594</v>
      </c>
      <c r="C51" s="61">
        <f>+SUM(C2:C50)</f>
        <v>594</v>
      </c>
      <c r="D51" s="61">
        <f>+SUM(D2:D50)</f>
        <v>95</v>
      </c>
      <c r="E51" s="61"/>
      <c r="F51" s="61">
        <f>+SUM(F2:F50)</f>
        <v>48689</v>
      </c>
    </row>
    <row r="52" spans="1:6" x14ac:dyDescent="0.3">
      <c r="B52" s="9"/>
      <c r="C52" s="9"/>
      <c r="D52" s="9"/>
    </row>
    <row r="53" spans="1:6" ht="25.8" x14ac:dyDescent="0.3">
      <c r="A53" s="153"/>
      <c r="B53" s="80" t="s">
        <v>76</v>
      </c>
      <c r="C53" s="48">
        <f>+B51-C51</f>
        <v>0</v>
      </c>
    </row>
    <row r="54" spans="1:6" ht="25.8" x14ac:dyDescent="0.3">
      <c r="A54" s="153"/>
      <c r="B54" s="79" t="s">
        <v>78</v>
      </c>
      <c r="C54" s="48">
        <f>+D51</f>
        <v>95</v>
      </c>
    </row>
    <row r="55" spans="1:6" ht="25.8" x14ac:dyDescent="0.3">
      <c r="A55" s="153"/>
      <c r="B55" s="79" t="s">
        <v>77</v>
      </c>
      <c r="C55" s="48">
        <f>+F51</f>
        <v>48689</v>
      </c>
      <c r="E55" s="9"/>
      <c r="F55" s="9"/>
    </row>
    <row r="56" spans="1:6" ht="25.8" x14ac:dyDescent="0.3">
      <c r="B56" s="157" t="s">
        <v>10</v>
      </c>
      <c r="C56" s="158">
        <f>+SUM(C53:C55)</f>
        <v>48784</v>
      </c>
      <c r="D56" s="159">
        <f>+C56*2900</f>
        <v>141473600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G475"/>
  <sheetViews>
    <sheetView workbookViewId="0">
      <pane ySplit="2" topLeftCell="A3" activePane="bottomLeft" state="frozen"/>
      <selection pane="bottomLeft" activeCell="E119" sqref="E119:E126"/>
    </sheetView>
  </sheetViews>
  <sheetFormatPr defaultRowHeight="14.4" x14ac:dyDescent="0.3"/>
  <cols>
    <col min="1" max="1" width="12" customWidth="1"/>
    <col min="2" max="2" width="17.5546875" customWidth="1"/>
    <col min="3" max="4" width="22.88671875" bestFit="1" customWidth="1"/>
    <col min="5" max="5" width="32.44140625" customWidth="1"/>
    <col min="6" max="6" width="9.88671875" bestFit="1" customWidth="1"/>
  </cols>
  <sheetData>
    <row r="1" spans="1:4" ht="36.6" thickBot="1" x14ac:dyDescent="0.35">
      <c r="A1" s="28" t="s">
        <v>0</v>
      </c>
      <c r="B1" s="191" t="s">
        <v>200</v>
      </c>
      <c r="C1" s="191" t="s">
        <v>928</v>
      </c>
      <c r="D1" s="191" t="s">
        <v>223</v>
      </c>
    </row>
    <row r="2" spans="1:4" ht="19.8" x14ac:dyDescent="0.3">
      <c r="A2" s="261">
        <f>B3-C3</f>
        <v>-14976200</v>
      </c>
      <c r="B2" s="262"/>
      <c r="C2" s="262"/>
      <c r="D2" s="1"/>
    </row>
    <row r="3" spans="1:4" ht="18" thickBot="1" x14ac:dyDescent="0.35">
      <c r="A3" s="102"/>
      <c r="B3" s="103">
        <f>+SUM(B4:B10022)</f>
        <v>1158731600</v>
      </c>
      <c r="C3" s="103">
        <f>+SUM(C4:C10022)</f>
        <v>1173707800</v>
      </c>
      <c r="D3" s="103"/>
    </row>
    <row r="4" spans="1:4" hidden="1" x14ac:dyDescent="0.3">
      <c r="A4" s="1" t="s">
        <v>466</v>
      </c>
      <c r="B4" s="4"/>
      <c r="C4" s="75">
        <f>4650*3600</f>
        <v>16740000</v>
      </c>
      <c r="D4" s="75" t="s">
        <v>482</v>
      </c>
    </row>
    <row r="5" spans="1:4" hidden="1" x14ac:dyDescent="0.3">
      <c r="A5" s="1" t="s">
        <v>522</v>
      </c>
      <c r="B5" s="4">
        <v>16470000</v>
      </c>
      <c r="C5" s="75"/>
      <c r="D5" s="75" t="s">
        <v>523</v>
      </c>
    </row>
    <row r="6" spans="1:4" hidden="1" x14ac:dyDescent="0.3">
      <c r="A6" s="1"/>
      <c r="B6" s="4">
        <f>750*3000</f>
        <v>2250000</v>
      </c>
      <c r="C6" s="75"/>
      <c r="D6" s="75" t="s">
        <v>524</v>
      </c>
    </row>
    <row r="7" spans="1:4" hidden="1" x14ac:dyDescent="0.3">
      <c r="A7" s="1"/>
      <c r="B7" s="4"/>
      <c r="C7" s="75">
        <f>11590*3500</f>
        <v>40565000</v>
      </c>
      <c r="D7" s="75" t="s">
        <v>536</v>
      </c>
    </row>
    <row r="8" spans="1:4" hidden="1" x14ac:dyDescent="0.3">
      <c r="A8" s="1" t="s">
        <v>529</v>
      </c>
      <c r="B8" s="75">
        <f>2500*12150</f>
        <v>30375000</v>
      </c>
      <c r="C8" s="75"/>
      <c r="D8" s="75" t="s">
        <v>552</v>
      </c>
    </row>
    <row r="9" spans="1:4" hidden="1" x14ac:dyDescent="0.3">
      <c r="A9" s="1" t="s">
        <v>546</v>
      </c>
      <c r="B9" s="75">
        <v>20000000</v>
      </c>
      <c r="C9" s="75">
        <f>9480*3500</f>
        <v>33180000</v>
      </c>
      <c r="D9" s="75" t="s">
        <v>564</v>
      </c>
    </row>
    <row r="10" spans="1:4" hidden="1" x14ac:dyDescent="0.3">
      <c r="A10" s="178" t="s">
        <v>576</v>
      </c>
      <c r="B10" s="4">
        <v>22000000</v>
      </c>
      <c r="C10" s="75">
        <f>7780*3500</f>
        <v>27230000</v>
      </c>
      <c r="D10" s="75" t="s">
        <v>580</v>
      </c>
    </row>
    <row r="11" spans="1:4" hidden="1" x14ac:dyDescent="0.3">
      <c r="A11" s="1" t="s">
        <v>584</v>
      </c>
      <c r="B11" s="4"/>
      <c r="C11" s="75">
        <f>4530*3200</f>
        <v>14496000</v>
      </c>
      <c r="D11" s="75" t="s">
        <v>598</v>
      </c>
    </row>
    <row r="12" spans="1:4" hidden="1" x14ac:dyDescent="0.3">
      <c r="A12" s="1" t="s">
        <v>601</v>
      </c>
      <c r="B12" s="4">
        <f>1500*12100</f>
        <v>18150000</v>
      </c>
      <c r="C12" s="75">
        <f>4900*3600</f>
        <v>17640000</v>
      </c>
      <c r="D12" s="75" t="s">
        <v>611</v>
      </c>
    </row>
    <row r="13" spans="1:4" hidden="1" x14ac:dyDescent="0.3">
      <c r="A13" s="1" t="s">
        <v>615</v>
      </c>
      <c r="B13" s="4">
        <v>24100000</v>
      </c>
      <c r="C13" s="75"/>
      <c r="D13" s="75" t="s">
        <v>622</v>
      </c>
    </row>
    <row r="14" spans="1:4" hidden="1" x14ac:dyDescent="0.3">
      <c r="A14" s="1" t="s">
        <v>651</v>
      </c>
      <c r="B14" s="4"/>
      <c r="C14" s="75">
        <f>3930*3600</f>
        <v>14148000</v>
      </c>
      <c r="D14" s="75" t="s">
        <v>656</v>
      </c>
    </row>
    <row r="15" spans="1:4" hidden="1" x14ac:dyDescent="0.3">
      <c r="A15" s="1" t="s">
        <v>660</v>
      </c>
      <c r="B15" s="75">
        <v>12050000</v>
      </c>
      <c r="C15" s="75">
        <f>4920*3600</f>
        <v>17712000</v>
      </c>
      <c r="D15" s="75" t="s">
        <v>672</v>
      </c>
    </row>
    <row r="16" spans="1:4" hidden="1" x14ac:dyDescent="0.3">
      <c r="A16" s="1" t="s">
        <v>674</v>
      </c>
      <c r="B16" s="4">
        <v>25000000</v>
      </c>
      <c r="C16" s="75"/>
      <c r="D16" s="75"/>
    </row>
    <row r="17" spans="1:4" hidden="1" x14ac:dyDescent="0.3">
      <c r="A17" s="1" t="s">
        <v>682</v>
      </c>
      <c r="B17" s="4"/>
      <c r="C17" s="4">
        <f>5080*3600</f>
        <v>18288000</v>
      </c>
      <c r="D17" s="75" t="s">
        <v>690</v>
      </c>
    </row>
    <row r="18" spans="1:4" hidden="1" x14ac:dyDescent="0.3">
      <c r="A18" s="1" t="s">
        <v>697</v>
      </c>
      <c r="B18" s="4"/>
      <c r="C18" s="75">
        <f>4420*3600</f>
        <v>15912000</v>
      </c>
      <c r="D18" s="75" t="s">
        <v>709</v>
      </c>
    </row>
    <row r="19" spans="1:4" hidden="1" x14ac:dyDescent="0.3">
      <c r="A19" s="1" t="s">
        <v>710</v>
      </c>
      <c r="B19" s="4">
        <v>12150000</v>
      </c>
      <c r="C19" s="75"/>
      <c r="D19" s="75" t="s">
        <v>511</v>
      </c>
    </row>
    <row r="20" spans="1:4" hidden="1" x14ac:dyDescent="0.3">
      <c r="A20" s="1" t="s">
        <v>712</v>
      </c>
      <c r="B20" s="4">
        <f>2000*12050</f>
        <v>24100000</v>
      </c>
      <c r="C20" s="75"/>
      <c r="D20" s="75" t="s">
        <v>716</v>
      </c>
    </row>
    <row r="21" spans="1:4" hidden="1" x14ac:dyDescent="0.3">
      <c r="A21" s="1"/>
      <c r="B21" s="4"/>
      <c r="C21" s="75">
        <f>5000*3600</f>
        <v>18000000</v>
      </c>
      <c r="D21" s="75" t="s">
        <v>717</v>
      </c>
    </row>
    <row r="22" spans="1:4" hidden="1" x14ac:dyDescent="0.3">
      <c r="A22" s="1" t="s">
        <v>756</v>
      </c>
      <c r="B22" s="4"/>
      <c r="C22" s="75">
        <f>5180*3200</f>
        <v>16576000</v>
      </c>
      <c r="D22" s="75" t="s">
        <v>762</v>
      </c>
    </row>
    <row r="23" spans="1:4" hidden="1" x14ac:dyDescent="0.3">
      <c r="A23" s="1" t="s">
        <v>808</v>
      </c>
      <c r="B23" s="4">
        <v>16000000</v>
      </c>
      <c r="C23" s="75"/>
      <c r="D23" s="75" t="s">
        <v>123</v>
      </c>
    </row>
    <row r="24" spans="1:4" hidden="1" x14ac:dyDescent="0.3">
      <c r="A24" s="1"/>
      <c r="B24" s="4"/>
      <c r="C24" s="75">
        <v>3000000</v>
      </c>
      <c r="D24" s="75" t="s">
        <v>589</v>
      </c>
    </row>
    <row r="25" spans="1:4" hidden="1" x14ac:dyDescent="0.3">
      <c r="A25" s="1" t="s">
        <v>855</v>
      </c>
      <c r="B25" s="4"/>
      <c r="C25" s="181">
        <f>126*3500</f>
        <v>441000</v>
      </c>
      <c r="D25" s="181" t="s">
        <v>858</v>
      </c>
    </row>
    <row r="26" spans="1:4" hidden="1" x14ac:dyDescent="0.3">
      <c r="A26" s="1" t="s">
        <v>878</v>
      </c>
      <c r="B26" s="4"/>
      <c r="C26" s="75">
        <f>4400*3600</f>
        <v>15840000</v>
      </c>
      <c r="D26" s="75" t="s">
        <v>879</v>
      </c>
    </row>
    <row r="27" spans="1:4" hidden="1" x14ac:dyDescent="0.3">
      <c r="A27" s="1" t="s">
        <v>882</v>
      </c>
      <c r="B27" s="4">
        <v>7000000</v>
      </c>
      <c r="C27" s="75"/>
      <c r="D27" s="75"/>
    </row>
    <row r="28" spans="1:4" hidden="1" x14ac:dyDescent="0.3">
      <c r="A28" s="1"/>
      <c r="B28" s="4">
        <f>1300*12150</f>
        <v>15795000</v>
      </c>
      <c r="C28" s="75"/>
      <c r="D28" s="75"/>
    </row>
    <row r="29" spans="1:4" hidden="1" x14ac:dyDescent="0.3">
      <c r="A29" s="1" t="s">
        <v>888</v>
      </c>
      <c r="B29" s="4"/>
      <c r="C29" s="75">
        <f>3580*3600</f>
        <v>12888000</v>
      </c>
      <c r="D29" s="75" t="s">
        <v>891</v>
      </c>
    </row>
    <row r="30" spans="1:4" hidden="1" x14ac:dyDescent="0.3">
      <c r="A30" s="1" t="s">
        <v>894</v>
      </c>
      <c r="B30" s="4">
        <f>1500*12140</f>
        <v>18210000</v>
      </c>
      <c r="C30" s="75"/>
      <c r="D30" s="75"/>
    </row>
    <row r="31" spans="1:4" hidden="1" x14ac:dyDescent="0.3">
      <c r="A31" s="1" t="s">
        <v>898</v>
      </c>
      <c r="B31" s="4"/>
      <c r="C31" s="75">
        <f>4680*3600</f>
        <v>16848000</v>
      </c>
      <c r="D31" s="75" t="s">
        <v>901</v>
      </c>
    </row>
    <row r="32" spans="1:4" hidden="1" x14ac:dyDescent="0.3">
      <c r="A32" s="1" t="s">
        <v>911</v>
      </c>
      <c r="B32" s="4">
        <v>20000000</v>
      </c>
      <c r="C32" s="75"/>
      <c r="D32" s="75" t="s">
        <v>916</v>
      </c>
    </row>
    <row r="33" spans="1:7" hidden="1" x14ac:dyDescent="0.3">
      <c r="A33" s="1" t="s">
        <v>919</v>
      </c>
      <c r="B33" s="4">
        <v>20000000</v>
      </c>
      <c r="C33" s="75">
        <f>6480*3600</f>
        <v>23328000</v>
      </c>
      <c r="D33" s="75" t="s">
        <v>922</v>
      </c>
    </row>
    <row r="34" spans="1:7" hidden="1" x14ac:dyDescent="0.3">
      <c r="A34" s="1" t="s">
        <v>926</v>
      </c>
      <c r="B34" s="4"/>
      <c r="C34" s="75">
        <f>4370*3200</f>
        <v>13984000</v>
      </c>
      <c r="D34" s="75" t="s">
        <v>929</v>
      </c>
    </row>
    <row r="35" spans="1:7" hidden="1" x14ac:dyDescent="0.3">
      <c r="A35" s="1" t="s">
        <v>926</v>
      </c>
      <c r="B35" s="4"/>
      <c r="C35" s="75">
        <f>4940*3600</f>
        <v>17784000</v>
      </c>
      <c r="D35" s="75" t="s">
        <v>930</v>
      </c>
    </row>
    <row r="36" spans="1:7" hidden="1" x14ac:dyDescent="0.3">
      <c r="A36" s="1" t="s">
        <v>940</v>
      </c>
      <c r="B36" s="4">
        <v>30000000</v>
      </c>
      <c r="C36" s="75">
        <f>4080*3600</f>
        <v>14688000</v>
      </c>
      <c r="D36" s="75" t="s">
        <v>946</v>
      </c>
      <c r="F36" s="9"/>
    </row>
    <row r="37" spans="1:7" hidden="1" x14ac:dyDescent="0.3">
      <c r="A37" s="1" t="s">
        <v>943</v>
      </c>
      <c r="B37" s="4">
        <v>12000000</v>
      </c>
      <c r="C37" s="75"/>
      <c r="D37" s="75" t="s">
        <v>958</v>
      </c>
    </row>
    <row r="38" spans="1:7" hidden="1" x14ac:dyDescent="0.3">
      <c r="A38" s="1" t="s">
        <v>945</v>
      </c>
      <c r="B38" s="4">
        <v>2520000</v>
      </c>
      <c r="C38" s="75"/>
      <c r="D38" s="75" t="s">
        <v>917</v>
      </c>
    </row>
    <row r="39" spans="1:7" hidden="1" x14ac:dyDescent="0.3">
      <c r="A39" s="1" t="s">
        <v>971</v>
      </c>
      <c r="B39" s="4"/>
      <c r="C39" s="75">
        <f>10150*3500</f>
        <v>35525000</v>
      </c>
      <c r="D39" s="75" t="s">
        <v>993</v>
      </c>
      <c r="E39" t="s">
        <v>1027</v>
      </c>
    </row>
    <row r="40" spans="1:7" hidden="1" x14ac:dyDescent="0.3">
      <c r="A40" s="1" t="s">
        <v>971</v>
      </c>
      <c r="B40" s="75">
        <v>23900000</v>
      </c>
      <c r="C40" s="75"/>
      <c r="D40" s="75" t="s">
        <v>994</v>
      </c>
      <c r="E40" t="s">
        <v>1028</v>
      </c>
      <c r="G40" t="s">
        <v>1037</v>
      </c>
    </row>
    <row r="41" spans="1:7" hidden="1" x14ac:dyDescent="0.3">
      <c r="A41" s="1" t="s">
        <v>802</v>
      </c>
      <c r="B41" s="4"/>
      <c r="C41" s="75">
        <f>3890*3500</f>
        <v>13615000</v>
      </c>
      <c r="D41" s="75" t="s">
        <v>1018</v>
      </c>
    </row>
    <row r="42" spans="1:7" hidden="1" x14ac:dyDescent="0.3">
      <c r="A42" s="1"/>
      <c r="B42" s="4"/>
      <c r="C42" s="75">
        <v>1200000</v>
      </c>
      <c r="D42" s="75" t="s">
        <v>1019</v>
      </c>
    </row>
    <row r="43" spans="1:7" hidden="1" x14ac:dyDescent="0.3">
      <c r="A43" s="1" t="s">
        <v>1025</v>
      </c>
      <c r="B43" s="4">
        <f>1300*11970</f>
        <v>15561000</v>
      </c>
      <c r="C43" s="75"/>
      <c r="D43" s="75" t="s">
        <v>1026</v>
      </c>
    </row>
    <row r="44" spans="1:7" hidden="1" x14ac:dyDescent="0.3">
      <c r="A44" s="1"/>
      <c r="B44" s="4"/>
      <c r="C44" s="75">
        <v>1000000</v>
      </c>
      <c r="D44" s="75" t="s">
        <v>772</v>
      </c>
    </row>
    <row r="45" spans="1:7" hidden="1" x14ac:dyDescent="0.3">
      <c r="A45" s="1"/>
      <c r="B45" s="4"/>
      <c r="C45" s="75">
        <v>800000</v>
      </c>
      <c r="D45" s="75" t="s">
        <v>1030</v>
      </c>
    </row>
    <row r="46" spans="1:7" hidden="1" x14ac:dyDescent="0.3">
      <c r="A46" s="1" t="s">
        <v>816</v>
      </c>
      <c r="B46" s="4">
        <v>15000000</v>
      </c>
      <c r="C46" s="75">
        <v>1000</v>
      </c>
      <c r="D46" s="75"/>
    </row>
    <row r="47" spans="1:7" hidden="1" x14ac:dyDescent="0.3">
      <c r="A47" s="1" t="s">
        <v>1046</v>
      </c>
      <c r="B47" s="4"/>
      <c r="C47" s="75">
        <f>7900*3500</f>
        <v>27650000</v>
      </c>
      <c r="D47" s="75" t="s">
        <v>1056</v>
      </c>
    </row>
    <row r="48" spans="1:7" hidden="1" x14ac:dyDescent="0.3">
      <c r="A48" s="1" t="s">
        <v>1059</v>
      </c>
      <c r="B48" s="4">
        <f>890*3200</f>
        <v>2848000</v>
      </c>
      <c r="C48" s="75"/>
      <c r="D48" s="75" t="s">
        <v>1061</v>
      </c>
    </row>
    <row r="49" spans="1:4" hidden="1" x14ac:dyDescent="0.3">
      <c r="A49" s="1"/>
      <c r="B49" s="4"/>
      <c r="C49" s="75">
        <v>4000000</v>
      </c>
      <c r="D49" s="75" t="s">
        <v>1062</v>
      </c>
    </row>
    <row r="50" spans="1:4" hidden="1" x14ac:dyDescent="0.3">
      <c r="A50" s="1" t="s">
        <v>1072</v>
      </c>
      <c r="B50" s="4">
        <v>12100000</v>
      </c>
      <c r="C50" s="75"/>
      <c r="D50" s="75" t="s">
        <v>511</v>
      </c>
    </row>
    <row r="51" spans="1:4" hidden="1" x14ac:dyDescent="0.3">
      <c r="A51" s="1" t="s">
        <v>1087</v>
      </c>
      <c r="B51" s="4">
        <f>2200*12130</f>
        <v>26686000</v>
      </c>
      <c r="C51" s="75"/>
      <c r="D51" s="75" t="s">
        <v>1095</v>
      </c>
    </row>
    <row r="52" spans="1:4" hidden="1" x14ac:dyDescent="0.3">
      <c r="A52" s="1"/>
      <c r="B52" s="4"/>
      <c r="C52" s="75">
        <f>6490*3500</f>
        <v>22715000</v>
      </c>
      <c r="D52" s="75" t="s">
        <v>1096</v>
      </c>
    </row>
    <row r="53" spans="1:4" hidden="1" x14ac:dyDescent="0.3">
      <c r="A53" s="1" t="s">
        <v>302</v>
      </c>
      <c r="B53" s="4">
        <v>12000000</v>
      </c>
      <c r="C53" s="75"/>
      <c r="D53" s="75"/>
    </row>
    <row r="54" spans="1:4" hidden="1" x14ac:dyDescent="0.3">
      <c r="A54" s="1" t="s">
        <v>1108</v>
      </c>
      <c r="B54" s="4">
        <f>2500*12000</f>
        <v>30000000</v>
      </c>
      <c r="C54" s="75"/>
      <c r="D54" s="75" t="s">
        <v>1117</v>
      </c>
    </row>
    <row r="55" spans="1:4" hidden="1" x14ac:dyDescent="0.3">
      <c r="A55" s="1"/>
      <c r="B55" s="4"/>
      <c r="C55" s="75">
        <f>13050*3500</f>
        <v>45675000</v>
      </c>
      <c r="D55" s="75" t="s">
        <v>1118</v>
      </c>
    </row>
    <row r="56" spans="1:4" hidden="1" x14ac:dyDescent="0.3">
      <c r="A56" s="1" t="s">
        <v>1116</v>
      </c>
      <c r="B56" s="4"/>
      <c r="C56" s="75">
        <f>3250*3250</f>
        <v>10562500</v>
      </c>
      <c r="D56" s="75" t="s">
        <v>1124</v>
      </c>
    </row>
    <row r="57" spans="1:4" hidden="1" x14ac:dyDescent="0.3">
      <c r="A57" s="1"/>
      <c r="B57" s="4">
        <f>1500*11940</f>
        <v>17910000</v>
      </c>
      <c r="C57" s="75"/>
      <c r="D57" s="75" t="s">
        <v>1125</v>
      </c>
    </row>
    <row r="58" spans="1:4" hidden="1" x14ac:dyDescent="0.3">
      <c r="A58" s="1" t="s">
        <v>1138</v>
      </c>
      <c r="B58" s="4">
        <v>20000000</v>
      </c>
      <c r="C58" s="75"/>
      <c r="D58" s="75" t="s">
        <v>123</v>
      </c>
    </row>
    <row r="59" spans="1:4" hidden="1" x14ac:dyDescent="0.3">
      <c r="A59" s="1"/>
      <c r="B59" s="4"/>
      <c r="C59" s="75">
        <v>1400000</v>
      </c>
      <c r="D59" s="75" t="s">
        <v>1019</v>
      </c>
    </row>
    <row r="60" spans="1:4" hidden="1" x14ac:dyDescent="0.3">
      <c r="A60" s="1" t="s">
        <v>1153</v>
      </c>
      <c r="B60" s="4"/>
      <c r="C60" s="75">
        <f>10220*3500</f>
        <v>35770000</v>
      </c>
      <c r="D60" s="75" t="s">
        <v>1157</v>
      </c>
    </row>
    <row r="61" spans="1:4" hidden="1" x14ac:dyDescent="0.3">
      <c r="A61" s="1" t="s">
        <v>1160</v>
      </c>
      <c r="B61" s="4">
        <v>30000000</v>
      </c>
      <c r="C61" s="75">
        <f>5940*3250</f>
        <v>19305000</v>
      </c>
      <c r="D61" s="75" t="s">
        <v>1168</v>
      </c>
    </row>
    <row r="62" spans="1:4" hidden="1" x14ac:dyDescent="0.3">
      <c r="A62" s="1" t="s">
        <v>1179</v>
      </c>
      <c r="B62" s="4">
        <v>10000000</v>
      </c>
      <c r="C62" s="75"/>
      <c r="D62" s="75" t="s">
        <v>1190</v>
      </c>
    </row>
    <row r="63" spans="1:4" hidden="1" x14ac:dyDescent="0.3">
      <c r="A63" s="1" t="s">
        <v>1207</v>
      </c>
      <c r="B63" s="4">
        <v>24331500</v>
      </c>
      <c r="C63" s="75"/>
      <c r="D63" s="75" t="s">
        <v>916</v>
      </c>
    </row>
    <row r="64" spans="1:4" hidden="1" x14ac:dyDescent="0.3">
      <c r="A64" s="1"/>
      <c r="B64" s="4"/>
      <c r="C64" s="75">
        <f>11830*3500</f>
        <v>41405000</v>
      </c>
      <c r="D64" s="75" t="s">
        <v>1214</v>
      </c>
    </row>
    <row r="65" spans="1:4" hidden="1" x14ac:dyDescent="0.3">
      <c r="A65" s="1"/>
      <c r="B65" s="4"/>
      <c r="C65" s="75">
        <v>118000</v>
      </c>
      <c r="D65" s="75" t="s">
        <v>1215</v>
      </c>
    </row>
    <row r="66" spans="1:4" hidden="1" x14ac:dyDescent="0.3">
      <c r="A66" s="1"/>
      <c r="B66" s="4"/>
      <c r="C66" s="75">
        <v>48000</v>
      </c>
      <c r="D66" s="75" t="s">
        <v>1216</v>
      </c>
    </row>
    <row r="67" spans="1:4" hidden="1" x14ac:dyDescent="0.3">
      <c r="A67" s="1" t="s">
        <v>1226</v>
      </c>
      <c r="B67" s="4">
        <v>25000000</v>
      </c>
      <c r="C67" s="75"/>
      <c r="D67" s="75" t="s">
        <v>123</v>
      </c>
    </row>
    <row r="68" spans="1:4" hidden="1" x14ac:dyDescent="0.3">
      <c r="A68" s="1"/>
      <c r="B68" s="4"/>
      <c r="C68" s="75">
        <v>1300000</v>
      </c>
      <c r="D68" s="75" t="s">
        <v>1019</v>
      </c>
    </row>
    <row r="69" spans="1:4" hidden="1" x14ac:dyDescent="0.3">
      <c r="A69" s="1" t="s">
        <v>1259</v>
      </c>
      <c r="B69" s="4">
        <v>14000000</v>
      </c>
      <c r="C69" s="75">
        <f>10060*3500</f>
        <v>35210000</v>
      </c>
      <c r="D69" s="75" t="s">
        <v>1260</v>
      </c>
    </row>
    <row r="70" spans="1:4" hidden="1" x14ac:dyDescent="0.3">
      <c r="A70" s="1"/>
      <c r="B70" s="4">
        <f>300*12000</f>
        <v>3600000</v>
      </c>
      <c r="C70" s="75"/>
      <c r="D70" s="75" t="s">
        <v>1269</v>
      </c>
    </row>
    <row r="71" spans="1:4" hidden="1" x14ac:dyDescent="0.3">
      <c r="A71" s="1" t="s">
        <v>1293</v>
      </c>
      <c r="B71" s="4">
        <v>12000000</v>
      </c>
      <c r="C71" s="75"/>
      <c r="D71" s="75" t="s">
        <v>511</v>
      </c>
    </row>
    <row r="72" spans="1:4" hidden="1" x14ac:dyDescent="0.3">
      <c r="A72" s="1" t="s">
        <v>1309</v>
      </c>
      <c r="B72" s="4"/>
      <c r="C72" s="75">
        <f>2040*3300</f>
        <v>6732000</v>
      </c>
      <c r="D72" s="75" t="s">
        <v>1314</v>
      </c>
    </row>
    <row r="73" spans="1:4" hidden="1" x14ac:dyDescent="0.3">
      <c r="A73" s="1"/>
      <c r="B73" s="4"/>
      <c r="C73" s="75">
        <f>6740*3500</f>
        <v>23590000</v>
      </c>
      <c r="D73" s="75" t="s">
        <v>1315</v>
      </c>
    </row>
    <row r="74" spans="1:4" hidden="1" x14ac:dyDescent="0.3">
      <c r="A74" s="1" t="s">
        <v>1320</v>
      </c>
      <c r="B74" s="75">
        <f>1200*12000</f>
        <v>14400000</v>
      </c>
      <c r="C74" s="75"/>
      <c r="D74" s="75" t="s">
        <v>1307</v>
      </c>
    </row>
    <row r="75" spans="1:4" hidden="1" x14ac:dyDescent="0.3">
      <c r="A75" s="1" t="s">
        <v>1343</v>
      </c>
      <c r="B75" s="4">
        <v>24000000</v>
      </c>
      <c r="C75" s="75"/>
      <c r="D75" s="75" t="s">
        <v>1093</v>
      </c>
    </row>
    <row r="76" spans="1:4" hidden="1" x14ac:dyDescent="0.3">
      <c r="A76" s="1" t="s">
        <v>1466</v>
      </c>
      <c r="B76" s="4"/>
      <c r="C76" s="75">
        <f>1790*3300</f>
        <v>5907000</v>
      </c>
      <c r="D76" s="75" t="s">
        <v>1468</v>
      </c>
    </row>
    <row r="77" spans="1:4" hidden="1" x14ac:dyDescent="0.3">
      <c r="A77" s="1" t="s">
        <v>1476</v>
      </c>
      <c r="B77" s="4">
        <v>8800000</v>
      </c>
      <c r="C77" s="75"/>
      <c r="D77" s="75" t="s">
        <v>1093</v>
      </c>
    </row>
    <row r="78" spans="1:4" hidden="1" x14ac:dyDescent="0.3">
      <c r="A78" s="1"/>
      <c r="B78" s="4">
        <v>12000000</v>
      </c>
      <c r="C78" s="75"/>
      <c r="D78" s="75" t="s">
        <v>1568</v>
      </c>
    </row>
    <row r="79" spans="1:4" hidden="1" x14ac:dyDescent="0.3">
      <c r="A79" s="1"/>
      <c r="B79" s="4"/>
      <c r="C79" s="75">
        <v>900000</v>
      </c>
      <c r="D79" s="75" t="s">
        <v>1575</v>
      </c>
    </row>
    <row r="80" spans="1:4" hidden="1" x14ac:dyDescent="0.3">
      <c r="A80" s="1"/>
      <c r="B80" s="4"/>
      <c r="C80" s="75">
        <v>1000000</v>
      </c>
      <c r="D80" s="75" t="s">
        <v>1575</v>
      </c>
    </row>
    <row r="81" spans="1:4" hidden="1" x14ac:dyDescent="0.3">
      <c r="A81" s="1" t="s">
        <v>1612</v>
      </c>
      <c r="B81" s="4"/>
      <c r="C81" s="75">
        <f>5150*3700</f>
        <v>19055000</v>
      </c>
      <c r="D81" s="75" t="s">
        <v>1621</v>
      </c>
    </row>
    <row r="82" spans="1:4" hidden="1" x14ac:dyDescent="0.3">
      <c r="A82" s="1"/>
      <c r="B82" s="4">
        <v>21465000</v>
      </c>
      <c r="C82" s="75"/>
      <c r="D82" s="75"/>
    </row>
    <row r="83" spans="1:4" hidden="1" x14ac:dyDescent="0.3">
      <c r="A83" s="1" t="s">
        <v>1630</v>
      </c>
      <c r="B83" s="4"/>
      <c r="C83" s="75">
        <v>1200000</v>
      </c>
      <c r="D83" s="75"/>
    </row>
    <row r="84" spans="1:4" hidden="1" x14ac:dyDescent="0.3">
      <c r="A84" s="1" t="s">
        <v>1642</v>
      </c>
      <c r="B84" s="4"/>
      <c r="C84" s="75">
        <v>900000</v>
      </c>
      <c r="D84" s="75" t="s">
        <v>1575</v>
      </c>
    </row>
    <row r="85" spans="1:4" hidden="1" x14ac:dyDescent="0.3">
      <c r="A85" s="1" t="s">
        <v>1683</v>
      </c>
      <c r="B85" s="4"/>
      <c r="C85" s="75">
        <v>900000</v>
      </c>
      <c r="D85" s="75" t="s">
        <v>1575</v>
      </c>
    </row>
    <row r="86" spans="1:4" hidden="1" x14ac:dyDescent="0.3">
      <c r="A86" s="1" t="s">
        <v>1696</v>
      </c>
      <c r="B86" s="4"/>
      <c r="C86" s="75">
        <f>5230*3720</f>
        <v>19455600</v>
      </c>
      <c r="D86" s="75" t="s">
        <v>1703</v>
      </c>
    </row>
    <row r="87" spans="1:4" hidden="1" x14ac:dyDescent="0.3">
      <c r="A87" s="1" t="s">
        <v>1513</v>
      </c>
      <c r="B87" s="4">
        <v>22455600</v>
      </c>
      <c r="C87" s="75"/>
      <c r="D87" s="75"/>
    </row>
    <row r="88" spans="1:4" hidden="1" x14ac:dyDescent="0.3">
      <c r="A88" s="1" t="s">
        <v>1724</v>
      </c>
      <c r="B88" s="4"/>
      <c r="C88" s="75">
        <f>2080*3300</f>
        <v>6864000</v>
      </c>
      <c r="D88" s="75" t="s">
        <v>1734</v>
      </c>
    </row>
    <row r="89" spans="1:4" hidden="1" x14ac:dyDescent="0.3">
      <c r="A89" s="1"/>
      <c r="B89" s="4">
        <f>1690*3300</f>
        <v>5577000</v>
      </c>
      <c r="C89" s="75"/>
      <c r="D89" s="75" t="s">
        <v>1730</v>
      </c>
    </row>
    <row r="90" spans="1:4" hidden="1" x14ac:dyDescent="0.3">
      <c r="A90" s="1"/>
      <c r="B90" s="4">
        <f>2570*3300</f>
        <v>8481000</v>
      </c>
      <c r="C90" s="75"/>
      <c r="D90" s="75" t="s">
        <v>1731</v>
      </c>
    </row>
    <row r="91" spans="1:4" hidden="1" x14ac:dyDescent="0.3">
      <c r="A91" s="1" t="s">
        <v>1745</v>
      </c>
      <c r="B91" s="4">
        <v>11930000</v>
      </c>
      <c r="C91" s="75"/>
      <c r="D91" s="75" t="s">
        <v>1753</v>
      </c>
    </row>
    <row r="92" spans="1:4" hidden="1" x14ac:dyDescent="0.3">
      <c r="A92" s="1"/>
      <c r="B92" s="4"/>
      <c r="C92" s="75">
        <f>9450*3500</f>
        <v>33075000</v>
      </c>
      <c r="D92" s="75" t="s">
        <v>1754</v>
      </c>
    </row>
    <row r="93" spans="1:4" hidden="1" x14ac:dyDescent="0.3">
      <c r="A93" s="1" t="s">
        <v>1757</v>
      </c>
      <c r="B93" s="4">
        <v>23800000</v>
      </c>
      <c r="C93" s="75"/>
      <c r="D93" s="75" t="s">
        <v>994</v>
      </c>
    </row>
    <row r="94" spans="1:4" hidden="1" x14ac:dyDescent="0.3">
      <c r="A94" s="1"/>
      <c r="B94" s="4"/>
      <c r="C94" s="75">
        <v>1200000</v>
      </c>
      <c r="D94" s="75" t="s">
        <v>1575</v>
      </c>
    </row>
    <row r="95" spans="1:4" hidden="1" x14ac:dyDescent="0.3">
      <c r="A95" s="1" t="s">
        <v>1767</v>
      </c>
      <c r="B95" s="75" t="s">
        <v>33</v>
      </c>
      <c r="C95" s="75">
        <f>10160*3550</f>
        <v>36068000</v>
      </c>
      <c r="D95" s="75" t="s">
        <v>1774</v>
      </c>
    </row>
    <row r="96" spans="1:4" hidden="1" x14ac:dyDescent="0.3">
      <c r="A96" s="1"/>
      <c r="B96" s="4">
        <v>11900000</v>
      </c>
      <c r="C96" s="75"/>
      <c r="D96" s="75" t="s">
        <v>1753</v>
      </c>
    </row>
    <row r="97" spans="1:4" hidden="1" x14ac:dyDescent="0.3">
      <c r="A97" s="1"/>
      <c r="B97" s="4">
        <v>10000000</v>
      </c>
      <c r="C97" s="75"/>
      <c r="D97" s="75" t="s">
        <v>123</v>
      </c>
    </row>
    <row r="98" spans="1:4" hidden="1" x14ac:dyDescent="0.3">
      <c r="A98" s="1" t="s">
        <v>1784</v>
      </c>
      <c r="B98" s="4">
        <v>11900000</v>
      </c>
      <c r="C98" s="75"/>
      <c r="D98" s="75" t="s">
        <v>1093</v>
      </c>
    </row>
    <row r="99" spans="1:4" hidden="1" x14ac:dyDescent="0.3">
      <c r="A99" s="1" t="s">
        <v>1804</v>
      </c>
      <c r="B99" s="4">
        <f>1670*3300</f>
        <v>5511000</v>
      </c>
      <c r="C99" s="75"/>
      <c r="D99" s="75" t="s">
        <v>1810</v>
      </c>
    </row>
    <row r="100" spans="1:4" hidden="1" x14ac:dyDescent="0.3">
      <c r="A100" s="1" t="s">
        <v>1811</v>
      </c>
      <c r="B100" s="4"/>
      <c r="C100" s="75">
        <v>100000</v>
      </c>
      <c r="D100" s="75"/>
    </row>
    <row r="101" spans="1:4" hidden="1" x14ac:dyDescent="0.3">
      <c r="A101" s="1"/>
      <c r="B101" s="4"/>
      <c r="C101" s="75">
        <f>11300*3550</f>
        <v>40115000</v>
      </c>
      <c r="D101" s="75" t="s">
        <v>1827</v>
      </c>
    </row>
    <row r="102" spans="1:4" hidden="1" x14ac:dyDescent="0.3">
      <c r="A102" s="1" t="s">
        <v>1816</v>
      </c>
      <c r="B102" s="4">
        <f>1660*3300</f>
        <v>5478000</v>
      </c>
      <c r="C102" s="75"/>
      <c r="D102" s="75" t="s">
        <v>1821</v>
      </c>
    </row>
    <row r="103" spans="1:4" hidden="1" x14ac:dyDescent="0.3">
      <c r="A103" s="1"/>
      <c r="B103" s="4">
        <v>11850000</v>
      </c>
      <c r="C103" s="75"/>
      <c r="D103" s="75" t="s">
        <v>511</v>
      </c>
    </row>
    <row r="104" spans="1:4" hidden="1" x14ac:dyDescent="0.3">
      <c r="A104" s="1" t="s">
        <v>1822</v>
      </c>
      <c r="B104" s="4">
        <f>19810*3300</f>
        <v>65373000</v>
      </c>
      <c r="C104" s="75"/>
      <c r="D104" s="75" t="s">
        <v>1837</v>
      </c>
    </row>
    <row r="105" spans="1:4" hidden="1" x14ac:dyDescent="0.3">
      <c r="A105" s="1"/>
      <c r="B105" s="4"/>
      <c r="C105" s="75">
        <f>9840*3550</f>
        <v>34932000</v>
      </c>
      <c r="D105" s="75" t="s">
        <v>1835</v>
      </c>
    </row>
    <row r="106" spans="1:4" hidden="1" x14ac:dyDescent="0.3">
      <c r="A106" s="1"/>
      <c r="B106" s="4">
        <f>17690*3300</f>
        <v>58377000</v>
      </c>
      <c r="C106" s="75"/>
      <c r="D106" s="75" t="s">
        <v>1839</v>
      </c>
    </row>
    <row r="107" spans="1:4" hidden="1" x14ac:dyDescent="0.3">
      <c r="A107" s="1" t="s">
        <v>1840</v>
      </c>
      <c r="B107" s="4"/>
      <c r="C107" s="75">
        <f>12000*3550</f>
        <v>42600000</v>
      </c>
      <c r="D107" s="75" t="s">
        <v>1841</v>
      </c>
    </row>
    <row r="108" spans="1:4" hidden="1" x14ac:dyDescent="0.3">
      <c r="A108" s="1"/>
      <c r="B108" s="4"/>
      <c r="C108" s="75">
        <f>11630*3550</f>
        <v>41286500</v>
      </c>
      <c r="D108" s="75" t="s">
        <v>1842</v>
      </c>
    </row>
    <row r="109" spans="1:4" hidden="1" x14ac:dyDescent="0.3">
      <c r="A109" s="1"/>
      <c r="B109" s="4">
        <v>10000000</v>
      </c>
      <c r="C109" s="75"/>
      <c r="D109" s="75" t="s">
        <v>523</v>
      </c>
    </row>
    <row r="110" spans="1:4" hidden="1" x14ac:dyDescent="0.3">
      <c r="A110" s="1" t="s">
        <v>1853</v>
      </c>
      <c r="B110" s="4">
        <v>19000000</v>
      </c>
      <c r="C110" s="75"/>
      <c r="D110" s="75" t="s">
        <v>1387</v>
      </c>
    </row>
    <row r="111" spans="1:4" hidden="1" x14ac:dyDescent="0.3">
      <c r="A111" s="1"/>
      <c r="B111" s="4">
        <f>13410*3300</f>
        <v>44253000</v>
      </c>
      <c r="C111" s="75"/>
      <c r="D111" s="75" t="s">
        <v>1865</v>
      </c>
    </row>
    <row r="112" spans="1:4" hidden="1" x14ac:dyDescent="0.3">
      <c r="A112" s="1"/>
      <c r="B112" s="4"/>
      <c r="C112" s="75">
        <f>9700*3550</f>
        <v>34435000</v>
      </c>
      <c r="D112" s="75" t="s">
        <v>1866</v>
      </c>
    </row>
    <row r="113" spans="1:5" hidden="1" x14ac:dyDescent="0.3">
      <c r="A113" s="1" t="s">
        <v>1869</v>
      </c>
      <c r="B113" s="4">
        <v>25000000</v>
      </c>
      <c r="C113" s="75">
        <f>3320*3300</f>
        <v>10956000</v>
      </c>
      <c r="D113" s="75" t="s">
        <v>1876</v>
      </c>
    </row>
    <row r="114" spans="1:5" hidden="1" x14ac:dyDescent="0.3">
      <c r="A114" s="1"/>
      <c r="B114" s="4"/>
      <c r="C114" s="75">
        <f>10530*3550</f>
        <v>37381500</v>
      </c>
      <c r="D114" s="75" t="s">
        <v>1877</v>
      </c>
    </row>
    <row r="115" spans="1:5" hidden="1" x14ac:dyDescent="0.3">
      <c r="A115" s="1">
        <v>27.082025999999999</v>
      </c>
      <c r="B115" s="4">
        <v>13000000</v>
      </c>
      <c r="C115" s="75"/>
      <c r="D115" s="75" t="s">
        <v>1093</v>
      </c>
    </row>
    <row r="116" spans="1:5" hidden="1" x14ac:dyDescent="0.3">
      <c r="A116" s="1"/>
      <c r="B116" s="4"/>
      <c r="C116" s="75">
        <f>10950*3550</f>
        <v>38872500</v>
      </c>
      <c r="D116" s="75" t="s">
        <v>1885</v>
      </c>
    </row>
    <row r="117" spans="1:5" hidden="1" x14ac:dyDescent="0.3">
      <c r="A117" s="1" t="s">
        <v>1895</v>
      </c>
      <c r="B117" s="4">
        <f>2470*3350</f>
        <v>8274500</v>
      </c>
      <c r="C117" s="75"/>
      <c r="D117" s="75" t="s">
        <v>1909</v>
      </c>
    </row>
    <row r="118" spans="1:5" x14ac:dyDescent="0.3">
      <c r="A118" s="1" t="s">
        <v>1913</v>
      </c>
      <c r="B118" s="4">
        <v>31000000</v>
      </c>
      <c r="C118" s="75"/>
      <c r="D118" s="75"/>
    </row>
    <row r="119" spans="1:5" x14ac:dyDescent="0.3">
      <c r="A119" s="1"/>
      <c r="B119" s="4">
        <v>11800000</v>
      </c>
      <c r="C119" s="75"/>
      <c r="D119" s="75"/>
    </row>
    <row r="120" spans="1:5" x14ac:dyDescent="0.3">
      <c r="A120" s="1"/>
      <c r="B120" s="4">
        <v>3000000</v>
      </c>
      <c r="C120" s="75">
        <f>11630*3580</f>
        <v>41635400</v>
      </c>
      <c r="D120" s="75" t="s">
        <v>1916</v>
      </c>
    </row>
    <row r="121" spans="1:5" x14ac:dyDescent="0.3">
      <c r="A121" s="1" t="s">
        <v>1939</v>
      </c>
      <c r="B121" s="4">
        <v>17000000</v>
      </c>
      <c r="C121" s="75">
        <f>7810*3580</f>
        <v>27959800</v>
      </c>
      <c r="D121" s="75" t="s">
        <v>1941</v>
      </c>
      <c r="E121" s="9"/>
    </row>
    <row r="122" spans="1:5" x14ac:dyDescent="0.3">
      <c r="A122" s="1"/>
      <c r="B122" s="4"/>
      <c r="C122" s="75"/>
      <c r="D122" s="75"/>
    </row>
    <row r="123" spans="1:5" x14ac:dyDescent="0.3">
      <c r="A123" s="1"/>
      <c r="B123" s="4"/>
      <c r="C123" s="75"/>
      <c r="D123" s="75"/>
      <c r="E123" s="9"/>
    </row>
    <row r="124" spans="1:5" x14ac:dyDescent="0.3">
      <c r="A124" s="1"/>
      <c r="B124" s="4"/>
      <c r="C124" s="75"/>
      <c r="D124" s="75"/>
    </row>
    <row r="125" spans="1:5" x14ac:dyDescent="0.3">
      <c r="A125" s="1"/>
      <c r="B125" s="4"/>
      <c r="C125" s="75"/>
      <c r="D125" s="75"/>
      <c r="E125" s="9"/>
    </row>
    <row r="126" spans="1:5" x14ac:dyDescent="0.3">
      <c r="A126" s="1"/>
      <c r="B126" s="4"/>
      <c r="C126" s="75"/>
      <c r="D126" s="75"/>
    </row>
    <row r="127" spans="1:5" x14ac:dyDescent="0.3">
      <c r="A127" s="1"/>
      <c r="B127" s="4"/>
      <c r="C127" s="75"/>
      <c r="D127" s="75"/>
    </row>
    <row r="128" spans="1:5" x14ac:dyDescent="0.3">
      <c r="A128" s="1"/>
      <c r="B128" s="4"/>
      <c r="C128" s="75"/>
      <c r="D128" s="75"/>
    </row>
    <row r="129" spans="1:4" x14ac:dyDescent="0.3">
      <c r="A129" s="1"/>
      <c r="B129" s="4"/>
      <c r="C129" s="75"/>
      <c r="D129" s="75"/>
    </row>
    <row r="130" spans="1:4" x14ac:dyDescent="0.3">
      <c r="A130" s="1"/>
      <c r="B130" s="4"/>
      <c r="C130" s="75"/>
      <c r="D130" s="75"/>
    </row>
    <row r="131" spans="1:4" x14ac:dyDescent="0.3">
      <c r="A131" s="1"/>
      <c r="B131" s="4"/>
      <c r="C131" s="75"/>
      <c r="D131" s="75"/>
    </row>
    <row r="132" spans="1:4" x14ac:dyDescent="0.3">
      <c r="A132" s="1"/>
      <c r="B132" s="4"/>
      <c r="C132" s="75"/>
      <c r="D132" s="75"/>
    </row>
    <row r="133" spans="1:4" x14ac:dyDescent="0.3">
      <c r="A133" s="1"/>
      <c r="B133" s="4"/>
      <c r="C133" s="75"/>
      <c r="D133" s="75"/>
    </row>
    <row r="134" spans="1:4" x14ac:dyDescent="0.3">
      <c r="A134" s="1"/>
      <c r="B134" s="4"/>
      <c r="C134" s="75"/>
      <c r="D134" s="75"/>
    </row>
    <row r="135" spans="1:4" x14ac:dyDescent="0.3">
      <c r="A135" s="1"/>
      <c r="B135" s="4"/>
      <c r="C135" s="75"/>
      <c r="D135" s="75"/>
    </row>
    <row r="136" spans="1:4" x14ac:dyDescent="0.3">
      <c r="A136" s="1"/>
      <c r="B136" s="4"/>
      <c r="C136" s="75"/>
      <c r="D136" s="75"/>
    </row>
    <row r="137" spans="1:4" x14ac:dyDescent="0.3">
      <c r="A137" s="1"/>
      <c r="B137" s="4"/>
      <c r="C137" s="75"/>
      <c r="D137" s="75"/>
    </row>
    <row r="138" spans="1:4" x14ac:dyDescent="0.3">
      <c r="A138" s="1"/>
      <c r="B138" s="4"/>
      <c r="C138" s="75"/>
      <c r="D138" s="75"/>
    </row>
    <row r="139" spans="1:4" x14ac:dyDescent="0.3">
      <c r="A139" s="1"/>
      <c r="B139" s="4"/>
      <c r="C139" s="75"/>
      <c r="D139" s="75"/>
    </row>
    <row r="140" spans="1:4" x14ac:dyDescent="0.3">
      <c r="A140" s="1"/>
      <c r="B140" s="4"/>
      <c r="C140" s="75"/>
      <c r="D140" s="75"/>
    </row>
    <row r="141" spans="1:4" x14ac:dyDescent="0.3">
      <c r="A141" s="1"/>
      <c r="B141" s="4"/>
      <c r="C141" s="75"/>
      <c r="D141" s="75"/>
    </row>
    <row r="142" spans="1:4" x14ac:dyDescent="0.3">
      <c r="A142" s="1"/>
      <c r="B142" s="4"/>
      <c r="C142" s="75"/>
      <c r="D142" s="75"/>
    </row>
    <row r="143" spans="1:4" x14ac:dyDescent="0.3">
      <c r="A143" s="1"/>
      <c r="B143" s="4"/>
      <c r="C143" s="75"/>
      <c r="D143" s="75"/>
    </row>
    <row r="144" spans="1:4" x14ac:dyDescent="0.3">
      <c r="A144" s="1"/>
      <c r="B144" s="4"/>
      <c r="C144" s="75"/>
      <c r="D144" s="75"/>
    </row>
    <row r="145" spans="1:4" x14ac:dyDescent="0.3">
      <c r="A145" s="1"/>
      <c r="B145" s="4"/>
      <c r="C145" s="75"/>
      <c r="D145" s="75"/>
    </row>
    <row r="146" spans="1:4" x14ac:dyDescent="0.3">
      <c r="A146" s="1"/>
      <c r="B146" s="4"/>
      <c r="C146" s="75"/>
      <c r="D146" s="75"/>
    </row>
    <row r="147" spans="1:4" x14ac:dyDescent="0.3">
      <c r="A147" s="1"/>
      <c r="B147" s="4"/>
      <c r="C147" s="75"/>
      <c r="D147" s="75"/>
    </row>
    <row r="148" spans="1:4" x14ac:dyDescent="0.3">
      <c r="A148" s="1"/>
      <c r="B148" s="4"/>
      <c r="C148" s="75"/>
      <c r="D148" s="75"/>
    </row>
    <row r="149" spans="1:4" x14ac:dyDescent="0.3">
      <c r="A149" s="1"/>
      <c r="B149" s="4"/>
      <c r="C149" s="75"/>
      <c r="D149" s="75"/>
    </row>
    <row r="150" spans="1:4" x14ac:dyDescent="0.3">
      <c r="A150" s="1"/>
      <c r="B150" s="4"/>
      <c r="C150" s="75"/>
      <c r="D150" s="75"/>
    </row>
    <row r="151" spans="1:4" x14ac:dyDescent="0.3">
      <c r="A151" s="1"/>
      <c r="B151" s="4"/>
      <c r="C151" s="75"/>
      <c r="D151" s="75"/>
    </row>
    <row r="152" spans="1:4" x14ac:dyDescent="0.3">
      <c r="A152" s="1"/>
      <c r="B152" s="4"/>
      <c r="C152" s="75"/>
      <c r="D152" s="75"/>
    </row>
    <row r="153" spans="1:4" x14ac:dyDescent="0.3">
      <c r="A153" s="1"/>
      <c r="B153" s="4"/>
      <c r="C153" s="75"/>
      <c r="D153" s="75"/>
    </row>
    <row r="154" spans="1:4" x14ac:dyDescent="0.3">
      <c r="A154" s="1"/>
      <c r="B154" s="4"/>
      <c r="C154" s="75"/>
      <c r="D154" s="75"/>
    </row>
    <row r="155" spans="1:4" x14ac:dyDescent="0.3">
      <c r="A155" s="1"/>
      <c r="B155" s="4"/>
      <c r="C155" s="75"/>
      <c r="D155" s="75"/>
    </row>
    <row r="156" spans="1:4" x14ac:dyDescent="0.3">
      <c r="A156" s="1"/>
      <c r="B156" s="4"/>
      <c r="C156" s="75"/>
      <c r="D156" s="75"/>
    </row>
    <row r="157" spans="1:4" x14ac:dyDescent="0.3">
      <c r="A157" s="1"/>
      <c r="B157" s="4"/>
      <c r="C157" s="75"/>
      <c r="D157" s="75"/>
    </row>
    <row r="158" spans="1:4" x14ac:dyDescent="0.3">
      <c r="A158" s="1"/>
      <c r="B158" s="4"/>
      <c r="C158" s="75"/>
      <c r="D158" s="75"/>
    </row>
    <row r="159" spans="1:4" x14ac:dyDescent="0.3">
      <c r="A159" s="1"/>
      <c r="B159" s="4"/>
      <c r="C159" s="75"/>
      <c r="D159" s="75"/>
    </row>
    <row r="160" spans="1:4" x14ac:dyDescent="0.3">
      <c r="A160" s="1"/>
      <c r="B160" s="4"/>
      <c r="C160" s="75"/>
      <c r="D160" s="75"/>
    </row>
    <row r="161" spans="1:4" x14ac:dyDescent="0.3">
      <c r="A161" s="1"/>
      <c r="B161" s="4"/>
      <c r="C161" s="75"/>
      <c r="D161" s="75"/>
    </row>
    <row r="162" spans="1:4" x14ac:dyDescent="0.3">
      <c r="A162" s="1"/>
      <c r="B162" s="4"/>
      <c r="C162" s="75"/>
      <c r="D162" s="75"/>
    </row>
    <row r="163" spans="1:4" x14ac:dyDescent="0.3">
      <c r="A163" s="1"/>
      <c r="B163" s="4"/>
      <c r="C163" s="75"/>
      <c r="D163" s="75"/>
    </row>
    <row r="164" spans="1:4" x14ac:dyDescent="0.3">
      <c r="A164" s="1"/>
      <c r="B164" s="4"/>
      <c r="C164" s="75"/>
      <c r="D164" s="75"/>
    </row>
    <row r="165" spans="1:4" x14ac:dyDescent="0.3">
      <c r="A165" s="1"/>
      <c r="B165" s="4"/>
      <c r="C165" s="75"/>
      <c r="D165" s="75"/>
    </row>
    <row r="166" spans="1:4" x14ac:dyDescent="0.3">
      <c r="A166" s="1"/>
      <c r="B166" s="4"/>
      <c r="C166" s="75"/>
      <c r="D166" s="75"/>
    </row>
    <row r="167" spans="1:4" x14ac:dyDescent="0.3">
      <c r="A167" s="1"/>
      <c r="B167" s="4"/>
      <c r="C167" s="75"/>
      <c r="D167" s="75"/>
    </row>
    <row r="168" spans="1:4" x14ac:dyDescent="0.3">
      <c r="A168" s="1"/>
      <c r="B168" s="4"/>
      <c r="C168" s="75"/>
      <c r="D168" s="75"/>
    </row>
    <row r="169" spans="1:4" x14ac:dyDescent="0.3">
      <c r="A169" s="1"/>
      <c r="B169" s="4"/>
      <c r="C169" s="75"/>
      <c r="D169" s="75"/>
    </row>
    <row r="170" spans="1:4" x14ac:dyDescent="0.3">
      <c r="A170" s="1"/>
      <c r="B170" s="4"/>
      <c r="C170" s="75"/>
      <c r="D170" s="75"/>
    </row>
    <row r="171" spans="1:4" x14ac:dyDescent="0.3">
      <c r="A171" s="1"/>
      <c r="B171" s="4"/>
      <c r="C171" s="75"/>
      <c r="D171" s="75"/>
    </row>
    <row r="172" spans="1:4" x14ac:dyDescent="0.3">
      <c r="A172" s="1"/>
      <c r="B172" s="4"/>
      <c r="C172" s="75"/>
      <c r="D172" s="75"/>
    </row>
    <row r="173" spans="1:4" x14ac:dyDescent="0.3">
      <c r="A173" s="1"/>
      <c r="B173" s="4"/>
      <c r="C173" s="75"/>
      <c r="D173" s="75"/>
    </row>
    <row r="174" spans="1:4" x14ac:dyDescent="0.3">
      <c r="A174" s="1"/>
      <c r="B174" s="4"/>
      <c r="C174" s="75"/>
      <c r="D174" s="75"/>
    </row>
    <row r="175" spans="1:4" x14ac:dyDescent="0.3">
      <c r="A175" s="1"/>
      <c r="B175" s="4"/>
      <c r="C175" s="75"/>
      <c r="D175" s="75"/>
    </row>
    <row r="176" spans="1:4" x14ac:dyDescent="0.3">
      <c r="A176" s="1"/>
      <c r="B176" s="4"/>
      <c r="C176" s="75"/>
      <c r="D176" s="75"/>
    </row>
    <row r="177" spans="1:4" x14ac:dyDescent="0.3">
      <c r="A177" s="1"/>
      <c r="B177" s="4"/>
      <c r="C177" s="75"/>
      <c r="D177" s="75"/>
    </row>
    <row r="178" spans="1:4" x14ac:dyDescent="0.3">
      <c r="A178" s="1"/>
      <c r="B178" s="4"/>
      <c r="C178" s="75"/>
      <c r="D178" s="75"/>
    </row>
    <row r="179" spans="1:4" x14ac:dyDescent="0.3">
      <c r="A179" s="1"/>
      <c r="B179" s="4"/>
      <c r="C179" s="75"/>
      <c r="D179" s="75"/>
    </row>
    <row r="180" spans="1:4" x14ac:dyDescent="0.3">
      <c r="A180" s="1"/>
      <c r="B180" s="4"/>
      <c r="C180" s="75"/>
      <c r="D180" s="75"/>
    </row>
    <row r="181" spans="1:4" x14ac:dyDescent="0.3">
      <c r="A181" s="1"/>
      <c r="B181" s="4"/>
      <c r="C181" s="75"/>
      <c r="D181" s="75"/>
    </row>
    <row r="182" spans="1:4" x14ac:dyDescent="0.3">
      <c r="A182" s="1"/>
      <c r="B182" s="4"/>
      <c r="C182" s="75"/>
      <c r="D182" s="75"/>
    </row>
    <row r="183" spans="1:4" x14ac:dyDescent="0.3">
      <c r="A183" s="1"/>
      <c r="B183" s="4"/>
      <c r="C183" s="75"/>
      <c r="D183" s="75"/>
    </row>
    <row r="184" spans="1:4" x14ac:dyDescent="0.3">
      <c r="A184" s="1"/>
      <c r="B184" s="4"/>
      <c r="C184" s="75"/>
      <c r="D184" s="75"/>
    </row>
    <row r="185" spans="1:4" x14ac:dyDescent="0.3">
      <c r="A185" s="1"/>
      <c r="B185" s="4"/>
      <c r="C185" s="75"/>
      <c r="D185" s="75"/>
    </row>
    <row r="186" spans="1:4" x14ac:dyDescent="0.3">
      <c r="A186" s="1"/>
      <c r="B186" s="4"/>
      <c r="C186" s="75"/>
      <c r="D186" s="75"/>
    </row>
    <row r="187" spans="1:4" x14ac:dyDescent="0.3">
      <c r="A187" s="1"/>
      <c r="B187" s="4"/>
      <c r="C187" s="75"/>
      <c r="D187" s="75"/>
    </row>
    <row r="188" spans="1:4" x14ac:dyDescent="0.3">
      <c r="A188" s="1"/>
      <c r="B188" s="4"/>
      <c r="C188" s="75"/>
      <c r="D188" s="75"/>
    </row>
    <row r="189" spans="1:4" x14ac:dyDescent="0.3">
      <c r="A189" s="1"/>
      <c r="B189" s="4"/>
      <c r="C189" s="75"/>
      <c r="D189" s="75"/>
    </row>
    <row r="190" spans="1:4" x14ac:dyDescent="0.3">
      <c r="A190" s="1"/>
      <c r="B190" s="4"/>
      <c r="C190" s="75"/>
      <c r="D190" s="75"/>
    </row>
    <row r="191" spans="1:4" x14ac:dyDescent="0.3">
      <c r="A191" s="1"/>
      <c r="B191" s="4"/>
      <c r="C191" s="75"/>
      <c r="D191" s="75"/>
    </row>
    <row r="192" spans="1:4" x14ac:dyDescent="0.3">
      <c r="A192" s="1"/>
      <c r="B192" s="4"/>
      <c r="C192" s="75"/>
      <c r="D192" s="75"/>
    </row>
    <row r="193" spans="1:4" x14ac:dyDescent="0.3">
      <c r="A193" s="1"/>
      <c r="B193" s="4"/>
      <c r="C193" s="75"/>
      <c r="D193" s="75"/>
    </row>
    <row r="194" spans="1:4" x14ac:dyDescent="0.3">
      <c r="A194" s="1"/>
      <c r="B194" s="4"/>
      <c r="C194" s="75"/>
      <c r="D194" s="75"/>
    </row>
    <row r="195" spans="1:4" x14ac:dyDescent="0.3">
      <c r="A195" s="1"/>
      <c r="B195" s="4"/>
      <c r="C195" s="75"/>
      <c r="D195" s="75"/>
    </row>
    <row r="196" spans="1:4" x14ac:dyDescent="0.3">
      <c r="A196" s="1"/>
      <c r="B196" s="4"/>
      <c r="C196" s="75"/>
      <c r="D196" s="75"/>
    </row>
    <row r="197" spans="1:4" x14ac:dyDescent="0.3">
      <c r="A197" s="1"/>
      <c r="B197" s="4"/>
      <c r="C197" s="75"/>
      <c r="D197" s="75"/>
    </row>
    <row r="198" spans="1:4" x14ac:dyDescent="0.3">
      <c r="A198" s="1"/>
      <c r="B198" s="4"/>
      <c r="C198" s="75"/>
      <c r="D198" s="75"/>
    </row>
    <row r="199" spans="1:4" x14ac:dyDescent="0.3">
      <c r="A199" s="1"/>
      <c r="B199" s="4"/>
      <c r="C199" s="75"/>
      <c r="D199" s="75"/>
    </row>
    <row r="200" spans="1:4" x14ac:dyDescent="0.3">
      <c r="A200" s="1"/>
      <c r="B200" s="4"/>
      <c r="C200" s="75"/>
      <c r="D200" s="75"/>
    </row>
    <row r="201" spans="1:4" x14ac:dyDescent="0.3">
      <c r="A201" s="1"/>
      <c r="B201" s="4"/>
      <c r="C201" s="75"/>
      <c r="D201" s="75"/>
    </row>
    <row r="202" spans="1:4" x14ac:dyDescent="0.3">
      <c r="A202" s="1"/>
      <c r="B202" s="4"/>
      <c r="C202" s="75"/>
      <c r="D202" s="75"/>
    </row>
    <row r="203" spans="1:4" x14ac:dyDescent="0.3">
      <c r="A203" s="1"/>
      <c r="B203" s="4"/>
      <c r="C203" s="75"/>
      <c r="D203" s="75"/>
    </row>
    <row r="204" spans="1:4" x14ac:dyDescent="0.3">
      <c r="A204" s="1"/>
      <c r="B204" s="4"/>
      <c r="C204" s="75"/>
      <c r="D204" s="75"/>
    </row>
    <row r="205" spans="1:4" x14ac:dyDescent="0.3">
      <c r="A205" s="1"/>
      <c r="B205" s="4"/>
      <c r="C205" s="75"/>
      <c r="D205" s="75"/>
    </row>
    <row r="206" spans="1:4" x14ac:dyDescent="0.3">
      <c r="A206" s="1"/>
      <c r="B206" s="4"/>
      <c r="C206" s="75"/>
      <c r="D206" s="75"/>
    </row>
    <row r="207" spans="1:4" x14ac:dyDescent="0.3">
      <c r="A207" s="1"/>
      <c r="B207" s="4"/>
      <c r="C207" s="75"/>
      <c r="D207" s="75"/>
    </row>
    <row r="208" spans="1:4" x14ac:dyDescent="0.3">
      <c r="A208" s="1"/>
      <c r="B208" s="4"/>
      <c r="C208" s="75"/>
      <c r="D208" s="75"/>
    </row>
    <row r="209" spans="1:4" x14ac:dyDescent="0.3">
      <c r="A209" s="1"/>
      <c r="B209" s="4"/>
      <c r="C209" s="75"/>
      <c r="D209" s="75"/>
    </row>
    <row r="210" spans="1:4" x14ac:dyDescent="0.3">
      <c r="A210" s="1"/>
      <c r="B210" s="4"/>
      <c r="C210" s="75"/>
      <c r="D210" s="75"/>
    </row>
    <row r="211" spans="1:4" x14ac:dyDescent="0.3">
      <c r="A211" s="1"/>
      <c r="B211" s="4"/>
      <c r="C211" s="75"/>
      <c r="D211" s="75"/>
    </row>
    <row r="212" spans="1:4" x14ac:dyDescent="0.3">
      <c r="A212" s="1"/>
      <c r="B212" s="4"/>
      <c r="C212" s="75"/>
      <c r="D212" s="75"/>
    </row>
    <row r="213" spans="1:4" x14ac:dyDescent="0.3">
      <c r="A213" s="1"/>
      <c r="B213" s="4"/>
      <c r="C213" s="75"/>
      <c r="D213" s="75"/>
    </row>
    <row r="214" spans="1:4" x14ac:dyDescent="0.3">
      <c r="A214" s="1"/>
      <c r="B214" s="4"/>
      <c r="C214" s="75"/>
      <c r="D214" s="75"/>
    </row>
    <row r="215" spans="1:4" x14ac:dyDescent="0.3">
      <c r="A215" s="1"/>
      <c r="B215" s="4"/>
      <c r="C215" s="75"/>
      <c r="D215" s="75"/>
    </row>
    <row r="216" spans="1:4" x14ac:dyDescent="0.3">
      <c r="A216" s="1"/>
      <c r="B216" s="4"/>
      <c r="C216" s="75"/>
      <c r="D216" s="75"/>
    </row>
    <row r="217" spans="1:4" x14ac:dyDescent="0.3">
      <c r="A217" s="1"/>
      <c r="B217" s="4"/>
      <c r="C217" s="75"/>
      <c r="D217" s="75"/>
    </row>
    <row r="218" spans="1:4" x14ac:dyDescent="0.3">
      <c r="A218" s="1"/>
      <c r="B218" s="4"/>
      <c r="C218" s="75"/>
      <c r="D218" s="75"/>
    </row>
    <row r="219" spans="1:4" x14ac:dyDescent="0.3">
      <c r="A219" s="1"/>
      <c r="B219" s="4"/>
      <c r="C219" s="75"/>
      <c r="D219" s="75"/>
    </row>
    <row r="220" spans="1:4" x14ac:dyDescent="0.3">
      <c r="A220" s="1"/>
      <c r="B220" s="4"/>
      <c r="C220" s="75"/>
      <c r="D220" s="75"/>
    </row>
    <row r="221" spans="1:4" x14ac:dyDescent="0.3">
      <c r="A221" s="1"/>
      <c r="B221" s="4"/>
      <c r="C221" s="75"/>
      <c r="D221" s="75"/>
    </row>
    <row r="222" spans="1:4" x14ac:dyDescent="0.3">
      <c r="A222" s="1"/>
      <c r="B222" s="4"/>
      <c r="C222" s="75"/>
      <c r="D222" s="75"/>
    </row>
    <row r="223" spans="1:4" x14ac:dyDescent="0.3">
      <c r="A223" s="1"/>
      <c r="B223" s="4"/>
      <c r="C223" s="75"/>
      <c r="D223" s="75"/>
    </row>
    <row r="224" spans="1:4" x14ac:dyDescent="0.3">
      <c r="A224" s="1"/>
      <c r="B224" s="4"/>
      <c r="C224" s="75"/>
      <c r="D224" s="75"/>
    </row>
    <row r="225" spans="1:4" x14ac:dyDescent="0.3">
      <c r="A225" s="1"/>
      <c r="B225" s="4"/>
      <c r="C225" s="75"/>
      <c r="D225" s="75"/>
    </row>
    <row r="226" spans="1:4" x14ac:dyDescent="0.3">
      <c r="A226" s="1"/>
      <c r="B226" s="4"/>
      <c r="C226" s="75"/>
      <c r="D226" s="75"/>
    </row>
    <row r="227" spans="1:4" x14ac:dyDescent="0.3">
      <c r="A227" s="1"/>
      <c r="B227" s="4"/>
      <c r="C227" s="75"/>
      <c r="D227" s="75"/>
    </row>
    <row r="228" spans="1:4" x14ac:dyDescent="0.3">
      <c r="A228" s="1"/>
      <c r="B228" s="4"/>
      <c r="C228" s="75"/>
      <c r="D228" s="75"/>
    </row>
    <row r="229" spans="1:4" x14ac:dyDescent="0.3">
      <c r="A229" s="1"/>
      <c r="B229" s="4"/>
      <c r="C229" s="75"/>
      <c r="D229" s="75"/>
    </row>
    <row r="230" spans="1:4" x14ac:dyDescent="0.3">
      <c r="A230" s="1"/>
      <c r="B230" s="4"/>
      <c r="C230" s="75"/>
      <c r="D230" s="75"/>
    </row>
    <row r="231" spans="1:4" x14ac:dyDescent="0.3">
      <c r="A231" s="1"/>
      <c r="B231" s="4"/>
      <c r="C231" s="75"/>
      <c r="D231" s="75"/>
    </row>
    <row r="232" spans="1:4" x14ac:dyDescent="0.3">
      <c r="A232" s="1"/>
      <c r="B232" s="4"/>
      <c r="C232" s="75"/>
      <c r="D232" s="75"/>
    </row>
    <row r="233" spans="1:4" x14ac:dyDescent="0.3">
      <c r="A233" s="1"/>
      <c r="B233" s="4"/>
      <c r="C233" s="75"/>
      <c r="D233" s="75"/>
    </row>
    <row r="234" spans="1:4" x14ac:dyDescent="0.3">
      <c r="A234" s="1"/>
      <c r="B234" s="4"/>
      <c r="C234" s="75"/>
      <c r="D234" s="75"/>
    </row>
    <row r="235" spans="1:4" x14ac:dyDescent="0.3">
      <c r="A235" s="1"/>
      <c r="B235" s="4"/>
      <c r="C235" s="75"/>
      <c r="D235" s="75"/>
    </row>
    <row r="236" spans="1:4" x14ac:dyDescent="0.3">
      <c r="A236" s="1"/>
      <c r="B236" s="4"/>
      <c r="C236" s="75"/>
      <c r="D236" s="75"/>
    </row>
    <row r="237" spans="1:4" x14ac:dyDescent="0.3">
      <c r="A237" s="1"/>
      <c r="B237" s="4"/>
      <c r="C237" s="75"/>
      <c r="D237" s="75"/>
    </row>
    <row r="238" spans="1:4" x14ac:dyDescent="0.3">
      <c r="A238" s="1"/>
      <c r="B238" s="4"/>
      <c r="C238" s="75"/>
      <c r="D238" s="75"/>
    </row>
    <row r="239" spans="1:4" x14ac:dyDescent="0.3">
      <c r="A239" s="1"/>
      <c r="B239" s="4"/>
      <c r="C239" s="75"/>
      <c r="D239" s="75"/>
    </row>
    <row r="240" spans="1:4" x14ac:dyDescent="0.3">
      <c r="A240" s="1"/>
      <c r="B240" s="4"/>
      <c r="C240" s="75"/>
      <c r="D240" s="75"/>
    </row>
    <row r="241" spans="1:4" x14ac:dyDescent="0.3">
      <c r="A241" s="1"/>
      <c r="B241" s="4"/>
      <c r="C241" s="75"/>
      <c r="D241" s="75"/>
    </row>
    <row r="242" spans="1:4" x14ac:dyDescent="0.3">
      <c r="A242" s="1"/>
      <c r="B242" s="4"/>
      <c r="C242" s="75"/>
      <c r="D242" s="75"/>
    </row>
    <row r="243" spans="1:4" x14ac:dyDescent="0.3">
      <c r="A243" s="1"/>
      <c r="B243" s="4"/>
      <c r="C243" s="75"/>
      <c r="D243" s="75"/>
    </row>
    <row r="244" spans="1:4" x14ac:dyDescent="0.3">
      <c r="A244" s="1"/>
      <c r="B244" s="4"/>
      <c r="C244" s="75"/>
      <c r="D244" s="75"/>
    </row>
    <row r="245" spans="1:4" x14ac:dyDescent="0.3">
      <c r="A245" s="1"/>
      <c r="B245" s="4"/>
      <c r="C245" s="75"/>
      <c r="D245" s="75"/>
    </row>
    <row r="246" spans="1:4" x14ac:dyDescent="0.3">
      <c r="A246" s="1"/>
      <c r="B246" s="4"/>
      <c r="C246" s="75"/>
      <c r="D246" s="75"/>
    </row>
    <row r="247" spans="1:4" x14ac:dyDescent="0.3">
      <c r="A247" s="1"/>
      <c r="B247" s="4"/>
      <c r="C247" s="75"/>
      <c r="D247" s="75"/>
    </row>
    <row r="248" spans="1:4" x14ac:dyDescent="0.3">
      <c r="A248" s="1"/>
      <c r="B248" s="4"/>
      <c r="C248" s="75"/>
      <c r="D248" s="75"/>
    </row>
    <row r="249" spans="1:4" x14ac:dyDescent="0.3">
      <c r="A249" s="1"/>
      <c r="B249" s="4"/>
      <c r="C249" s="75"/>
      <c r="D249" s="75"/>
    </row>
    <row r="250" spans="1:4" x14ac:dyDescent="0.3">
      <c r="A250" s="1"/>
      <c r="B250" s="4"/>
      <c r="C250" s="75"/>
      <c r="D250" s="75"/>
    </row>
    <row r="251" spans="1:4" x14ac:dyDescent="0.3">
      <c r="A251" s="1"/>
      <c r="B251" s="4"/>
      <c r="C251" s="75"/>
      <c r="D251" s="75"/>
    </row>
    <row r="252" spans="1:4" x14ac:dyDescent="0.3">
      <c r="A252" s="1"/>
      <c r="B252" s="4"/>
      <c r="C252" s="75"/>
      <c r="D252" s="75"/>
    </row>
    <row r="253" spans="1:4" x14ac:dyDescent="0.3">
      <c r="A253" s="1"/>
      <c r="B253" s="4"/>
      <c r="C253" s="75"/>
      <c r="D253" s="75"/>
    </row>
    <row r="254" spans="1:4" x14ac:dyDescent="0.3">
      <c r="A254" s="1"/>
      <c r="B254" s="4"/>
      <c r="C254" s="75"/>
      <c r="D254" s="75"/>
    </row>
    <row r="255" spans="1:4" x14ac:dyDescent="0.3">
      <c r="A255" s="1"/>
      <c r="B255" s="4"/>
      <c r="C255" s="75"/>
      <c r="D255" s="75"/>
    </row>
    <row r="256" spans="1:4" x14ac:dyDescent="0.3">
      <c r="A256" s="1"/>
      <c r="B256" s="4"/>
      <c r="C256" s="75"/>
      <c r="D256" s="75"/>
    </row>
    <row r="257" spans="1:4" x14ac:dyDescent="0.3">
      <c r="A257" s="1"/>
      <c r="B257" s="4"/>
      <c r="C257" s="75"/>
      <c r="D257" s="75"/>
    </row>
    <row r="258" spans="1:4" x14ac:dyDescent="0.3">
      <c r="A258" s="1"/>
      <c r="B258" s="4"/>
      <c r="C258" s="75"/>
      <c r="D258" s="75"/>
    </row>
    <row r="259" spans="1:4" x14ac:dyDescent="0.3">
      <c r="A259" s="1"/>
      <c r="B259" s="4"/>
      <c r="C259" s="75"/>
      <c r="D259" s="75"/>
    </row>
    <row r="260" spans="1:4" x14ac:dyDescent="0.3">
      <c r="A260" s="1"/>
      <c r="B260" s="4"/>
      <c r="C260" s="75"/>
      <c r="D260" s="75"/>
    </row>
    <row r="261" spans="1:4" x14ac:dyDescent="0.3">
      <c r="A261" s="1"/>
      <c r="B261" s="4"/>
      <c r="C261" s="75"/>
      <c r="D261" s="75"/>
    </row>
    <row r="262" spans="1:4" x14ac:dyDescent="0.3">
      <c r="A262" s="1"/>
      <c r="B262" s="4"/>
      <c r="C262" s="75"/>
      <c r="D262" s="75"/>
    </row>
    <row r="263" spans="1:4" x14ac:dyDescent="0.3">
      <c r="A263" s="1"/>
      <c r="B263" s="4"/>
      <c r="C263" s="75"/>
      <c r="D263" s="75"/>
    </row>
    <row r="264" spans="1:4" x14ac:dyDescent="0.3">
      <c r="A264" s="1"/>
      <c r="B264" s="4"/>
      <c r="C264" s="75"/>
      <c r="D264" s="75"/>
    </row>
    <row r="265" spans="1:4" x14ac:dyDescent="0.3">
      <c r="A265" s="1"/>
      <c r="B265" s="4"/>
      <c r="C265" s="75"/>
      <c r="D265" s="75"/>
    </row>
    <row r="266" spans="1:4" x14ac:dyDescent="0.3">
      <c r="A266" s="1"/>
      <c r="B266" s="4"/>
      <c r="C266" s="75"/>
      <c r="D266" s="75"/>
    </row>
    <row r="267" spans="1:4" x14ac:dyDescent="0.3">
      <c r="A267" s="1"/>
      <c r="B267" s="4"/>
      <c r="C267" s="75"/>
      <c r="D267" s="75"/>
    </row>
    <row r="268" spans="1:4" x14ac:dyDescent="0.3">
      <c r="A268" s="1"/>
      <c r="B268" s="4"/>
      <c r="C268" s="75"/>
      <c r="D268" s="75"/>
    </row>
    <row r="269" spans="1:4" x14ac:dyDescent="0.3">
      <c r="A269" s="1"/>
      <c r="B269" s="4"/>
      <c r="C269" s="75"/>
      <c r="D269" s="75"/>
    </row>
    <row r="270" spans="1:4" x14ac:dyDescent="0.3">
      <c r="A270" s="1"/>
      <c r="B270" s="4"/>
      <c r="C270" s="75"/>
      <c r="D270" s="75"/>
    </row>
    <row r="271" spans="1:4" x14ac:dyDescent="0.3">
      <c r="A271" s="1"/>
      <c r="B271" s="4"/>
      <c r="C271" s="75"/>
      <c r="D271" s="75"/>
    </row>
    <row r="272" spans="1:4" x14ac:dyDescent="0.3">
      <c r="A272" s="1"/>
      <c r="B272" s="4"/>
      <c r="C272" s="75"/>
      <c r="D272" s="75"/>
    </row>
    <row r="273" spans="1:4" x14ac:dyDescent="0.3">
      <c r="A273" s="1"/>
      <c r="B273" s="4"/>
      <c r="C273" s="75"/>
      <c r="D273" s="75"/>
    </row>
    <row r="274" spans="1:4" x14ac:dyDescent="0.3">
      <c r="A274" s="1"/>
      <c r="B274" s="4"/>
      <c r="C274" s="75"/>
      <c r="D274" s="75"/>
    </row>
    <row r="275" spans="1:4" x14ac:dyDescent="0.3">
      <c r="A275" s="1"/>
      <c r="B275" s="4"/>
      <c r="C275" s="75"/>
      <c r="D275" s="75"/>
    </row>
    <row r="276" spans="1:4" x14ac:dyDescent="0.3">
      <c r="A276" s="1"/>
      <c r="B276" s="4"/>
      <c r="C276" s="75"/>
      <c r="D276" s="75"/>
    </row>
    <row r="277" spans="1:4" x14ac:dyDescent="0.3">
      <c r="A277" s="1"/>
      <c r="B277" s="4"/>
      <c r="C277" s="75"/>
      <c r="D277" s="75"/>
    </row>
    <row r="278" spans="1:4" x14ac:dyDescent="0.3">
      <c r="A278" s="1"/>
      <c r="B278" s="4"/>
      <c r="C278" s="75"/>
      <c r="D278" s="75"/>
    </row>
    <row r="279" spans="1:4" x14ac:dyDescent="0.3">
      <c r="A279" s="1"/>
      <c r="B279" s="4"/>
      <c r="C279" s="75"/>
      <c r="D279" s="75"/>
    </row>
    <row r="280" spans="1:4" x14ac:dyDescent="0.3">
      <c r="A280" s="1"/>
      <c r="B280" s="4"/>
      <c r="C280" s="75"/>
      <c r="D280" s="75"/>
    </row>
    <row r="281" spans="1:4" x14ac:dyDescent="0.3">
      <c r="A281" s="1"/>
      <c r="B281" s="4"/>
      <c r="C281" s="75"/>
      <c r="D281" s="75"/>
    </row>
    <row r="282" spans="1:4" x14ac:dyDescent="0.3">
      <c r="A282" s="1"/>
      <c r="B282" s="4"/>
      <c r="C282" s="75"/>
      <c r="D282" s="75"/>
    </row>
    <row r="283" spans="1:4" x14ac:dyDescent="0.3">
      <c r="A283" s="1"/>
      <c r="B283" s="4"/>
      <c r="C283" s="75"/>
      <c r="D283" s="75"/>
    </row>
    <row r="284" spans="1:4" x14ac:dyDescent="0.3">
      <c r="A284" s="1"/>
      <c r="B284" s="4"/>
      <c r="C284" s="75"/>
      <c r="D284" s="75"/>
    </row>
    <row r="285" spans="1:4" x14ac:dyDescent="0.3">
      <c r="A285" s="1"/>
      <c r="B285" s="4"/>
      <c r="C285" s="75"/>
      <c r="D285" s="75"/>
    </row>
    <row r="286" spans="1:4" x14ac:dyDescent="0.3">
      <c r="A286" s="1"/>
      <c r="B286" s="4"/>
      <c r="C286" s="75"/>
      <c r="D286" s="75"/>
    </row>
    <row r="287" spans="1:4" x14ac:dyDescent="0.3">
      <c r="A287" s="1"/>
      <c r="B287" s="4"/>
      <c r="C287" s="75"/>
      <c r="D287" s="75"/>
    </row>
    <row r="288" spans="1:4" x14ac:dyDescent="0.3">
      <c r="A288" s="1"/>
      <c r="B288" s="4"/>
      <c r="C288" s="75"/>
      <c r="D288" s="75"/>
    </row>
    <row r="289" spans="1:4" x14ac:dyDescent="0.3">
      <c r="A289" s="1"/>
      <c r="B289" s="4"/>
      <c r="C289" s="75"/>
      <c r="D289" s="75"/>
    </row>
    <row r="290" spans="1:4" x14ac:dyDescent="0.3">
      <c r="A290" s="1"/>
      <c r="B290" s="4"/>
      <c r="C290" s="75"/>
      <c r="D290" s="75"/>
    </row>
    <row r="291" spans="1:4" x14ac:dyDescent="0.3">
      <c r="A291" s="1"/>
      <c r="B291" s="4"/>
      <c r="C291" s="75"/>
      <c r="D291" s="75"/>
    </row>
    <row r="292" spans="1:4" x14ac:dyDescent="0.3">
      <c r="A292" s="1"/>
      <c r="B292" s="4"/>
      <c r="C292" s="75"/>
      <c r="D292" s="75"/>
    </row>
    <row r="293" spans="1:4" x14ac:dyDescent="0.3">
      <c r="A293" s="1"/>
      <c r="B293" s="4"/>
      <c r="C293" s="75"/>
      <c r="D293" s="75"/>
    </row>
    <row r="294" spans="1:4" x14ac:dyDescent="0.3">
      <c r="A294" s="1"/>
      <c r="B294" s="4"/>
      <c r="C294" s="75"/>
      <c r="D294" s="75"/>
    </row>
    <row r="295" spans="1:4" x14ac:dyDescent="0.3">
      <c r="A295" s="1"/>
      <c r="B295" s="4"/>
      <c r="C295" s="75"/>
      <c r="D295" s="75"/>
    </row>
    <row r="296" spans="1:4" x14ac:dyDescent="0.3">
      <c r="A296" s="1"/>
      <c r="B296" s="4"/>
      <c r="C296" s="75"/>
      <c r="D296" s="75"/>
    </row>
    <row r="297" spans="1:4" x14ac:dyDescent="0.3">
      <c r="A297" s="1"/>
      <c r="B297" s="4"/>
      <c r="C297" s="75"/>
      <c r="D297" s="75"/>
    </row>
    <row r="298" spans="1:4" x14ac:dyDescent="0.3">
      <c r="A298" s="1"/>
      <c r="B298" s="4"/>
      <c r="C298" s="75"/>
      <c r="D298" s="75"/>
    </row>
    <row r="299" spans="1:4" x14ac:dyDescent="0.3">
      <c r="A299" s="1"/>
      <c r="B299" s="4"/>
      <c r="C299" s="75"/>
      <c r="D299" s="75"/>
    </row>
    <row r="300" spans="1:4" x14ac:dyDescent="0.3">
      <c r="A300" s="1"/>
      <c r="B300" s="4"/>
      <c r="C300" s="75"/>
      <c r="D300" s="75"/>
    </row>
    <row r="301" spans="1:4" x14ac:dyDescent="0.3">
      <c r="A301" s="1"/>
      <c r="B301" s="4"/>
      <c r="C301" s="75"/>
      <c r="D301" s="75"/>
    </row>
    <row r="302" spans="1:4" x14ac:dyDescent="0.3">
      <c r="A302" s="1"/>
      <c r="B302" s="4"/>
      <c r="C302" s="75"/>
      <c r="D302" s="75"/>
    </row>
    <row r="303" spans="1:4" x14ac:dyDescent="0.3">
      <c r="A303" s="1"/>
      <c r="B303" s="4"/>
      <c r="C303" s="75"/>
      <c r="D303" s="75"/>
    </row>
    <row r="304" spans="1:4" x14ac:dyDescent="0.3">
      <c r="A304" s="1"/>
      <c r="B304" s="4"/>
      <c r="C304" s="75"/>
      <c r="D304" s="75"/>
    </row>
    <row r="305" spans="1:4" x14ac:dyDescent="0.3">
      <c r="A305" s="1"/>
      <c r="B305" s="4"/>
      <c r="C305" s="75"/>
      <c r="D305" s="75"/>
    </row>
    <row r="306" spans="1:4" x14ac:dyDescent="0.3">
      <c r="A306" s="1"/>
      <c r="B306" s="4"/>
      <c r="C306" s="75"/>
      <c r="D306" s="75"/>
    </row>
    <row r="307" spans="1:4" x14ac:dyDescent="0.3">
      <c r="A307" s="1"/>
      <c r="B307" s="4"/>
      <c r="C307" s="75"/>
      <c r="D307" s="75"/>
    </row>
    <row r="308" spans="1:4" x14ac:dyDescent="0.3">
      <c r="A308" s="1"/>
      <c r="B308" s="4"/>
      <c r="C308" s="75"/>
      <c r="D308" s="75"/>
    </row>
    <row r="309" spans="1:4" x14ac:dyDescent="0.3">
      <c r="A309" s="1"/>
      <c r="B309" s="4"/>
      <c r="C309" s="75"/>
      <c r="D309" s="75"/>
    </row>
    <row r="310" spans="1:4" x14ac:dyDescent="0.3">
      <c r="A310" s="1"/>
      <c r="B310" s="4"/>
      <c r="C310" s="75"/>
      <c r="D310" s="75"/>
    </row>
    <row r="311" spans="1:4" x14ac:dyDescent="0.3">
      <c r="A311" s="1"/>
      <c r="B311" s="4"/>
      <c r="C311" s="75"/>
      <c r="D311" s="75"/>
    </row>
    <row r="312" spans="1:4" x14ac:dyDescent="0.3">
      <c r="A312" s="1"/>
      <c r="B312" s="4"/>
      <c r="C312" s="75"/>
      <c r="D312" s="75"/>
    </row>
    <row r="313" spans="1:4" x14ac:dyDescent="0.3">
      <c r="A313" s="1"/>
      <c r="B313" s="4"/>
      <c r="C313" s="75"/>
      <c r="D313" s="75"/>
    </row>
    <row r="314" spans="1:4" x14ac:dyDescent="0.3">
      <c r="A314" s="1"/>
      <c r="B314" s="4"/>
      <c r="C314" s="75"/>
      <c r="D314" s="75"/>
    </row>
    <row r="315" spans="1:4" x14ac:dyDescent="0.3">
      <c r="A315" s="1"/>
      <c r="B315" s="4"/>
      <c r="C315" s="75"/>
      <c r="D315" s="75"/>
    </row>
    <row r="316" spans="1:4" x14ac:dyDescent="0.3">
      <c r="A316" s="1"/>
      <c r="B316" s="4"/>
      <c r="C316" s="75"/>
      <c r="D316" s="75"/>
    </row>
    <row r="317" spans="1:4" x14ac:dyDescent="0.3">
      <c r="A317" s="1"/>
      <c r="B317" s="4"/>
      <c r="C317" s="75"/>
      <c r="D317" s="75"/>
    </row>
    <row r="318" spans="1:4" x14ac:dyDescent="0.3">
      <c r="A318" s="1"/>
      <c r="B318" s="4"/>
      <c r="C318" s="75"/>
      <c r="D318" s="75"/>
    </row>
    <row r="319" spans="1:4" x14ac:dyDescent="0.3">
      <c r="A319" s="1"/>
      <c r="B319" s="4"/>
      <c r="C319" s="75"/>
      <c r="D319" s="75"/>
    </row>
    <row r="320" spans="1:4" x14ac:dyDescent="0.3">
      <c r="A320" s="1"/>
      <c r="B320" s="4"/>
      <c r="C320" s="75"/>
      <c r="D320" s="75"/>
    </row>
    <row r="321" spans="1:4" x14ac:dyDescent="0.3">
      <c r="A321" s="1"/>
      <c r="B321" s="4"/>
      <c r="C321" s="75"/>
      <c r="D321" s="75"/>
    </row>
    <row r="322" spans="1:4" x14ac:dyDescent="0.3">
      <c r="A322" s="1"/>
      <c r="B322" s="4"/>
      <c r="C322" s="75"/>
      <c r="D322" s="75"/>
    </row>
    <row r="323" spans="1:4" x14ac:dyDescent="0.3">
      <c r="A323" s="1"/>
      <c r="B323" s="4"/>
      <c r="C323" s="75"/>
      <c r="D323" s="75"/>
    </row>
    <row r="324" spans="1:4" x14ac:dyDescent="0.3">
      <c r="A324" s="1"/>
      <c r="B324" s="4"/>
      <c r="C324" s="75"/>
      <c r="D324" s="75"/>
    </row>
    <row r="325" spans="1:4" x14ac:dyDescent="0.3">
      <c r="A325" s="1"/>
      <c r="B325" s="4"/>
      <c r="C325" s="75"/>
      <c r="D325" s="75"/>
    </row>
    <row r="326" spans="1:4" x14ac:dyDescent="0.3">
      <c r="A326" s="1"/>
      <c r="B326" s="4"/>
      <c r="C326" s="75"/>
      <c r="D326" s="75"/>
    </row>
    <row r="327" spans="1:4" x14ac:dyDescent="0.3">
      <c r="A327" s="1"/>
      <c r="B327" s="4"/>
      <c r="C327" s="75"/>
      <c r="D327" s="75"/>
    </row>
    <row r="328" spans="1:4" x14ac:dyDescent="0.3">
      <c r="A328" s="1"/>
      <c r="B328" s="4"/>
      <c r="C328" s="75"/>
      <c r="D328" s="75"/>
    </row>
    <row r="329" spans="1:4" x14ac:dyDescent="0.3">
      <c r="A329" s="1"/>
      <c r="B329" s="4"/>
      <c r="C329" s="75"/>
      <c r="D329" s="75"/>
    </row>
    <row r="330" spans="1:4" x14ac:dyDescent="0.3">
      <c r="A330" s="1"/>
      <c r="B330" s="4"/>
      <c r="C330" s="75"/>
      <c r="D330" s="75"/>
    </row>
    <row r="331" spans="1:4" x14ac:dyDescent="0.3">
      <c r="A331" s="1"/>
      <c r="B331" s="4"/>
      <c r="C331" s="75"/>
      <c r="D331" s="75"/>
    </row>
    <row r="332" spans="1:4" x14ac:dyDescent="0.3">
      <c r="A332" s="1"/>
      <c r="B332" s="4"/>
      <c r="C332" s="75"/>
      <c r="D332" s="75"/>
    </row>
    <row r="333" spans="1:4" x14ac:dyDescent="0.3">
      <c r="A333" s="1"/>
      <c r="B333" s="4"/>
      <c r="C333" s="75"/>
      <c r="D333" s="75"/>
    </row>
    <row r="334" spans="1:4" x14ac:dyDescent="0.3">
      <c r="A334" s="1"/>
      <c r="B334" s="4"/>
      <c r="C334" s="75"/>
      <c r="D334" s="75"/>
    </row>
    <row r="335" spans="1:4" x14ac:dyDescent="0.3">
      <c r="A335" s="1"/>
      <c r="B335" s="4"/>
      <c r="C335" s="75"/>
      <c r="D335" s="75"/>
    </row>
    <row r="336" spans="1:4" x14ac:dyDescent="0.3">
      <c r="A336" s="1"/>
      <c r="B336" s="4"/>
      <c r="C336" s="75"/>
      <c r="D336" s="75"/>
    </row>
    <row r="337" spans="1:4" x14ac:dyDescent="0.3">
      <c r="A337" s="1"/>
      <c r="B337" s="4"/>
      <c r="C337" s="75"/>
      <c r="D337" s="75"/>
    </row>
    <row r="338" spans="1:4" x14ac:dyDescent="0.3">
      <c r="A338" s="1"/>
      <c r="B338" s="4"/>
      <c r="C338" s="75"/>
      <c r="D338" s="75"/>
    </row>
    <row r="339" spans="1:4" x14ac:dyDescent="0.3">
      <c r="A339" s="1"/>
      <c r="B339" s="4"/>
      <c r="C339" s="75"/>
      <c r="D339" s="75"/>
    </row>
    <row r="340" spans="1:4" x14ac:dyDescent="0.3">
      <c r="A340" s="1"/>
      <c r="B340" s="4"/>
      <c r="C340" s="75"/>
      <c r="D340" s="75"/>
    </row>
    <row r="341" spans="1:4" x14ac:dyDescent="0.3">
      <c r="A341" s="1"/>
      <c r="B341" s="4"/>
      <c r="C341" s="75"/>
      <c r="D341" s="75"/>
    </row>
    <row r="342" spans="1:4" x14ac:dyDescent="0.3">
      <c r="A342" s="1"/>
      <c r="B342" s="4"/>
      <c r="C342" s="75"/>
      <c r="D342" s="75"/>
    </row>
    <row r="343" spans="1:4" x14ac:dyDescent="0.3">
      <c r="A343" s="1"/>
      <c r="B343" s="4"/>
      <c r="C343" s="75"/>
      <c r="D343" s="75"/>
    </row>
    <row r="344" spans="1:4" x14ac:dyDescent="0.3">
      <c r="A344" s="1"/>
      <c r="B344" s="4"/>
      <c r="C344" s="75"/>
      <c r="D344" s="75"/>
    </row>
    <row r="345" spans="1:4" x14ac:dyDescent="0.3">
      <c r="A345" s="1"/>
      <c r="B345" s="4"/>
      <c r="C345" s="75"/>
      <c r="D345" s="75"/>
    </row>
    <row r="346" spans="1:4" x14ac:dyDescent="0.3">
      <c r="A346" s="1"/>
      <c r="B346" s="4"/>
      <c r="C346" s="75"/>
      <c r="D346" s="75"/>
    </row>
    <row r="347" spans="1:4" x14ac:dyDescent="0.3">
      <c r="A347" s="1"/>
      <c r="B347" s="4"/>
      <c r="C347" s="75"/>
      <c r="D347" s="75"/>
    </row>
    <row r="348" spans="1:4" x14ac:dyDescent="0.3">
      <c r="A348" s="1"/>
      <c r="B348" s="4"/>
      <c r="C348" s="75"/>
      <c r="D348" s="75"/>
    </row>
    <row r="349" spans="1:4" x14ac:dyDescent="0.3">
      <c r="A349" s="1"/>
      <c r="B349" s="4"/>
      <c r="C349" s="75"/>
      <c r="D349" s="75"/>
    </row>
    <row r="350" spans="1:4" x14ac:dyDescent="0.3">
      <c r="A350" s="1"/>
      <c r="B350" s="4"/>
      <c r="C350" s="75"/>
      <c r="D350" s="75"/>
    </row>
    <row r="351" spans="1:4" x14ac:dyDescent="0.3">
      <c r="A351" s="1"/>
      <c r="B351" s="4"/>
      <c r="C351" s="75"/>
      <c r="D351" s="75"/>
    </row>
    <row r="352" spans="1:4" x14ac:dyDescent="0.3">
      <c r="A352" s="1"/>
      <c r="B352" s="4"/>
      <c r="C352" s="75"/>
      <c r="D352" s="75"/>
    </row>
    <row r="353" spans="1:4" x14ac:dyDescent="0.3">
      <c r="A353" s="1"/>
      <c r="B353" s="4"/>
      <c r="C353" s="75"/>
      <c r="D353" s="75"/>
    </row>
    <row r="354" spans="1:4" x14ac:dyDescent="0.3">
      <c r="A354" s="1"/>
      <c r="B354" s="4"/>
      <c r="C354" s="75"/>
      <c r="D354" s="75"/>
    </row>
    <row r="355" spans="1:4" x14ac:dyDescent="0.3">
      <c r="A355" s="1"/>
      <c r="B355" s="4"/>
      <c r="C355" s="75"/>
      <c r="D355" s="75"/>
    </row>
    <row r="356" spans="1:4" x14ac:dyDescent="0.3">
      <c r="A356" s="1"/>
      <c r="B356" s="4"/>
      <c r="C356" s="75"/>
      <c r="D356" s="75"/>
    </row>
    <row r="357" spans="1:4" x14ac:dyDescent="0.3">
      <c r="A357" s="1"/>
      <c r="B357" s="4"/>
      <c r="C357" s="75"/>
      <c r="D357" s="75"/>
    </row>
    <row r="358" spans="1:4" x14ac:dyDescent="0.3">
      <c r="A358" s="1"/>
      <c r="B358" s="4"/>
      <c r="C358" s="75"/>
      <c r="D358" s="75"/>
    </row>
    <row r="359" spans="1:4" x14ac:dyDescent="0.3">
      <c r="A359" s="1"/>
      <c r="B359" s="4"/>
      <c r="C359" s="75"/>
      <c r="D359" s="75"/>
    </row>
    <row r="360" spans="1:4" x14ac:dyDescent="0.3">
      <c r="A360" s="1"/>
      <c r="B360" s="4"/>
      <c r="C360" s="75"/>
      <c r="D360" s="75"/>
    </row>
    <row r="361" spans="1:4" x14ac:dyDescent="0.3">
      <c r="A361" s="1"/>
      <c r="B361" s="4"/>
      <c r="C361" s="75"/>
      <c r="D361" s="75"/>
    </row>
    <row r="362" spans="1:4" x14ac:dyDescent="0.3">
      <c r="A362" s="1"/>
      <c r="B362" s="4"/>
      <c r="C362" s="75"/>
      <c r="D362" s="75"/>
    </row>
    <row r="363" spans="1:4" x14ac:dyDescent="0.3">
      <c r="A363" s="1"/>
      <c r="B363" s="4"/>
      <c r="C363" s="75"/>
      <c r="D363" s="75"/>
    </row>
    <row r="364" spans="1:4" x14ac:dyDescent="0.3">
      <c r="A364" s="1"/>
      <c r="B364" s="4"/>
      <c r="C364" s="75"/>
      <c r="D364" s="75"/>
    </row>
    <row r="365" spans="1:4" x14ac:dyDescent="0.3">
      <c r="A365" s="1"/>
      <c r="B365" s="4"/>
      <c r="C365" s="75"/>
      <c r="D365" s="75"/>
    </row>
    <row r="366" spans="1:4" x14ac:dyDescent="0.3">
      <c r="A366" s="1"/>
      <c r="B366" s="4"/>
      <c r="C366" s="75"/>
      <c r="D366" s="75"/>
    </row>
    <row r="367" spans="1:4" x14ac:dyDescent="0.3">
      <c r="A367" s="1"/>
      <c r="B367" s="4"/>
      <c r="C367" s="75"/>
      <c r="D367" s="75"/>
    </row>
    <row r="368" spans="1:4" x14ac:dyDescent="0.3">
      <c r="A368" s="1"/>
      <c r="B368" s="4"/>
      <c r="C368" s="75"/>
      <c r="D368" s="75"/>
    </row>
    <row r="369" spans="1:4" x14ac:dyDescent="0.3">
      <c r="A369" s="1"/>
      <c r="B369" s="4"/>
      <c r="C369" s="75"/>
      <c r="D369" s="75"/>
    </row>
    <row r="370" spans="1:4" x14ac:dyDescent="0.3">
      <c r="A370" s="1"/>
      <c r="B370" s="4"/>
      <c r="C370" s="75"/>
      <c r="D370" s="75"/>
    </row>
    <row r="371" spans="1:4" x14ac:dyDescent="0.3">
      <c r="A371" s="1"/>
      <c r="B371" s="4"/>
      <c r="C371" s="75"/>
      <c r="D371" s="75"/>
    </row>
    <row r="372" spans="1:4" x14ac:dyDescent="0.3">
      <c r="A372" s="1"/>
      <c r="B372" s="4"/>
      <c r="C372" s="75"/>
      <c r="D372" s="75"/>
    </row>
    <row r="373" spans="1:4" x14ac:dyDescent="0.3">
      <c r="A373" s="1"/>
      <c r="B373" s="4"/>
      <c r="C373" s="75"/>
      <c r="D373" s="75"/>
    </row>
    <row r="374" spans="1:4" x14ac:dyDescent="0.3">
      <c r="A374" s="1"/>
      <c r="B374" s="4"/>
      <c r="C374" s="75"/>
      <c r="D374" s="75"/>
    </row>
    <row r="375" spans="1:4" x14ac:dyDescent="0.3">
      <c r="A375" s="1"/>
      <c r="B375" s="4"/>
      <c r="C375" s="75"/>
      <c r="D375" s="75"/>
    </row>
    <row r="376" spans="1:4" x14ac:dyDescent="0.3">
      <c r="A376" s="1"/>
      <c r="B376" s="4"/>
      <c r="C376" s="75"/>
      <c r="D376" s="75"/>
    </row>
    <row r="377" spans="1:4" x14ac:dyDescent="0.3">
      <c r="A377" s="1"/>
      <c r="B377" s="4"/>
      <c r="C377" s="75"/>
      <c r="D377" s="75"/>
    </row>
    <row r="378" spans="1:4" x14ac:dyDescent="0.3">
      <c r="A378" s="1"/>
      <c r="B378" s="4"/>
      <c r="C378" s="75"/>
      <c r="D378" s="75"/>
    </row>
    <row r="379" spans="1:4" x14ac:dyDescent="0.3">
      <c r="A379" s="1"/>
      <c r="B379" s="4"/>
      <c r="C379" s="75"/>
      <c r="D379" s="75"/>
    </row>
    <row r="380" spans="1:4" x14ac:dyDescent="0.3">
      <c r="A380" s="1"/>
      <c r="B380" s="4"/>
      <c r="C380" s="75"/>
      <c r="D380" s="75"/>
    </row>
    <row r="381" spans="1:4" x14ac:dyDescent="0.3">
      <c r="A381" s="1"/>
      <c r="B381" s="4"/>
      <c r="C381" s="75"/>
      <c r="D381" s="75"/>
    </row>
    <row r="382" spans="1:4" x14ac:dyDescent="0.3">
      <c r="A382" s="1"/>
      <c r="B382" s="4"/>
      <c r="C382" s="75"/>
      <c r="D382" s="75"/>
    </row>
    <row r="383" spans="1:4" x14ac:dyDescent="0.3">
      <c r="A383" s="1"/>
      <c r="B383" s="4"/>
      <c r="C383" s="75"/>
      <c r="D383" s="75"/>
    </row>
    <row r="384" spans="1:4" x14ac:dyDescent="0.3">
      <c r="A384" s="1"/>
      <c r="B384" s="4"/>
      <c r="C384" s="75"/>
      <c r="D384" s="75"/>
    </row>
    <row r="385" spans="1:4" x14ac:dyDescent="0.3">
      <c r="A385" s="1"/>
      <c r="B385" s="4"/>
      <c r="C385" s="75"/>
      <c r="D385" s="75"/>
    </row>
    <row r="386" spans="1:4" x14ac:dyDescent="0.3">
      <c r="A386" s="1"/>
      <c r="B386" s="4"/>
      <c r="C386" s="75"/>
      <c r="D386" s="75"/>
    </row>
    <row r="387" spans="1:4" x14ac:dyDescent="0.3">
      <c r="A387" s="1"/>
      <c r="B387" s="4"/>
      <c r="C387" s="75"/>
      <c r="D387" s="75"/>
    </row>
    <row r="388" spans="1:4" x14ac:dyDescent="0.3">
      <c r="A388" s="1"/>
      <c r="B388" s="4"/>
      <c r="C388" s="75"/>
      <c r="D388" s="75"/>
    </row>
    <row r="389" spans="1:4" x14ac:dyDescent="0.3">
      <c r="A389" s="1"/>
      <c r="B389" s="4"/>
      <c r="C389" s="75"/>
      <c r="D389" s="75"/>
    </row>
    <row r="390" spans="1:4" x14ac:dyDescent="0.3">
      <c r="A390" s="1"/>
      <c r="B390" s="4"/>
      <c r="C390" s="75"/>
      <c r="D390" s="75"/>
    </row>
    <row r="391" spans="1:4" x14ac:dyDescent="0.3">
      <c r="A391" s="1"/>
      <c r="B391" s="4"/>
      <c r="C391" s="75"/>
      <c r="D391" s="75"/>
    </row>
    <row r="392" spans="1:4" x14ac:dyDescent="0.3">
      <c r="A392" s="1"/>
      <c r="B392" s="4"/>
      <c r="C392" s="75"/>
      <c r="D392" s="75"/>
    </row>
    <row r="393" spans="1:4" x14ac:dyDescent="0.3">
      <c r="A393" s="1"/>
      <c r="B393" s="4"/>
      <c r="C393" s="75"/>
      <c r="D393" s="75"/>
    </row>
    <row r="394" spans="1:4" x14ac:dyDescent="0.3">
      <c r="A394" s="1"/>
      <c r="B394" s="4"/>
      <c r="C394" s="75"/>
      <c r="D394" s="75"/>
    </row>
    <row r="395" spans="1:4" x14ac:dyDescent="0.3">
      <c r="A395" s="1"/>
      <c r="B395" s="4"/>
      <c r="C395" s="75"/>
      <c r="D395" s="75"/>
    </row>
    <row r="396" spans="1:4" x14ac:dyDescent="0.3">
      <c r="A396" s="1"/>
      <c r="B396" s="4"/>
      <c r="C396" s="75"/>
      <c r="D396" s="75"/>
    </row>
    <row r="397" spans="1:4" x14ac:dyDescent="0.3">
      <c r="A397" s="1"/>
      <c r="B397" s="4"/>
      <c r="C397" s="75"/>
      <c r="D397" s="75"/>
    </row>
    <row r="398" spans="1:4" x14ac:dyDescent="0.3">
      <c r="A398" s="1"/>
      <c r="B398" s="4"/>
      <c r="C398" s="75"/>
      <c r="D398" s="75"/>
    </row>
    <row r="399" spans="1:4" x14ac:dyDescent="0.3">
      <c r="A399" s="1"/>
      <c r="B399" s="4"/>
      <c r="C399" s="75"/>
      <c r="D399" s="75"/>
    </row>
    <row r="400" spans="1:4" x14ac:dyDescent="0.3">
      <c r="A400" s="1"/>
      <c r="B400" s="4"/>
      <c r="C400" s="75"/>
      <c r="D400" s="75"/>
    </row>
    <row r="401" spans="1:4" x14ac:dyDescent="0.3">
      <c r="A401" s="1"/>
      <c r="B401" s="4"/>
      <c r="C401" s="75"/>
      <c r="D401" s="75"/>
    </row>
    <row r="402" spans="1:4" x14ac:dyDescent="0.3">
      <c r="A402" s="1"/>
      <c r="B402" s="4"/>
      <c r="C402" s="75"/>
      <c r="D402" s="75"/>
    </row>
    <row r="403" spans="1:4" x14ac:dyDescent="0.3">
      <c r="A403" s="1"/>
      <c r="B403" s="4"/>
      <c r="C403" s="75"/>
      <c r="D403" s="75"/>
    </row>
    <row r="404" spans="1:4" x14ac:dyDescent="0.3">
      <c r="A404" s="1"/>
      <c r="B404" s="4"/>
      <c r="C404" s="75"/>
      <c r="D404" s="75"/>
    </row>
    <row r="405" spans="1:4" x14ac:dyDescent="0.3">
      <c r="A405" s="1"/>
      <c r="B405" s="4"/>
      <c r="C405" s="75"/>
      <c r="D405" s="75"/>
    </row>
    <row r="406" spans="1:4" x14ac:dyDescent="0.3">
      <c r="A406" s="1"/>
      <c r="B406" s="4"/>
      <c r="C406" s="75"/>
      <c r="D406" s="75"/>
    </row>
    <row r="407" spans="1:4" x14ac:dyDescent="0.3">
      <c r="A407" s="1"/>
      <c r="B407" s="4"/>
      <c r="C407" s="75"/>
      <c r="D407" s="75"/>
    </row>
    <row r="408" spans="1:4" x14ac:dyDescent="0.3">
      <c r="A408" s="1"/>
      <c r="B408" s="4"/>
      <c r="C408" s="75"/>
      <c r="D408" s="75"/>
    </row>
    <row r="409" spans="1:4" x14ac:dyDescent="0.3">
      <c r="A409" s="1"/>
      <c r="B409" s="4"/>
      <c r="C409" s="75"/>
      <c r="D409" s="75"/>
    </row>
    <row r="410" spans="1:4" x14ac:dyDescent="0.3">
      <c r="A410" s="1"/>
      <c r="B410" s="4"/>
      <c r="C410" s="75"/>
      <c r="D410" s="75"/>
    </row>
    <row r="411" spans="1:4" x14ac:dyDescent="0.3">
      <c r="A411" s="1"/>
      <c r="B411" s="4"/>
      <c r="C411" s="75"/>
      <c r="D411" s="75"/>
    </row>
    <row r="412" spans="1:4" x14ac:dyDescent="0.3">
      <c r="A412" s="1"/>
      <c r="B412" s="4"/>
      <c r="C412" s="75"/>
      <c r="D412" s="75"/>
    </row>
    <row r="413" spans="1:4" x14ac:dyDescent="0.3">
      <c r="A413" s="1"/>
      <c r="B413" s="4"/>
      <c r="C413" s="75"/>
      <c r="D413" s="75"/>
    </row>
    <row r="414" spans="1:4" x14ac:dyDescent="0.3">
      <c r="A414" s="1"/>
      <c r="B414" s="4"/>
      <c r="C414" s="75"/>
      <c r="D414" s="75"/>
    </row>
    <row r="415" spans="1:4" x14ac:dyDescent="0.3">
      <c r="A415" s="1"/>
      <c r="B415" s="4"/>
      <c r="C415" s="75"/>
      <c r="D415" s="75"/>
    </row>
    <row r="416" spans="1:4" x14ac:dyDescent="0.3">
      <c r="A416" s="1"/>
      <c r="B416" s="4"/>
      <c r="C416" s="75"/>
      <c r="D416" s="75"/>
    </row>
    <row r="417" spans="1:4" x14ac:dyDescent="0.3">
      <c r="A417" s="1"/>
      <c r="B417" s="4"/>
      <c r="C417" s="75"/>
      <c r="D417" s="75"/>
    </row>
    <row r="418" spans="1:4" x14ac:dyDescent="0.3">
      <c r="A418" s="1"/>
      <c r="B418" s="4"/>
      <c r="C418" s="75"/>
      <c r="D418" s="75"/>
    </row>
    <row r="419" spans="1:4" x14ac:dyDescent="0.3">
      <c r="A419" s="1"/>
      <c r="B419" s="4"/>
      <c r="C419" s="75"/>
      <c r="D419" s="75"/>
    </row>
    <row r="420" spans="1:4" x14ac:dyDescent="0.3">
      <c r="A420" s="1"/>
      <c r="B420" s="4"/>
      <c r="C420" s="75"/>
      <c r="D420" s="75"/>
    </row>
    <row r="421" spans="1:4" x14ac:dyDescent="0.3">
      <c r="A421" s="1"/>
      <c r="B421" s="4"/>
      <c r="C421" s="75"/>
      <c r="D421" s="75"/>
    </row>
    <row r="422" spans="1:4" x14ac:dyDescent="0.3">
      <c r="A422" s="1"/>
      <c r="B422" s="4"/>
      <c r="C422" s="75"/>
      <c r="D422" s="75"/>
    </row>
    <row r="423" spans="1:4" x14ac:dyDescent="0.3">
      <c r="A423" s="1"/>
      <c r="B423" s="4"/>
      <c r="C423" s="75"/>
      <c r="D423" s="75"/>
    </row>
    <row r="424" spans="1:4" x14ac:dyDescent="0.3">
      <c r="A424" s="1"/>
      <c r="B424" s="4"/>
      <c r="C424" s="75"/>
      <c r="D424" s="75"/>
    </row>
    <row r="425" spans="1:4" x14ac:dyDescent="0.3">
      <c r="A425" s="1"/>
      <c r="B425" s="4"/>
      <c r="C425" s="75"/>
      <c r="D425" s="75"/>
    </row>
    <row r="426" spans="1:4" x14ac:dyDescent="0.3">
      <c r="A426" s="1"/>
      <c r="B426" s="4"/>
      <c r="C426" s="75"/>
      <c r="D426" s="75"/>
    </row>
    <row r="427" spans="1:4" x14ac:dyDescent="0.3">
      <c r="A427" s="1"/>
      <c r="B427" s="4"/>
      <c r="C427" s="75"/>
      <c r="D427" s="75"/>
    </row>
    <row r="428" spans="1:4" x14ac:dyDescent="0.3">
      <c r="A428" s="1"/>
      <c r="B428" s="4"/>
      <c r="C428" s="75"/>
      <c r="D428" s="75"/>
    </row>
    <row r="429" spans="1:4" x14ac:dyDescent="0.3">
      <c r="A429" s="1"/>
      <c r="B429" s="4"/>
      <c r="C429" s="75"/>
      <c r="D429" s="75"/>
    </row>
    <row r="430" spans="1:4" x14ac:dyDescent="0.3">
      <c r="A430" s="1"/>
      <c r="B430" s="4"/>
      <c r="C430" s="75"/>
      <c r="D430" s="75"/>
    </row>
    <row r="431" spans="1:4" x14ac:dyDescent="0.3">
      <c r="A431" s="1"/>
      <c r="B431" s="4"/>
      <c r="C431" s="75"/>
      <c r="D431" s="75"/>
    </row>
    <row r="432" spans="1:4" x14ac:dyDescent="0.3">
      <c r="A432" s="1"/>
      <c r="B432" s="4"/>
      <c r="C432" s="75"/>
      <c r="D432" s="75"/>
    </row>
    <row r="433" spans="1:4" x14ac:dyDescent="0.3">
      <c r="A433" s="1"/>
      <c r="B433" s="4"/>
      <c r="C433" s="75"/>
      <c r="D433" s="75"/>
    </row>
    <row r="434" spans="1:4" x14ac:dyDescent="0.3">
      <c r="A434" s="1"/>
      <c r="B434" s="4"/>
      <c r="C434" s="75"/>
      <c r="D434" s="75"/>
    </row>
    <row r="435" spans="1:4" x14ac:dyDescent="0.3">
      <c r="A435" s="1"/>
      <c r="B435" s="4"/>
      <c r="C435" s="75"/>
      <c r="D435" s="75"/>
    </row>
    <row r="436" spans="1:4" x14ac:dyDescent="0.3">
      <c r="A436" s="1"/>
      <c r="B436" s="4"/>
      <c r="C436" s="75"/>
      <c r="D436" s="75"/>
    </row>
    <row r="437" spans="1:4" x14ac:dyDescent="0.3">
      <c r="A437" s="1"/>
      <c r="B437" s="4"/>
      <c r="C437" s="75"/>
      <c r="D437" s="75"/>
    </row>
    <row r="438" spans="1:4" x14ac:dyDescent="0.3">
      <c r="A438" s="1"/>
      <c r="B438" s="4"/>
      <c r="C438" s="75"/>
      <c r="D438" s="75"/>
    </row>
    <row r="439" spans="1:4" x14ac:dyDescent="0.3">
      <c r="A439" s="1"/>
      <c r="B439" s="4"/>
      <c r="C439" s="75"/>
      <c r="D439" s="75"/>
    </row>
    <row r="440" spans="1:4" x14ac:dyDescent="0.3">
      <c r="A440" s="1"/>
      <c r="B440" s="4"/>
      <c r="C440" s="75"/>
      <c r="D440" s="75"/>
    </row>
    <row r="441" spans="1:4" x14ac:dyDescent="0.3">
      <c r="A441" s="1"/>
      <c r="B441" s="4"/>
      <c r="C441" s="75"/>
      <c r="D441" s="75"/>
    </row>
    <row r="442" spans="1:4" x14ac:dyDescent="0.3">
      <c r="A442" s="1"/>
      <c r="B442" s="4"/>
      <c r="C442" s="75"/>
      <c r="D442" s="75"/>
    </row>
    <row r="443" spans="1:4" x14ac:dyDescent="0.3">
      <c r="A443" s="1"/>
      <c r="B443" s="4"/>
      <c r="C443" s="75"/>
      <c r="D443" s="75"/>
    </row>
    <row r="444" spans="1:4" x14ac:dyDescent="0.3">
      <c r="A444" s="1"/>
      <c r="B444" s="4"/>
      <c r="C444" s="75"/>
      <c r="D444" s="75"/>
    </row>
    <row r="445" spans="1:4" x14ac:dyDescent="0.3">
      <c r="A445" s="1"/>
      <c r="B445" s="4"/>
      <c r="C445" s="75"/>
      <c r="D445" s="75"/>
    </row>
    <row r="446" spans="1:4" x14ac:dyDescent="0.3">
      <c r="A446" s="1"/>
      <c r="B446" s="4"/>
      <c r="C446" s="75"/>
      <c r="D446" s="75"/>
    </row>
    <row r="447" spans="1:4" x14ac:dyDescent="0.3">
      <c r="A447" s="1"/>
      <c r="B447" s="4"/>
      <c r="C447" s="75"/>
      <c r="D447" s="75"/>
    </row>
    <row r="448" spans="1:4" x14ac:dyDescent="0.3">
      <c r="A448" s="1"/>
      <c r="B448" s="4"/>
      <c r="C448" s="75"/>
      <c r="D448" s="75"/>
    </row>
    <row r="449" spans="1:4" x14ac:dyDescent="0.3">
      <c r="A449" s="1"/>
      <c r="B449" s="4"/>
      <c r="C449" s="75"/>
      <c r="D449" s="75"/>
    </row>
    <row r="450" spans="1:4" x14ac:dyDescent="0.3">
      <c r="A450" s="1"/>
      <c r="B450" s="4"/>
      <c r="C450" s="75"/>
      <c r="D450" s="75"/>
    </row>
    <row r="451" spans="1:4" x14ac:dyDescent="0.3">
      <c r="A451" s="1"/>
      <c r="B451" s="4"/>
      <c r="C451" s="75"/>
      <c r="D451" s="75"/>
    </row>
    <row r="452" spans="1:4" x14ac:dyDescent="0.3">
      <c r="A452" s="1"/>
      <c r="B452" s="4"/>
      <c r="C452" s="75"/>
      <c r="D452" s="75"/>
    </row>
    <row r="453" spans="1:4" x14ac:dyDescent="0.3">
      <c r="A453" s="1"/>
      <c r="B453" s="4"/>
      <c r="C453" s="75"/>
      <c r="D453" s="75"/>
    </row>
    <row r="454" spans="1:4" x14ac:dyDescent="0.3">
      <c r="A454" s="1"/>
      <c r="B454" s="4"/>
      <c r="C454" s="75"/>
      <c r="D454" s="75"/>
    </row>
    <row r="455" spans="1:4" x14ac:dyDescent="0.3">
      <c r="A455" s="1"/>
      <c r="B455" s="4"/>
      <c r="C455" s="75"/>
      <c r="D455" s="75"/>
    </row>
    <row r="456" spans="1:4" x14ac:dyDescent="0.3">
      <c r="A456" s="1"/>
      <c r="B456" s="4"/>
      <c r="C456" s="75"/>
      <c r="D456" s="75"/>
    </row>
    <row r="457" spans="1:4" x14ac:dyDescent="0.3">
      <c r="A457" s="1"/>
      <c r="B457" s="4"/>
      <c r="C457" s="75"/>
      <c r="D457" s="75"/>
    </row>
    <row r="458" spans="1:4" x14ac:dyDescent="0.3">
      <c r="A458" s="1"/>
      <c r="B458" s="4"/>
      <c r="C458" s="75"/>
      <c r="D458" s="75"/>
    </row>
    <row r="459" spans="1:4" x14ac:dyDescent="0.3">
      <c r="A459" s="1"/>
      <c r="B459" s="4"/>
      <c r="C459" s="75"/>
      <c r="D459" s="75"/>
    </row>
    <row r="460" spans="1:4" x14ac:dyDescent="0.3">
      <c r="A460" s="1"/>
      <c r="B460" s="4"/>
      <c r="C460" s="75"/>
      <c r="D460" s="75"/>
    </row>
    <row r="461" spans="1:4" x14ac:dyDescent="0.3">
      <c r="A461" s="1"/>
      <c r="B461" s="4"/>
      <c r="C461" s="75"/>
      <c r="D461" s="75"/>
    </row>
    <row r="462" spans="1:4" x14ac:dyDescent="0.3">
      <c r="A462" s="1"/>
      <c r="B462" s="4"/>
      <c r="C462" s="75"/>
      <c r="D462" s="75"/>
    </row>
    <row r="463" spans="1:4" x14ac:dyDescent="0.3">
      <c r="A463" s="1"/>
      <c r="B463" s="4"/>
      <c r="C463" s="75"/>
      <c r="D463" s="75"/>
    </row>
    <row r="464" spans="1:4" x14ac:dyDescent="0.3">
      <c r="A464" s="1"/>
      <c r="B464" s="4"/>
      <c r="C464" s="75"/>
      <c r="D464" s="75"/>
    </row>
    <row r="465" spans="1:4" x14ac:dyDescent="0.3">
      <c r="A465" s="1"/>
      <c r="B465" s="4"/>
      <c r="C465" s="75"/>
      <c r="D465" s="75"/>
    </row>
    <row r="466" spans="1:4" x14ac:dyDescent="0.3">
      <c r="A466" s="1"/>
      <c r="B466" s="4"/>
      <c r="C466" s="75"/>
      <c r="D466" s="75"/>
    </row>
    <row r="467" spans="1:4" x14ac:dyDescent="0.3">
      <c r="A467" s="1"/>
      <c r="B467" s="4"/>
      <c r="C467" s="75"/>
      <c r="D467" s="75"/>
    </row>
    <row r="468" spans="1:4" x14ac:dyDescent="0.3">
      <c r="A468" s="1"/>
      <c r="B468" s="4"/>
      <c r="C468" s="75"/>
      <c r="D468" s="75"/>
    </row>
    <row r="469" spans="1:4" x14ac:dyDescent="0.3">
      <c r="A469" s="1"/>
      <c r="B469" s="4"/>
      <c r="C469" s="75"/>
      <c r="D469" s="75"/>
    </row>
    <row r="470" spans="1:4" x14ac:dyDescent="0.3">
      <c r="A470" s="1"/>
      <c r="B470" s="4"/>
      <c r="C470" s="75"/>
      <c r="D470" s="75"/>
    </row>
    <row r="471" spans="1:4" x14ac:dyDescent="0.3">
      <c r="A471" s="1"/>
      <c r="B471" s="4"/>
      <c r="C471" s="75"/>
      <c r="D471" s="75"/>
    </row>
    <row r="472" spans="1:4" x14ac:dyDescent="0.3">
      <c r="A472" s="1"/>
      <c r="B472" s="4"/>
      <c r="C472" s="75"/>
      <c r="D472" s="75"/>
    </row>
    <row r="473" spans="1:4" x14ac:dyDescent="0.3">
      <c r="A473" s="1"/>
      <c r="B473" s="4"/>
      <c r="C473" s="75"/>
      <c r="D473" s="75"/>
    </row>
    <row r="474" spans="1:4" x14ac:dyDescent="0.3">
      <c r="A474" s="1"/>
      <c r="B474" s="4"/>
      <c r="C474" s="75"/>
      <c r="D474" s="75"/>
    </row>
    <row r="475" spans="1:4" x14ac:dyDescent="0.3">
      <c r="A475" s="1"/>
      <c r="B475" s="4"/>
      <c r="C475" s="75"/>
      <c r="D475" s="75"/>
    </row>
  </sheetData>
  <mergeCells count="1"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59999389629810485"/>
  </sheetPr>
  <dimension ref="A1:C117"/>
  <sheetViews>
    <sheetView view="pageBreakPreview" zoomScale="130" zoomScaleNormal="100" zoomScaleSheetLayoutView="130" workbookViewId="0">
      <pane ySplit="3" topLeftCell="A4" activePane="bottomLeft" state="frozen"/>
      <selection pane="bottomLeft" activeCell="E9" sqref="E9"/>
    </sheetView>
  </sheetViews>
  <sheetFormatPr defaultRowHeight="14.4" x14ac:dyDescent="0.3"/>
  <cols>
    <col min="1" max="1" width="12" customWidth="1"/>
    <col min="2" max="2" width="18.6640625" bestFit="1" customWidth="1"/>
    <col min="3" max="3" width="31.33203125" customWidth="1"/>
    <col min="5" max="5" width="24.5546875" bestFit="1" customWidth="1"/>
  </cols>
  <sheetData>
    <row r="1" spans="1:3" ht="19.8" x14ac:dyDescent="0.3">
      <c r="A1" s="28" t="s">
        <v>0</v>
      </c>
      <c r="B1" s="49" t="s">
        <v>52</v>
      </c>
      <c r="C1" s="49" t="s">
        <v>53</v>
      </c>
    </row>
    <row r="2" spans="1:3" x14ac:dyDescent="0.3">
      <c r="A2" s="1"/>
      <c r="B2" s="4"/>
      <c r="C2" s="4"/>
    </row>
    <row r="3" spans="1:3" ht="21" x14ac:dyDescent="0.4">
      <c r="A3" s="1"/>
      <c r="B3" s="74" t="s">
        <v>106</v>
      </c>
      <c r="C3" s="62">
        <f>+SUM(B4:B10040)</f>
        <v>0</v>
      </c>
    </row>
    <row r="4" spans="1:3" x14ac:dyDescent="0.3">
      <c r="A4" s="1"/>
      <c r="B4" s="4"/>
      <c r="C4" s="4"/>
    </row>
    <row r="5" spans="1:3" x14ac:dyDescent="0.3">
      <c r="A5" s="1" t="s">
        <v>10</v>
      </c>
      <c r="B5" s="4"/>
      <c r="C5" s="115">
        <f>340645+22828+17092+30606+C14</f>
        <v>429829</v>
      </c>
    </row>
    <row r="6" spans="1:3" x14ac:dyDescent="0.3">
      <c r="A6" s="1"/>
      <c r="B6" s="4"/>
      <c r="C6" s="75" t="s">
        <v>483</v>
      </c>
    </row>
    <row r="7" spans="1:3" x14ac:dyDescent="0.3">
      <c r="A7" s="1" t="s">
        <v>116</v>
      </c>
      <c r="B7" s="4"/>
      <c r="C7" s="115">
        <v>14242</v>
      </c>
    </row>
    <row r="8" spans="1:3" x14ac:dyDescent="0.3">
      <c r="A8" s="1" t="s">
        <v>466</v>
      </c>
      <c r="B8" s="4"/>
      <c r="C8" s="115">
        <f>214150000/12150</f>
        <v>17625.514403292182</v>
      </c>
    </row>
    <row r="9" spans="1:3" x14ac:dyDescent="0.3">
      <c r="A9" s="1" t="s">
        <v>764</v>
      </c>
      <c r="B9" s="4"/>
      <c r="C9" s="115" t="s">
        <v>788</v>
      </c>
    </row>
    <row r="10" spans="1:3" x14ac:dyDescent="0.3">
      <c r="A10" s="169" t="s">
        <v>764</v>
      </c>
      <c r="B10" s="4"/>
      <c r="C10" s="186" t="s">
        <v>787</v>
      </c>
    </row>
    <row r="11" spans="1:3" x14ac:dyDescent="0.3">
      <c r="A11" s="169" t="s">
        <v>995</v>
      </c>
      <c r="B11" s="4"/>
      <c r="C11" s="115">
        <v>22828</v>
      </c>
    </row>
    <row r="12" spans="1:3" x14ac:dyDescent="0.3">
      <c r="A12" s="169" t="s">
        <v>1253</v>
      </c>
      <c r="B12" s="4"/>
      <c r="C12" s="115">
        <v>17092</v>
      </c>
    </row>
    <row r="13" spans="1:3" x14ac:dyDescent="0.3">
      <c r="A13" s="169">
        <v>46203</v>
      </c>
      <c r="B13" s="4"/>
      <c r="C13" s="115">
        <v>30606</v>
      </c>
    </row>
    <row r="14" spans="1:3" x14ac:dyDescent="0.3">
      <c r="A14" s="169">
        <v>46234</v>
      </c>
      <c r="B14" s="4"/>
      <c r="C14" s="115">
        <v>18658</v>
      </c>
    </row>
    <row r="15" spans="1:3" x14ac:dyDescent="0.3">
      <c r="A15" s="169"/>
      <c r="B15" s="4"/>
      <c r="C15" s="236" t="s">
        <v>1702</v>
      </c>
    </row>
    <row r="16" spans="1:3" x14ac:dyDescent="0.3">
      <c r="A16" s="169"/>
      <c r="B16" s="75"/>
      <c r="C16" s="115"/>
    </row>
    <row r="17" spans="1:3" x14ac:dyDescent="0.3">
      <c r="A17" s="169"/>
      <c r="B17" s="4"/>
      <c r="C17" s="115"/>
    </row>
    <row r="18" spans="1:3" x14ac:dyDescent="0.3">
      <c r="A18" s="169"/>
      <c r="B18" s="4"/>
      <c r="C18" s="115"/>
    </row>
    <row r="19" spans="1:3" x14ac:dyDescent="0.3">
      <c r="A19" s="169"/>
      <c r="B19" s="4"/>
      <c r="C19" s="115"/>
    </row>
    <row r="20" spans="1:3" x14ac:dyDescent="0.3">
      <c r="A20" s="169"/>
      <c r="B20" s="4"/>
      <c r="C20" s="115"/>
    </row>
    <row r="21" spans="1:3" x14ac:dyDescent="0.3">
      <c r="A21" s="169"/>
      <c r="B21" s="4"/>
      <c r="C21" s="115" t="s">
        <v>1856</v>
      </c>
    </row>
    <row r="22" spans="1:3" x14ac:dyDescent="0.3">
      <c r="A22" s="169"/>
      <c r="B22" s="4"/>
      <c r="C22" s="115" t="s">
        <v>1857</v>
      </c>
    </row>
    <row r="23" spans="1:3" x14ac:dyDescent="0.3">
      <c r="A23" s="169"/>
      <c r="B23" s="4"/>
      <c r="C23" s="115" t="s">
        <v>1858</v>
      </c>
    </row>
    <row r="24" spans="1:3" x14ac:dyDescent="0.3">
      <c r="A24" s="169"/>
      <c r="B24" s="4"/>
      <c r="C24" s="115"/>
    </row>
    <row r="25" spans="1:3" x14ac:dyDescent="0.3">
      <c r="A25" s="169"/>
      <c r="B25" s="4"/>
      <c r="C25" s="115"/>
    </row>
    <row r="26" spans="1:3" x14ac:dyDescent="0.3">
      <c r="A26" s="169"/>
      <c r="B26" s="4"/>
      <c r="C26" s="115"/>
    </row>
    <row r="27" spans="1:3" x14ac:dyDescent="0.3">
      <c r="A27" s="169"/>
      <c r="B27" s="4"/>
      <c r="C27" s="115"/>
    </row>
    <row r="28" spans="1:3" x14ac:dyDescent="0.3">
      <c r="A28" s="169"/>
      <c r="B28" s="4"/>
      <c r="C28" s="115"/>
    </row>
    <row r="29" spans="1:3" x14ac:dyDescent="0.3">
      <c r="A29" s="169"/>
      <c r="B29" s="4"/>
      <c r="C29" s="115"/>
    </row>
    <row r="30" spans="1:3" x14ac:dyDescent="0.3">
      <c r="A30" s="169"/>
      <c r="B30" s="4"/>
      <c r="C30" s="115"/>
    </row>
    <row r="31" spans="1:3" x14ac:dyDescent="0.3">
      <c r="A31" s="169"/>
      <c r="B31" s="4"/>
      <c r="C31" s="115"/>
    </row>
    <row r="32" spans="1:3" x14ac:dyDescent="0.3">
      <c r="A32" s="169"/>
      <c r="B32" s="4"/>
      <c r="C32" s="115"/>
    </row>
    <row r="33" spans="1:3" x14ac:dyDescent="0.3">
      <c r="A33" s="169"/>
      <c r="B33" s="4"/>
      <c r="C33" s="115"/>
    </row>
    <row r="34" spans="1:3" x14ac:dyDescent="0.3">
      <c r="A34" s="169"/>
      <c r="B34" s="4"/>
      <c r="C34" s="115"/>
    </row>
    <row r="35" spans="1:3" x14ac:dyDescent="0.3">
      <c r="A35" s="169"/>
      <c r="B35" s="4"/>
      <c r="C35" s="115"/>
    </row>
    <row r="36" spans="1:3" x14ac:dyDescent="0.3">
      <c r="A36" s="169"/>
      <c r="B36" s="4"/>
      <c r="C36" s="115"/>
    </row>
    <row r="37" spans="1:3" x14ac:dyDescent="0.3">
      <c r="A37" s="169"/>
      <c r="B37" s="4"/>
      <c r="C37" s="115"/>
    </row>
    <row r="38" spans="1:3" x14ac:dyDescent="0.3">
      <c r="A38" s="169"/>
      <c r="B38" s="4"/>
      <c r="C38" s="115"/>
    </row>
    <row r="39" spans="1:3" x14ac:dyDescent="0.3">
      <c r="A39" s="169"/>
      <c r="B39" s="4"/>
      <c r="C39" s="115"/>
    </row>
    <row r="40" spans="1:3" x14ac:dyDescent="0.3">
      <c r="A40" s="169"/>
      <c r="B40" s="4"/>
      <c r="C40" s="115"/>
    </row>
    <row r="41" spans="1:3" x14ac:dyDescent="0.3">
      <c r="A41" s="169"/>
      <c r="B41" s="4"/>
      <c r="C41" s="115"/>
    </row>
    <row r="42" spans="1:3" x14ac:dyDescent="0.3">
      <c r="A42" s="169"/>
      <c r="B42" s="4"/>
      <c r="C42" s="115"/>
    </row>
    <row r="43" spans="1:3" x14ac:dyDescent="0.3">
      <c r="A43" s="169"/>
      <c r="B43" s="4"/>
      <c r="C43" s="115"/>
    </row>
    <row r="44" spans="1:3" x14ac:dyDescent="0.3">
      <c r="A44" s="169"/>
      <c r="B44" s="4"/>
      <c r="C44" s="115"/>
    </row>
    <row r="45" spans="1:3" x14ac:dyDescent="0.3">
      <c r="A45" s="169"/>
      <c r="B45" s="4"/>
      <c r="C45" s="115"/>
    </row>
    <row r="46" spans="1:3" x14ac:dyDescent="0.3">
      <c r="A46" s="169"/>
      <c r="B46" s="4"/>
      <c r="C46" s="115"/>
    </row>
    <row r="47" spans="1:3" x14ac:dyDescent="0.3">
      <c r="A47" s="169"/>
      <c r="B47" s="4"/>
      <c r="C47" s="115"/>
    </row>
    <row r="48" spans="1:3" x14ac:dyDescent="0.3">
      <c r="A48" s="169"/>
      <c r="B48" s="4"/>
      <c r="C48" s="115"/>
    </row>
    <row r="49" spans="1:3" x14ac:dyDescent="0.3">
      <c r="A49" s="169"/>
      <c r="B49" s="4"/>
      <c r="C49" s="115"/>
    </row>
    <row r="50" spans="1:3" x14ac:dyDescent="0.3">
      <c r="A50" s="169"/>
      <c r="B50" s="4"/>
      <c r="C50" s="115"/>
    </row>
    <row r="51" spans="1:3" x14ac:dyDescent="0.3">
      <c r="A51" s="169"/>
      <c r="B51" s="4"/>
      <c r="C51" s="115"/>
    </row>
    <row r="52" spans="1:3" x14ac:dyDescent="0.3">
      <c r="A52" s="169"/>
      <c r="B52" s="4"/>
      <c r="C52" s="115"/>
    </row>
    <row r="53" spans="1:3" x14ac:dyDescent="0.3">
      <c r="A53" s="169"/>
      <c r="B53" s="4"/>
      <c r="C53" s="115"/>
    </row>
    <row r="54" spans="1:3" x14ac:dyDescent="0.3">
      <c r="A54" s="169"/>
      <c r="B54" s="4"/>
      <c r="C54" s="115"/>
    </row>
    <row r="55" spans="1:3" x14ac:dyDescent="0.3">
      <c r="A55" s="169"/>
      <c r="B55" s="4"/>
      <c r="C55" s="115"/>
    </row>
    <row r="56" spans="1:3" x14ac:dyDescent="0.3">
      <c r="A56" s="169"/>
      <c r="B56" s="4"/>
      <c r="C56" s="115"/>
    </row>
    <row r="57" spans="1:3" x14ac:dyDescent="0.3">
      <c r="A57" s="169"/>
      <c r="B57" s="4"/>
      <c r="C57" s="115"/>
    </row>
    <row r="58" spans="1:3" x14ac:dyDescent="0.3">
      <c r="A58" s="169"/>
      <c r="B58" s="4"/>
      <c r="C58" s="115"/>
    </row>
    <row r="59" spans="1:3" x14ac:dyDescent="0.3">
      <c r="A59" s="169"/>
      <c r="B59" s="4"/>
      <c r="C59" s="115"/>
    </row>
    <row r="60" spans="1:3" x14ac:dyDescent="0.3">
      <c r="A60" s="169"/>
      <c r="B60" s="4"/>
      <c r="C60" s="115"/>
    </row>
    <row r="61" spans="1:3" x14ac:dyDescent="0.3">
      <c r="A61" s="169"/>
      <c r="B61" s="4"/>
      <c r="C61" s="115"/>
    </row>
    <row r="62" spans="1:3" x14ac:dyDescent="0.3">
      <c r="A62" s="169"/>
      <c r="B62" s="4"/>
      <c r="C62" s="115"/>
    </row>
    <row r="63" spans="1:3" x14ac:dyDescent="0.3">
      <c r="A63" s="1"/>
      <c r="B63" s="4"/>
      <c r="C63" s="115"/>
    </row>
    <row r="64" spans="1:3" x14ac:dyDescent="0.3">
      <c r="A64" s="1"/>
      <c r="B64" s="4"/>
      <c r="C64" s="115"/>
    </row>
    <row r="65" spans="1:3" x14ac:dyDescent="0.3">
      <c r="A65" s="1"/>
      <c r="B65" s="4"/>
      <c r="C65" s="115"/>
    </row>
    <row r="66" spans="1:3" x14ac:dyDescent="0.3">
      <c r="A66" s="1"/>
      <c r="B66" s="4"/>
      <c r="C66" s="115"/>
    </row>
    <row r="67" spans="1:3" x14ac:dyDescent="0.3">
      <c r="A67" s="1"/>
      <c r="B67" s="4"/>
      <c r="C67" s="115"/>
    </row>
    <row r="68" spans="1:3" x14ac:dyDescent="0.3">
      <c r="A68" s="1"/>
      <c r="B68" s="4"/>
      <c r="C68" s="115"/>
    </row>
    <row r="69" spans="1:3" x14ac:dyDescent="0.3">
      <c r="A69" s="1"/>
      <c r="B69" s="4"/>
      <c r="C69" s="115"/>
    </row>
    <row r="70" spans="1:3" x14ac:dyDescent="0.3">
      <c r="A70" s="1"/>
      <c r="B70" s="4"/>
      <c r="C70" s="115"/>
    </row>
    <row r="71" spans="1:3" x14ac:dyDescent="0.3">
      <c r="A71" s="1"/>
      <c r="B71" s="4"/>
      <c r="C71" s="115"/>
    </row>
    <row r="72" spans="1:3" x14ac:dyDescent="0.3">
      <c r="A72" s="1"/>
      <c r="B72" s="4"/>
      <c r="C72" s="115"/>
    </row>
    <row r="73" spans="1:3" x14ac:dyDescent="0.3">
      <c r="A73" s="1"/>
      <c r="B73" s="4"/>
      <c r="C73" s="115"/>
    </row>
    <row r="74" spans="1:3" x14ac:dyDescent="0.3">
      <c r="A74" s="1"/>
      <c r="B74" s="4"/>
      <c r="C74" s="115"/>
    </row>
    <row r="75" spans="1:3" x14ac:dyDescent="0.3">
      <c r="A75" s="1"/>
      <c r="B75" s="4"/>
      <c r="C75" s="115"/>
    </row>
    <row r="76" spans="1:3" x14ac:dyDescent="0.3">
      <c r="A76" s="1"/>
      <c r="B76" s="4"/>
      <c r="C76" s="115"/>
    </row>
    <row r="77" spans="1:3" x14ac:dyDescent="0.3">
      <c r="A77" s="1"/>
      <c r="B77" s="4"/>
      <c r="C77" s="115"/>
    </row>
    <row r="78" spans="1:3" x14ac:dyDescent="0.3">
      <c r="A78" s="1"/>
      <c r="B78" s="4"/>
      <c r="C78" s="115"/>
    </row>
    <row r="79" spans="1:3" x14ac:dyDescent="0.3">
      <c r="A79" s="1"/>
      <c r="B79" s="4"/>
      <c r="C79" s="115"/>
    </row>
    <row r="80" spans="1:3" x14ac:dyDescent="0.3">
      <c r="A80" s="1"/>
      <c r="B80" s="4"/>
      <c r="C80" s="115"/>
    </row>
    <row r="81" spans="1:3" x14ac:dyDescent="0.3">
      <c r="A81" s="1"/>
      <c r="B81" s="4"/>
      <c r="C81" s="115"/>
    </row>
    <row r="82" spans="1:3" x14ac:dyDescent="0.3">
      <c r="A82" s="1"/>
      <c r="B82" s="4"/>
      <c r="C82" s="115"/>
    </row>
    <row r="83" spans="1:3" x14ac:dyDescent="0.3">
      <c r="A83" s="1"/>
      <c r="B83" s="4"/>
      <c r="C83" s="115"/>
    </row>
    <row r="84" spans="1:3" x14ac:dyDescent="0.3">
      <c r="A84" s="1"/>
      <c r="B84" s="4"/>
      <c r="C84" s="115"/>
    </row>
    <row r="85" spans="1:3" x14ac:dyDescent="0.3">
      <c r="A85" s="1"/>
      <c r="B85" s="4"/>
      <c r="C85" s="115"/>
    </row>
    <row r="86" spans="1:3" x14ac:dyDescent="0.3">
      <c r="A86" s="1"/>
      <c r="B86" s="4"/>
      <c r="C86" s="115"/>
    </row>
    <row r="87" spans="1:3" x14ac:dyDescent="0.3">
      <c r="A87" s="1"/>
      <c r="B87" s="4"/>
      <c r="C87" s="115"/>
    </row>
    <row r="88" spans="1:3" x14ac:dyDescent="0.3">
      <c r="A88" s="1"/>
      <c r="B88" s="4"/>
      <c r="C88" s="115"/>
    </row>
    <row r="89" spans="1:3" x14ac:dyDescent="0.3">
      <c r="A89" s="1"/>
      <c r="B89" s="4"/>
      <c r="C89" s="115"/>
    </row>
    <row r="90" spans="1:3" x14ac:dyDescent="0.3">
      <c r="A90" s="1"/>
      <c r="B90" s="4"/>
      <c r="C90" s="115"/>
    </row>
    <row r="91" spans="1:3" x14ac:dyDescent="0.3">
      <c r="A91" s="1"/>
      <c r="B91" s="4"/>
      <c r="C91" s="115"/>
    </row>
    <row r="92" spans="1:3" x14ac:dyDescent="0.3">
      <c r="A92" s="1"/>
      <c r="B92" s="4"/>
      <c r="C92" s="115"/>
    </row>
    <row r="93" spans="1:3" x14ac:dyDescent="0.3">
      <c r="C93" s="115"/>
    </row>
    <row r="94" spans="1:3" x14ac:dyDescent="0.3">
      <c r="C94" s="115"/>
    </row>
    <row r="95" spans="1:3" x14ac:dyDescent="0.3">
      <c r="C95" s="115"/>
    </row>
    <row r="96" spans="1:3" x14ac:dyDescent="0.3">
      <c r="C96" s="115"/>
    </row>
    <row r="97" spans="3:3" x14ac:dyDescent="0.3">
      <c r="C97" s="115"/>
    </row>
    <row r="98" spans="3:3" x14ac:dyDescent="0.3">
      <c r="C98" s="115"/>
    </row>
    <row r="99" spans="3:3" x14ac:dyDescent="0.3">
      <c r="C99" s="115"/>
    </row>
    <row r="100" spans="3:3" x14ac:dyDescent="0.3">
      <c r="C100" s="115"/>
    </row>
    <row r="101" spans="3:3" x14ac:dyDescent="0.3">
      <c r="C101" s="115"/>
    </row>
    <row r="102" spans="3:3" x14ac:dyDescent="0.3">
      <c r="C102" s="115"/>
    </row>
    <row r="103" spans="3:3" x14ac:dyDescent="0.3">
      <c r="C103" s="115"/>
    </row>
    <row r="104" spans="3:3" x14ac:dyDescent="0.3">
      <c r="C104" s="115"/>
    </row>
    <row r="105" spans="3:3" x14ac:dyDescent="0.3">
      <c r="C105" s="115"/>
    </row>
    <row r="106" spans="3:3" x14ac:dyDescent="0.3">
      <c r="C106" s="115"/>
    </row>
    <row r="107" spans="3:3" x14ac:dyDescent="0.3">
      <c r="C107" s="115"/>
    </row>
    <row r="108" spans="3:3" x14ac:dyDescent="0.3">
      <c r="C108" s="115"/>
    </row>
    <row r="109" spans="3:3" x14ac:dyDescent="0.3">
      <c r="C109" s="115"/>
    </row>
    <row r="110" spans="3:3" x14ac:dyDescent="0.3">
      <c r="C110" s="115"/>
    </row>
    <row r="111" spans="3:3" x14ac:dyDescent="0.3">
      <c r="C111" s="115"/>
    </row>
    <row r="112" spans="3:3" x14ac:dyDescent="0.3">
      <c r="C112" s="115"/>
    </row>
    <row r="113" spans="3:3" x14ac:dyDescent="0.3">
      <c r="C113" s="115"/>
    </row>
    <row r="114" spans="3:3" x14ac:dyDescent="0.3">
      <c r="C114" s="115"/>
    </row>
    <row r="115" spans="3:3" x14ac:dyDescent="0.3">
      <c r="C115" s="115"/>
    </row>
    <row r="116" spans="3:3" x14ac:dyDescent="0.3">
      <c r="C116" s="115"/>
    </row>
    <row r="117" spans="3:3" x14ac:dyDescent="0.3">
      <c r="C117" s="11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6E88-5B37-4D16-B454-35FD2E056884}">
  <dimension ref="B2:I34"/>
  <sheetViews>
    <sheetView topLeftCell="A22" zoomScaleNormal="100" workbookViewId="0">
      <selection activeCell="I19" sqref="I19"/>
    </sheetView>
  </sheetViews>
  <sheetFormatPr defaultRowHeight="14.4" x14ac:dyDescent="0.3"/>
  <cols>
    <col min="2" max="2" width="13.109375" bestFit="1" customWidth="1"/>
    <col min="3" max="3" width="15.5546875" customWidth="1"/>
    <col min="4" max="4" width="17.5546875" bestFit="1" customWidth="1"/>
    <col min="5" max="5" width="12.77734375" bestFit="1" customWidth="1"/>
    <col min="6" max="6" width="13.5546875" bestFit="1" customWidth="1"/>
    <col min="7" max="7" width="32.88671875" customWidth="1"/>
    <col min="8" max="8" width="23.21875" bestFit="1" customWidth="1"/>
    <col min="9" max="9" width="16.33203125" bestFit="1" customWidth="1"/>
  </cols>
  <sheetData>
    <row r="2" spans="2:9" ht="21" x14ac:dyDescent="0.3">
      <c r="B2" s="122"/>
      <c r="C2" s="122" t="s">
        <v>223</v>
      </c>
      <c r="D2" s="122" t="s">
        <v>5</v>
      </c>
      <c r="E2" s="147" t="s">
        <v>221</v>
      </c>
      <c r="F2" s="125" t="s">
        <v>63</v>
      </c>
      <c r="G2" s="123" t="s">
        <v>1252</v>
      </c>
      <c r="H2" s="124"/>
      <c r="I2" s="124"/>
    </row>
    <row r="3" spans="2:9" ht="18" x14ac:dyDescent="0.3">
      <c r="B3" s="121"/>
      <c r="C3" s="121"/>
      <c r="D3" s="121">
        <f>+SUM(D4:D34)</f>
        <v>0</v>
      </c>
      <c r="E3" s="121">
        <f>+SUM(E4:E34)</f>
        <v>0</v>
      </c>
      <c r="F3" s="126"/>
      <c r="G3" s="121">
        <f>+SUM(G4:G34)</f>
        <v>0</v>
      </c>
      <c r="H3" s="118" t="s">
        <v>22</v>
      </c>
      <c r="I3" s="117">
        <f>+D3</f>
        <v>0</v>
      </c>
    </row>
    <row r="4" spans="2:9" ht="18" x14ac:dyDescent="0.3">
      <c r="B4" s="1">
        <v>46204</v>
      </c>
      <c r="C4" s="26"/>
      <c r="D4" s="26"/>
      <c r="E4" s="149"/>
      <c r="F4" s="127"/>
      <c r="G4" s="82">
        <f t="shared" ref="G4:G34" si="0">+E4*F4</f>
        <v>0</v>
      </c>
      <c r="H4" s="118" t="str">
        <f>+G2</f>
        <v>Хитой бонусча</v>
      </c>
      <c r="I4" s="119">
        <f>+G3</f>
        <v>0</v>
      </c>
    </row>
    <row r="5" spans="2:9" ht="18" x14ac:dyDescent="0.3">
      <c r="B5" s="1">
        <f t="shared" ref="B5:B34" si="1">+B4+1</f>
        <v>46205</v>
      </c>
      <c r="C5" s="81"/>
      <c r="D5" s="81"/>
      <c r="E5" s="149"/>
      <c r="F5" s="127"/>
      <c r="G5" s="82">
        <f t="shared" si="0"/>
        <v>0</v>
      </c>
      <c r="H5" s="65"/>
      <c r="I5" s="65"/>
    </row>
    <row r="6" spans="2:9" ht="18" x14ac:dyDescent="0.3">
      <c r="B6" s="1">
        <f t="shared" si="1"/>
        <v>46206</v>
      </c>
      <c r="C6" s="81"/>
      <c r="D6" s="81"/>
      <c r="E6" s="149"/>
      <c r="F6" s="128"/>
      <c r="G6" s="82">
        <f t="shared" si="0"/>
        <v>0</v>
      </c>
      <c r="H6" s="65"/>
      <c r="I6" s="65"/>
    </row>
    <row r="7" spans="2:9" ht="18" x14ac:dyDescent="0.3">
      <c r="B7" s="1">
        <f t="shared" si="1"/>
        <v>46207</v>
      </c>
      <c r="C7" s="81"/>
      <c r="D7" s="81"/>
      <c r="E7" s="149"/>
      <c r="F7" s="128"/>
      <c r="G7" s="82">
        <f t="shared" si="0"/>
        <v>0</v>
      </c>
      <c r="H7" s="118" t="s">
        <v>57</v>
      </c>
      <c r="I7" s="120">
        <f>+I3-I4+I5</f>
        <v>0</v>
      </c>
    </row>
    <row r="8" spans="2:9" ht="18" x14ac:dyDescent="0.3">
      <c r="B8" s="1">
        <f t="shared" si="1"/>
        <v>46208</v>
      </c>
      <c r="C8" s="81"/>
      <c r="D8" s="81"/>
      <c r="E8" s="149"/>
      <c r="F8" s="128"/>
      <c r="G8" s="82">
        <f t="shared" si="0"/>
        <v>0</v>
      </c>
      <c r="H8" s="65"/>
      <c r="I8" s="65"/>
    </row>
    <row r="9" spans="2:9" ht="18" x14ac:dyDescent="0.3">
      <c r="B9" s="1">
        <f t="shared" si="1"/>
        <v>46209</v>
      </c>
      <c r="C9" s="81"/>
      <c r="D9" s="81"/>
      <c r="E9" s="149"/>
      <c r="F9" s="128"/>
      <c r="G9" s="82">
        <f t="shared" si="0"/>
        <v>0</v>
      </c>
      <c r="H9" s="65"/>
      <c r="I9" s="65"/>
    </row>
    <row r="10" spans="2:9" ht="18" x14ac:dyDescent="0.3">
      <c r="B10" s="1">
        <f t="shared" si="1"/>
        <v>46210</v>
      </c>
      <c r="C10" s="81"/>
      <c r="D10" s="81"/>
      <c r="E10" s="149"/>
      <c r="F10" s="229"/>
      <c r="G10" s="82">
        <f t="shared" si="0"/>
        <v>0</v>
      </c>
      <c r="H10" s="65"/>
      <c r="I10" s="65"/>
    </row>
    <row r="11" spans="2:9" ht="18" x14ac:dyDescent="0.3">
      <c r="B11" s="1">
        <f t="shared" si="1"/>
        <v>46211</v>
      </c>
      <c r="C11" s="81"/>
      <c r="D11" s="81"/>
      <c r="E11" s="149"/>
      <c r="F11" s="128"/>
      <c r="G11" s="82">
        <f t="shared" si="0"/>
        <v>0</v>
      </c>
      <c r="H11" s="65"/>
      <c r="I11" s="65"/>
    </row>
    <row r="12" spans="2:9" ht="18" x14ac:dyDescent="0.3">
      <c r="B12" s="1">
        <f t="shared" si="1"/>
        <v>46212</v>
      </c>
      <c r="C12" s="81"/>
      <c r="D12" s="81"/>
      <c r="E12" s="149"/>
      <c r="F12" s="128"/>
      <c r="G12" s="82">
        <f t="shared" si="0"/>
        <v>0</v>
      </c>
      <c r="H12" s="65"/>
      <c r="I12" s="65"/>
    </row>
    <row r="13" spans="2:9" ht="18" x14ac:dyDescent="0.3">
      <c r="B13" s="1">
        <f t="shared" si="1"/>
        <v>46213</v>
      </c>
      <c r="C13" s="81"/>
      <c r="D13" s="81"/>
      <c r="E13" s="149"/>
      <c r="F13" s="128"/>
      <c r="G13" s="82">
        <f t="shared" si="0"/>
        <v>0</v>
      </c>
      <c r="H13" s="65"/>
      <c r="I13" s="65"/>
    </row>
    <row r="14" spans="2:9" ht="18" x14ac:dyDescent="0.3">
      <c r="B14" s="1">
        <f t="shared" si="1"/>
        <v>46214</v>
      </c>
      <c r="C14" s="81"/>
      <c r="D14" s="81"/>
      <c r="E14" s="149"/>
      <c r="F14" s="128"/>
      <c r="G14" s="82">
        <f t="shared" si="0"/>
        <v>0</v>
      </c>
      <c r="H14" s="65"/>
      <c r="I14" s="65"/>
    </row>
    <row r="15" spans="2:9" ht="18" x14ac:dyDescent="0.3">
      <c r="B15" s="1">
        <f t="shared" si="1"/>
        <v>46215</v>
      </c>
      <c r="C15" s="81"/>
      <c r="D15" s="81"/>
      <c r="E15" s="149"/>
      <c r="F15" s="128"/>
      <c r="G15" s="82">
        <f t="shared" si="0"/>
        <v>0</v>
      </c>
      <c r="H15" s="65"/>
      <c r="I15" s="65"/>
    </row>
    <row r="16" spans="2:9" ht="18" x14ac:dyDescent="0.3">
      <c r="B16" s="1">
        <f t="shared" si="1"/>
        <v>46216</v>
      </c>
      <c r="C16" s="216"/>
      <c r="D16" s="81"/>
      <c r="E16" s="149"/>
      <c r="F16" s="128"/>
      <c r="G16" s="82">
        <f t="shared" si="0"/>
        <v>0</v>
      </c>
      <c r="H16" s="65"/>
      <c r="I16" s="65"/>
    </row>
    <row r="17" spans="2:9" ht="18" x14ac:dyDescent="0.3">
      <c r="B17" s="1">
        <f t="shared" si="1"/>
        <v>46217</v>
      </c>
      <c r="C17" s="81"/>
      <c r="D17" s="81"/>
      <c r="E17" s="149"/>
      <c r="F17" s="128"/>
      <c r="G17" s="82">
        <f t="shared" si="0"/>
        <v>0</v>
      </c>
      <c r="H17" s="65"/>
      <c r="I17" s="65"/>
    </row>
    <row r="18" spans="2:9" ht="18" x14ac:dyDescent="0.3">
      <c r="B18" s="1">
        <f t="shared" si="1"/>
        <v>46218</v>
      </c>
      <c r="C18" s="81"/>
      <c r="D18" s="81"/>
      <c r="E18" s="149"/>
      <c r="F18" s="128"/>
      <c r="G18" s="82">
        <f t="shared" si="0"/>
        <v>0</v>
      </c>
      <c r="H18" s="65"/>
      <c r="I18" s="65"/>
    </row>
    <row r="19" spans="2:9" ht="18" x14ac:dyDescent="0.3">
      <c r="B19" s="1">
        <f t="shared" si="1"/>
        <v>46219</v>
      </c>
      <c r="C19" s="81"/>
      <c r="D19" s="81"/>
      <c r="E19" s="149"/>
      <c r="F19" s="128"/>
      <c r="G19" s="82">
        <f t="shared" si="0"/>
        <v>0</v>
      </c>
      <c r="H19" s="65"/>
      <c r="I19" s="65"/>
    </row>
    <row r="20" spans="2:9" ht="18" x14ac:dyDescent="0.3">
      <c r="B20" s="1">
        <f t="shared" si="1"/>
        <v>46220</v>
      </c>
      <c r="C20" s="81"/>
      <c r="D20" s="81"/>
      <c r="E20" s="149"/>
      <c r="F20" s="128"/>
      <c r="G20" s="82">
        <f t="shared" si="0"/>
        <v>0</v>
      </c>
      <c r="H20" s="65"/>
      <c r="I20" s="65"/>
    </row>
    <row r="21" spans="2:9" ht="18" x14ac:dyDescent="0.3">
      <c r="B21" s="1">
        <f t="shared" si="1"/>
        <v>46221</v>
      </c>
      <c r="C21" s="81"/>
      <c r="D21" s="81"/>
      <c r="E21" s="149"/>
      <c r="F21" s="128"/>
      <c r="G21" s="82">
        <f t="shared" si="0"/>
        <v>0</v>
      </c>
      <c r="H21" s="65"/>
      <c r="I21" s="65"/>
    </row>
    <row r="22" spans="2:9" ht="18" x14ac:dyDescent="0.3">
      <c r="B22" s="1">
        <f t="shared" si="1"/>
        <v>46222</v>
      </c>
      <c r="C22" s="81"/>
      <c r="D22" s="81"/>
      <c r="E22" s="149"/>
      <c r="F22" s="128"/>
      <c r="G22" s="82">
        <f t="shared" si="0"/>
        <v>0</v>
      </c>
      <c r="H22" s="65"/>
      <c r="I22" s="65"/>
    </row>
    <row r="23" spans="2:9" ht="18" x14ac:dyDescent="0.3">
      <c r="B23" s="1">
        <f t="shared" si="1"/>
        <v>46223</v>
      </c>
      <c r="C23" s="81"/>
      <c r="D23" s="81"/>
      <c r="E23" s="149"/>
      <c r="F23" s="128"/>
      <c r="G23" s="82">
        <f t="shared" si="0"/>
        <v>0</v>
      </c>
      <c r="H23" s="65"/>
      <c r="I23" s="65"/>
    </row>
    <row r="24" spans="2:9" ht="18" x14ac:dyDescent="0.3">
      <c r="B24" s="1">
        <f t="shared" si="1"/>
        <v>46224</v>
      </c>
      <c r="C24" s="81"/>
      <c r="D24" s="81"/>
      <c r="E24" s="149"/>
      <c r="F24" s="128"/>
      <c r="G24" s="82">
        <f t="shared" si="0"/>
        <v>0</v>
      </c>
      <c r="H24" s="225"/>
      <c r="I24" s="65"/>
    </row>
    <row r="25" spans="2:9" ht="18" x14ac:dyDescent="0.3">
      <c r="B25" s="1">
        <f t="shared" si="1"/>
        <v>46225</v>
      </c>
      <c r="C25" s="81"/>
      <c r="D25" s="81"/>
      <c r="E25" s="149"/>
      <c r="F25" s="128"/>
      <c r="G25" s="82">
        <f t="shared" si="0"/>
        <v>0</v>
      </c>
      <c r="H25" s="65"/>
      <c r="I25" s="65"/>
    </row>
    <row r="26" spans="2:9" ht="18" x14ac:dyDescent="0.3">
      <c r="B26" s="1">
        <f t="shared" si="1"/>
        <v>46226</v>
      </c>
      <c r="C26" s="81"/>
      <c r="D26" s="81"/>
      <c r="E26" s="149"/>
      <c r="F26" s="128"/>
      <c r="G26" s="82">
        <f t="shared" si="0"/>
        <v>0</v>
      </c>
      <c r="H26" s="65"/>
      <c r="I26" s="65"/>
    </row>
    <row r="27" spans="2:9" ht="18" x14ac:dyDescent="0.3">
      <c r="B27" s="1">
        <f t="shared" si="1"/>
        <v>46227</v>
      </c>
      <c r="C27" s="81"/>
      <c r="D27" s="81"/>
      <c r="E27" s="149"/>
      <c r="F27" s="128"/>
      <c r="G27" s="82">
        <f t="shared" si="0"/>
        <v>0</v>
      </c>
      <c r="H27" s="65"/>
      <c r="I27" s="65"/>
    </row>
    <row r="28" spans="2:9" ht="18" x14ac:dyDescent="0.3">
      <c r="B28" s="1">
        <f t="shared" si="1"/>
        <v>46228</v>
      </c>
      <c r="C28" s="81"/>
      <c r="D28" s="81"/>
      <c r="E28" s="149"/>
      <c r="F28" s="128"/>
      <c r="G28" s="82">
        <f t="shared" si="0"/>
        <v>0</v>
      </c>
      <c r="H28" s="65"/>
      <c r="I28" s="65"/>
    </row>
    <row r="29" spans="2:9" ht="18" x14ac:dyDescent="0.3">
      <c r="B29" s="1">
        <f t="shared" si="1"/>
        <v>46229</v>
      </c>
      <c r="C29" s="81"/>
      <c r="D29" s="81"/>
      <c r="E29" s="149"/>
      <c r="F29" s="128"/>
      <c r="G29" s="82">
        <f t="shared" si="0"/>
        <v>0</v>
      </c>
      <c r="H29" s="65"/>
      <c r="I29" s="65"/>
    </row>
    <row r="30" spans="2:9" ht="18" x14ac:dyDescent="0.3">
      <c r="B30" s="1">
        <f t="shared" si="1"/>
        <v>46230</v>
      </c>
      <c r="C30" s="81"/>
      <c r="D30" s="81"/>
      <c r="E30" s="149"/>
      <c r="F30" s="128"/>
      <c r="G30" s="82">
        <f t="shared" si="0"/>
        <v>0</v>
      </c>
      <c r="H30" s="65"/>
      <c r="I30" s="225"/>
    </row>
    <row r="31" spans="2:9" ht="18" x14ac:dyDescent="0.3">
      <c r="B31" s="1">
        <f t="shared" si="1"/>
        <v>46231</v>
      </c>
      <c r="C31" s="81"/>
      <c r="D31" s="81"/>
      <c r="E31" s="149"/>
      <c r="F31" s="128"/>
      <c r="G31" s="82">
        <f t="shared" si="0"/>
        <v>0</v>
      </c>
      <c r="H31" s="65"/>
      <c r="I31" s="65"/>
    </row>
    <row r="32" spans="2:9" ht="18" x14ac:dyDescent="0.3">
      <c r="B32" s="1">
        <f t="shared" si="1"/>
        <v>46232</v>
      </c>
      <c r="C32" s="81"/>
      <c r="D32" s="81"/>
      <c r="E32" s="149"/>
      <c r="F32" s="128"/>
      <c r="G32" s="82">
        <f t="shared" si="0"/>
        <v>0</v>
      </c>
      <c r="H32" s="65"/>
      <c r="I32" s="65"/>
    </row>
    <row r="33" spans="2:9" ht="18" x14ac:dyDescent="0.3">
      <c r="B33" s="1">
        <f t="shared" si="1"/>
        <v>46233</v>
      </c>
      <c r="C33" s="81"/>
      <c r="D33" s="81"/>
      <c r="E33" s="149"/>
      <c r="F33" s="128"/>
      <c r="G33" s="82">
        <f t="shared" si="0"/>
        <v>0</v>
      </c>
      <c r="H33" s="65"/>
      <c r="I33" s="65"/>
    </row>
    <row r="34" spans="2:9" ht="18" x14ac:dyDescent="0.3">
      <c r="B34" s="1">
        <f t="shared" si="1"/>
        <v>46234</v>
      </c>
      <c r="C34" s="81"/>
      <c r="D34" s="81"/>
      <c r="E34" s="149"/>
      <c r="F34" s="128"/>
      <c r="G34" s="82">
        <f t="shared" si="0"/>
        <v>0</v>
      </c>
      <c r="H34" s="65"/>
      <c r="I34" s="6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D208-B3CB-4922-A64D-42281304A737}">
  <dimension ref="B2:P68"/>
  <sheetViews>
    <sheetView topLeftCell="A7" zoomScale="85" zoomScaleNormal="85" workbookViewId="0">
      <selection activeCell="O12" sqref="O12"/>
    </sheetView>
  </sheetViews>
  <sheetFormatPr defaultRowHeight="14.4" x14ac:dyDescent="0.3"/>
  <cols>
    <col min="3" max="3" width="19.5546875" style="215" bestFit="1" customWidth="1"/>
    <col min="4" max="4" width="14" bestFit="1" customWidth="1"/>
    <col min="5" max="5" width="17.5546875" bestFit="1" customWidth="1"/>
    <col min="6" max="6" width="17.5546875" customWidth="1"/>
    <col min="7" max="7" width="12.77734375" bestFit="1" customWidth="1"/>
    <col min="8" max="9" width="12.44140625" customWidth="1"/>
    <col min="10" max="10" width="9.88671875" bestFit="1" customWidth="1"/>
    <col min="11" max="11" width="9.5546875" bestFit="1" customWidth="1"/>
    <col min="12" max="12" width="10.21875" bestFit="1" customWidth="1"/>
    <col min="13" max="13" width="14.88671875" bestFit="1" customWidth="1"/>
    <col min="14" max="14" width="32.88671875" customWidth="1"/>
    <col min="15" max="15" width="22.109375" customWidth="1"/>
    <col min="16" max="16" width="16.33203125" bestFit="1" customWidth="1"/>
    <col min="17" max="17" width="10.33203125" bestFit="1" customWidth="1"/>
  </cols>
  <sheetData>
    <row r="2" spans="2:15" ht="36" x14ac:dyDescent="0.3">
      <c r="B2" s="122" t="s">
        <v>1</v>
      </c>
      <c r="C2" s="211" t="s">
        <v>0</v>
      </c>
      <c r="D2" s="122" t="s">
        <v>223</v>
      </c>
      <c r="E2" s="122" t="s">
        <v>1715</v>
      </c>
      <c r="F2" s="122" t="s">
        <v>1492</v>
      </c>
      <c r="G2" s="122" t="s">
        <v>220</v>
      </c>
      <c r="H2" s="122" t="s">
        <v>59</v>
      </c>
      <c r="I2" s="122" t="s">
        <v>61</v>
      </c>
      <c r="J2" s="147" t="s">
        <v>221</v>
      </c>
      <c r="K2" s="125" t="s">
        <v>222</v>
      </c>
      <c r="L2" s="125" t="s">
        <v>1099</v>
      </c>
      <c r="M2" s="125" t="s">
        <v>63</v>
      </c>
      <c r="N2" s="123" t="s">
        <v>1491</v>
      </c>
      <c r="O2" s="123" t="s">
        <v>469</v>
      </c>
    </row>
    <row r="3" spans="2:15" ht="18" x14ac:dyDescent="0.3">
      <c r="B3" s="121"/>
      <c r="C3" s="212"/>
      <c r="D3" s="121"/>
      <c r="E3" s="121">
        <f>+SUM(E4:E13)</f>
        <v>0</v>
      </c>
      <c r="F3" s="121">
        <f>+SUM(F4:F13)</f>
        <v>0</v>
      </c>
      <c r="G3" s="121"/>
      <c r="H3" s="121"/>
      <c r="I3" s="121"/>
      <c r="J3" s="121">
        <f>+SUM(J4:J16)</f>
        <v>0</v>
      </c>
      <c r="K3" s="126"/>
      <c r="L3" s="121">
        <f>+SUM(L4:L16)</f>
        <v>0</v>
      </c>
      <c r="M3" s="126"/>
      <c r="N3" s="121">
        <f>+SUM(N4:N16)</f>
        <v>0</v>
      </c>
      <c r="O3" s="121">
        <f>+SUM(O4:O16)</f>
        <v>0</v>
      </c>
    </row>
    <row r="4" spans="2:15" ht="18" x14ac:dyDescent="0.3">
      <c r="B4" s="26">
        <v>1</v>
      </c>
      <c r="C4" s="213"/>
      <c r="D4" s="26"/>
      <c r="E4" s="26"/>
      <c r="F4" s="26"/>
      <c r="G4" s="26"/>
      <c r="H4" s="26"/>
      <c r="I4" s="26"/>
      <c r="J4" s="148">
        <f t="shared" ref="J4:J10" si="0">+H4-I4</f>
        <v>0</v>
      </c>
      <c r="K4" s="128"/>
      <c r="L4" s="127">
        <f t="shared" ref="L4:L10" si="1">+J4-(J4*K4/100)</f>
        <v>0</v>
      </c>
      <c r="M4" s="127"/>
      <c r="N4" s="82">
        <f t="shared" ref="N4:N16" si="2">+(J4-J4*K4/100)*M4</f>
        <v>0</v>
      </c>
      <c r="O4" s="127"/>
    </row>
    <row r="5" spans="2:15" ht="18" x14ac:dyDescent="0.3">
      <c r="B5" s="81">
        <v>2</v>
      </c>
      <c r="C5" s="214"/>
      <c r="D5" s="81"/>
      <c r="E5" s="81"/>
      <c r="F5" s="81"/>
      <c r="G5" s="81"/>
      <c r="H5" s="81"/>
      <c r="I5" s="81"/>
      <c r="J5" s="148">
        <f t="shared" si="0"/>
        <v>0</v>
      </c>
      <c r="K5" s="128"/>
      <c r="L5" s="127">
        <f t="shared" si="1"/>
        <v>0</v>
      </c>
      <c r="M5" s="127"/>
      <c r="N5" s="82">
        <f t="shared" si="2"/>
        <v>0</v>
      </c>
      <c r="O5" s="127"/>
    </row>
    <row r="6" spans="2:15" ht="18" x14ac:dyDescent="0.3">
      <c r="B6" s="81">
        <f t="shared" ref="B6:B16" si="3">+B5+1</f>
        <v>3</v>
      </c>
      <c r="C6" s="214"/>
      <c r="D6" s="81"/>
      <c r="E6" s="81"/>
      <c r="F6" s="81"/>
      <c r="G6" s="81"/>
      <c r="H6" s="81"/>
      <c r="I6" s="81"/>
      <c r="J6" s="148">
        <f t="shared" si="0"/>
        <v>0</v>
      </c>
      <c r="K6" s="128"/>
      <c r="L6" s="127">
        <f t="shared" si="1"/>
        <v>0</v>
      </c>
      <c r="M6" s="127"/>
      <c r="N6" s="82">
        <f t="shared" si="2"/>
        <v>0</v>
      </c>
      <c r="O6" s="127"/>
    </row>
    <row r="7" spans="2:15" ht="18" x14ac:dyDescent="0.3">
      <c r="B7" s="81">
        <f t="shared" si="3"/>
        <v>4</v>
      </c>
      <c r="C7" s="214"/>
      <c r="D7" s="81"/>
      <c r="E7" s="81"/>
      <c r="F7" s="81"/>
      <c r="G7" s="81"/>
      <c r="H7" s="81"/>
      <c r="I7" s="81"/>
      <c r="J7" s="148">
        <f t="shared" si="0"/>
        <v>0</v>
      </c>
      <c r="K7" s="128"/>
      <c r="L7" s="127">
        <f t="shared" si="1"/>
        <v>0</v>
      </c>
      <c r="M7" s="127"/>
      <c r="N7" s="82">
        <f t="shared" si="2"/>
        <v>0</v>
      </c>
      <c r="O7" s="127"/>
    </row>
    <row r="8" spans="2:15" ht="18" x14ac:dyDescent="0.3">
      <c r="B8" s="81">
        <f t="shared" si="3"/>
        <v>5</v>
      </c>
      <c r="C8" s="214"/>
      <c r="D8" s="81"/>
      <c r="E8" s="81"/>
      <c r="F8" s="81"/>
      <c r="G8" s="81"/>
      <c r="H8" s="81"/>
      <c r="I8" s="81"/>
      <c r="J8" s="148">
        <f t="shared" si="0"/>
        <v>0</v>
      </c>
      <c r="K8" s="128"/>
      <c r="L8" s="127">
        <f t="shared" si="1"/>
        <v>0</v>
      </c>
      <c r="M8" s="127"/>
      <c r="N8" s="82">
        <f t="shared" si="2"/>
        <v>0</v>
      </c>
      <c r="O8" s="127"/>
    </row>
    <row r="9" spans="2:15" ht="18" x14ac:dyDescent="0.3">
      <c r="B9" s="81">
        <f t="shared" si="3"/>
        <v>6</v>
      </c>
      <c r="C9" s="214"/>
      <c r="D9" s="81"/>
      <c r="E9" s="81"/>
      <c r="F9" s="81"/>
      <c r="G9" s="81"/>
      <c r="H9" s="81"/>
      <c r="I9" s="81"/>
      <c r="J9" s="148">
        <f t="shared" si="0"/>
        <v>0</v>
      </c>
      <c r="K9" s="128"/>
      <c r="L9" s="127">
        <f t="shared" si="1"/>
        <v>0</v>
      </c>
      <c r="M9" s="127"/>
      <c r="N9" s="82">
        <f t="shared" si="2"/>
        <v>0</v>
      </c>
      <c r="O9" s="127"/>
    </row>
    <row r="10" spans="2:15" ht="18" x14ac:dyDescent="0.3">
      <c r="B10" s="81">
        <f t="shared" si="3"/>
        <v>7</v>
      </c>
      <c r="C10" s="214"/>
      <c r="D10" s="81"/>
      <c r="E10" s="81"/>
      <c r="F10" s="81"/>
      <c r="G10" s="81"/>
      <c r="H10" s="81"/>
      <c r="I10" s="81"/>
      <c r="J10" s="148">
        <f t="shared" si="0"/>
        <v>0</v>
      </c>
      <c r="K10" s="128"/>
      <c r="L10" s="127">
        <f t="shared" si="1"/>
        <v>0</v>
      </c>
      <c r="M10" s="127"/>
      <c r="N10" s="82">
        <f t="shared" si="2"/>
        <v>0</v>
      </c>
      <c r="O10" s="127"/>
    </row>
    <row r="11" spans="2:15" ht="18" x14ac:dyDescent="0.3">
      <c r="B11" s="81">
        <f t="shared" si="3"/>
        <v>8</v>
      </c>
      <c r="C11" s="214"/>
      <c r="D11" s="81"/>
      <c r="E11" s="81"/>
      <c r="F11" s="81"/>
      <c r="G11" s="81"/>
      <c r="H11" s="81"/>
      <c r="I11" s="81"/>
      <c r="J11" s="148">
        <f t="shared" ref="J11:J16" si="4">+H11-I11</f>
        <v>0</v>
      </c>
      <c r="K11" s="128"/>
      <c r="L11" s="127">
        <f t="shared" ref="L11:L16" si="5">+J11-(J11*K11/100)</f>
        <v>0</v>
      </c>
      <c r="M11" s="127"/>
      <c r="N11" s="82">
        <f t="shared" si="2"/>
        <v>0</v>
      </c>
      <c r="O11" s="127"/>
    </row>
    <row r="12" spans="2:15" ht="18" x14ac:dyDescent="0.3">
      <c r="B12" s="81">
        <f t="shared" si="3"/>
        <v>9</v>
      </c>
      <c r="C12" s="214"/>
      <c r="D12" s="81"/>
      <c r="E12" s="81"/>
      <c r="F12" s="81"/>
      <c r="G12" s="81"/>
      <c r="H12" s="81"/>
      <c r="I12" s="81"/>
      <c r="J12" s="148">
        <f t="shared" si="4"/>
        <v>0</v>
      </c>
      <c r="K12" s="128"/>
      <c r="L12" s="127">
        <f t="shared" si="5"/>
        <v>0</v>
      </c>
      <c r="M12" s="127"/>
      <c r="N12" s="82">
        <f t="shared" si="2"/>
        <v>0</v>
      </c>
      <c r="O12" s="127"/>
    </row>
    <row r="13" spans="2:15" ht="18" x14ac:dyDescent="0.3">
      <c r="B13" s="81">
        <f t="shared" si="3"/>
        <v>10</v>
      </c>
      <c r="C13" s="214"/>
      <c r="D13" s="81"/>
      <c r="E13" s="81"/>
      <c r="F13" s="81"/>
      <c r="G13" s="81"/>
      <c r="H13" s="81"/>
      <c r="I13" s="81"/>
      <c r="J13" s="148">
        <f t="shared" si="4"/>
        <v>0</v>
      </c>
      <c r="K13" s="128"/>
      <c r="L13" s="127">
        <f t="shared" si="5"/>
        <v>0</v>
      </c>
      <c r="M13" s="127"/>
      <c r="N13" s="82">
        <f t="shared" si="2"/>
        <v>0</v>
      </c>
      <c r="O13" s="127"/>
    </row>
    <row r="14" spans="2:15" ht="18" x14ac:dyDescent="0.3">
      <c r="B14" s="81">
        <f t="shared" si="3"/>
        <v>11</v>
      </c>
      <c r="C14" s="214"/>
      <c r="D14" s="81"/>
      <c r="E14" s="81"/>
      <c r="F14" s="81"/>
      <c r="G14" s="81"/>
      <c r="H14" s="81"/>
      <c r="I14" s="81"/>
      <c r="J14" s="148">
        <f t="shared" si="4"/>
        <v>0</v>
      </c>
      <c r="K14" s="128"/>
      <c r="L14" s="127">
        <f t="shared" si="5"/>
        <v>0</v>
      </c>
      <c r="M14" s="128"/>
      <c r="N14" s="82">
        <f t="shared" si="2"/>
        <v>0</v>
      </c>
      <c r="O14" s="127"/>
    </row>
    <row r="15" spans="2:15" ht="18" x14ac:dyDescent="0.3">
      <c r="B15" s="81">
        <f t="shared" si="3"/>
        <v>12</v>
      </c>
      <c r="C15" s="214"/>
      <c r="D15" s="81"/>
      <c r="E15" s="81"/>
      <c r="F15" s="81"/>
      <c r="G15" s="81"/>
      <c r="H15" s="81"/>
      <c r="I15" s="81"/>
      <c r="J15" s="148">
        <f t="shared" si="4"/>
        <v>0</v>
      </c>
      <c r="K15" s="128"/>
      <c r="L15" s="127">
        <f t="shared" si="5"/>
        <v>0</v>
      </c>
      <c r="M15" s="128"/>
      <c r="N15" s="82">
        <f t="shared" si="2"/>
        <v>0</v>
      </c>
      <c r="O15" s="127"/>
    </row>
    <row r="16" spans="2:15" ht="18" x14ac:dyDescent="0.3">
      <c r="B16" s="81">
        <f t="shared" si="3"/>
        <v>13</v>
      </c>
      <c r="C16" s="214"/>
      <c r="D16" s="81"/>
      <c r="E16" s="81"/>
      <c r="F16" s="81"/>
      <c r="G16" s="81"/>
      <c r="H16" s="81"/>
      <c r="I16" s="81"/>
      <c r="J16" s="148">
        <f t="shared" si="4"/>
        <v>0</v>
      </c>
      <c r="K16" s="128"/>
      <c r="L16" s="127">
        <f t="shared" si="5"/>
        <v>0</v>
      </c>
      <c r="M16" s="128"/>
      <c r="N16" s="82">
        <f t="shared" si="2"/>
        <v>0</v>
      </c>
      <c r="O16" s="127"/>
    </row>
    <row r="17" spans="2:16" ht="17.399999999999999" x14ac:dyDescent="0.3">
      <c r="C17" s="118" t="s">
        <v>22</v>
      </c>
      <c r="D17" s="117">
        <f>+E3</f>
        <v>0</v>
      </c>
    </row>
    <row r="18" spans="2:16" ht="17.399999999999999" x14ac:dyDescent="0.3">
      <c r="C18" s="118" t="str">
        <f>+N2</f>
        <v xml:space="preserve">Навои Металл </v>
      </c>
      <c r="D18" s="119">
        <f>+N3</f>
        <v>0</v>
      </c>
    </row>
    <row r="19" spans="2:16" ht="18" x14ac:dyDescent="0.3">
      <c r="C19" s="118" t="s">
        <v>1493</v>
      </c>
      <c r="D19" s="120">
        <f>+D17-D18</f>
        <v>0</v>
      </c>
    </row>
    <row r="20" spans="2:16" ht="17.399999999999999" x14ac:dyDescent="0.3">
      <c r="C20" s="118" t="s">
        <v>1490</v>
      </c>
      <c r="D20" s="117">
        <f>+O3</f>
        <v>0</v>
      </c>
    </row>
    <row r="21" spans="2:16" ht="17.399999999999999" x14ac:dyDescent="0.3">
      <c r="C21" s="118" t="str">
        <f>+F2</f>
        <v>Рахим расход</v>
      </c>
      <c r="D21" s="117">
        <f>+F3</f>
        <v>0</v>
      </c>
    </row>
    <row r="22" spans="2:16" ht="17.399999999999999" x14ac:dyDescent="0.3">
      <c r="C22" s="118" t="s">
        <v>57</v>
      </c>
      <c r="D22" s="231">
        <f>+D20-D18-D21</f>
        <v>0</v>
      </c>
      <c r="E22" s="9"/>
      <c r="F22" s="9"/>
      <c r="G22" s="9"/>
    </row>
    <row r="25" spans="2:16" ht="24" customHeight="1" x14ac:dyDescent="0.3"/>
    <row r="26" spans="2:16" ht="36" x14ac:dyDescent="0.3">
      <c r="B26" s="122" t="s">
        <v>1</v>
      </c>
      <c r="C26" s="211" t="s">
        <v>0</v>
      </c>
      <c r="D26" s="122" t="s">
        <v>223</v>
      </c>
      <c r="E26" s="122" t="s">
        <v>1101</v>
      </c>
      <c r="F26" s="122" t="s">
        <v>220</v>
      </c>
      <c r="G26" s="122" t="s">
        <v>1098</v>
      </c>
      <c r="H26" s="122" t="s">
        <v>59</v>
      </c>
      <c r="I26" s="122" t="s">
        <v>61</v>
      </c>
      <c r="J26" s="147" t="s">
        <v>221</v>
      </c>
      <c r="K26" s="125" t="s">
        <v>222</v>
      </c>
      <c r="L26" s="125" t="s">
        <v>1099</v>
      </c>
      <c r="M26" s="125" t="s">
        <v>63</v>
      </c>
      <c r="N26" s="123" t="s">
        <v>1097</v>
      </c>
      <c r="O26" s="124"/>
      <c r="P26" s="124"/>
    </row>
    <row r="27" spans="2:16" ht="18" x14ac:dyDescent="0.3">
      <c r="B27" s="121"/>
      <c r="C27" s="212"/>
      <c r="D27" s="121"/>
      <c r="E27" s="121">
        <f>+SUM(E28:E37)</f>
        <v>0</v>
      </c>
      <c r="F27" s="121">
        <v>200</v>
      </c>
      <c r="G27" s="121">
        <f>+SUM(G28:G40)</f>
        <v>0</v>
      </c>
      <c r="H27" s="121"/>
      <c r="I27" s="121"/>
      <c r="J27" s="121">
        <f>+SUM(J28:J40)</f>
        <v>0</v>
      </c>
      <c r="K27" s="126"/>
      <c r="L27" s="121">
        <f>+SUM(L28:L40)</f>
        <v>0</v>
      </c>
      <c r="M27" s="126"/>
      <c r="N27" s="121">
        <f>+SUM(N28:N40)</f>
        <v>0</v>
      </c>
      <c r="O27" s="118" t="s">
        <v>1100</v>
      </c>
      <c r="P27" s="117">
        <f>+E27</f>
        <v>0</v>
      </c>
    </row>
    <row r="28" spans="2:16" ht="18" x14ac:dyDescent="0.3">
      <c r="B28" s="26">
        <v>1</v>
      </c>
      <c r="C28" s="213"/>
      <c r="D28" s="26"/>
      <c r="E28" s="26"/>
      <c r="F28" s="26"/>
      <c r="G28" s="26">
        <f t="shared" ref="G28:G37" si="6">+J28*9</f>
        <v>0</v>
      </c>
      <c r="H28" s="26"/>
      <c r="I28" s="26"/>
      <c r="J28" s="148">
        <f t="shared" ref="J28:J37" si="7">+H28-I28</f>
        <v>0</v>
      </c>
      <c r="K28" s="127"/>
      <c r="L28" s="127">
        <f t="shared" ref="L28:L40" si="8">+J28-(J28*K28/100)</f>
        <v>0</v>
      </c>
      <c r="M28" s="127"/>
      <c r="N28" s="82">
        <f>+(J28-J28*K28/100)*M28</f>
        <v>0</v>
      </c>
      <c r="O28" s="118" t="str">
        <f>+N26</f>
        <v>Чугун</v>
      </c>
      <c r="P28" s="119">
        <f>+N27</f>
        <v>0</v>
      </c>
    </row>
    <row r="29" spans="2:16" ht="18" x14ac:dyDescent="0.3">
      <c r="B29" s="81">
        <v>2</v>
      </c>
      <c r="C29" s="214"/>
      <c r="D29" s="81"/>
      <c r="E29" s="81"/>
      <c r="F29" s="81"/>
      <c r="G29" s="26">
        <f t="shared" si="6"/>
        <v>0</v>
      </c>
      <c r="H29" s="81"/>
      <c r="I29" s="81"/>
      <c r="J29" s="148">
        <f t="shared" si="7"/>
        <v>0</v>
      </c>
      <c r="K29" s="128"/>
      <c r="L29" s="127">
        <f t="shared" si="8"/>
        <v>0</v>
      </c>
      <c r="M29" s="127"/>
      <c r="N29" s="82">
        <f>+(J29-J29*K29/100)*M29</f>
        <v>0</v>
      </c>
      <c r="O29" s="118" t="s">
        <v>57</v>
      </c>
      <c r="P29" s="120">
        <f>+P27-P28</f>
        <v>0</v>
      </c>
    </row>
    <row r="30" spans="2:16" ht="18" x14ac:dyDescent="0.3">
      <c r="B30" s="81">
        <f>+B29+1</f>
        <v>3</v>
      </c>
      <c r="C30" s="214"/>
      <c r="D30" s="81"/>
      <c r="E30" s="81"/>
      <c r="F30" s="81"/>
      <c r="G30" s="26">
        <f t="shared" si="6"/>
        <v>0</v>
      </c>
      <c r="H30" s="81"/>
      <c r="I30" s="81"/>
      <c r="J30" s="148">
        <f t="shared" si="7"/>
        <v>0</v>
      </c>
      <c r="K30" s="128"/>
      <c r="L30" s="127">
        <f t="shared" si="8"/>
        <v>0</v>
      </c>
      <c r="M30" s="127"/>
      <c r="N30" s="82">
        <f>+(J30-J30*K30/100)*M30</f>
        <v>0</v>
      </c>
    </row>
    <row r="31" spans="2:16" ht="18" x14ac:dyDescent="0.3">
      <c r="B31" s="81">
        <f t="shared" ref="B31:B40" si="9">+B30+1</f>
        <v>4</v>
      </c>
      <c r="C31" s="214"/>
      <c r="D31" s="81"/>
      <c r="E31" s="81"/>
      <c r="F31" s="81"/>
      <c r="G31" s="26">
        <f t="shared" si="6"/>
        <v>0</v>
      </c>
      <c r="H31" s="81"/>
      <c r="I31" s="81"/>
      <c r="J31" s="148">
        <f t="shared" si="7"/>
        <v>0</v>
      </c>
      <c r="K31" s="128"/>
      <c r="L31" s="127">
        <f t="shared" si="8"/>
        <v>0</v>
      </c>
      <c r="M31" s="127"/>
      <c r="N31" s="82">
        <f>+(J31-J31*K31/100)*M31</f>
        <v>0</v>
      </c>
    </row>
    <row r="32" spans="2:16" ht="18" x14ac:dyDescent="0.3">
      <c r="B32" s="81">
        <f t="shared" si="9"/>
        <v>5</v>
      </c>
      <c r="C32" s="214"/>
      <c r="D32" s="81"/>
      <c r="E32" s="81"/>
      <c r="F32" s="81"/>
      <c r="G32" s="26">
        <f t="shared" si="6"/>
        <v>0</v>
      </c>
      <c r="H32" s="81"/>
      <c r="I32" s="81"/>
      <c r="J32" s="148">
        <f t="shared" si="7"/>
        <v>0</v>
      </c>
      <c r="K32" s="128"/>
      <c r="L32" s="127">
        <f t="shared" si="8"/>
        <v>0</v>
      </c>
      <c r="M32" s="127"/>
      <c r="N32" s="82">
        <f t="shared" ref="N32:N36" si="10">+(J32-J32*K32/100)*M32</f>
        <v>0</v>
      </c>
    </row>
    <row r="33" spans="2:16" ht="18" x14ac:dyDescent="0.3">
      <c r="B33" s="81">
        <f t="shared" si="9"/>
        <v>6</v>
      </c>
      <c r="C33" s="214"/>
      <c r="D33" s="81"/>
      <c r="E33" s="81"/>
      <c r="F33" s="81"/>
      <c r="G33" s="26">
        <f t="shared" si="6"/>
        <v>0</v>
      </c>
      <c r="H33" s="81"/>
      <c r="I33" s="81"/>
      <c r="J33" s="148">
        <f t="shared" si="7"/>
        <v>0</v>
      </c>
      <c r="K33" s="128"/>
      <c r="L33" s="127">
        <f t="shared" si="8"/>
        <v>0</v>
      </c>
      <c r="M33" s="127"/>
      <c r="N33" s="82">
        <f t="shared" si="10"/>
        <v>0</v>
      </c>
    </row>
    <row r="34" spans="2:16" ht="18" x14ac:dyDescent="0.3">
      <c r="B34" s="81">
        <f t="shared" si="9"/>
        <v>7</v>
      </c>
      <c r="C34" s="214"/>
      <c r="D34" s="81"/>
      <c r="E34" s="81"/>
      <c r="F34" s="81"/>
      <c r="G34" s="26">
        <f t="shared" si="6"/>
        <v>0</v>
      </c>
      <c r="H34" s="81"/>
      <c r="I34" s="81"/>
      <c r="J34" s="148">
        <f t="shared" si="7"/>
        <v>0</v>
      </c>
      <c r="K34" s="128"/>
      <c r="L34" s="127">
        <f t="shared" si="8"/>
        <v>0</v>
      </c>
      <c r="M34" s="127"/>
      <c r="N34" s="82">
        <f t="shared" si="10"/>
        <v>0</v>
      </c>
    </row>
    <row r="35" spans="2:16" ht="18" x14ac:dyDescent="0.3">
      <c r="B35" s="81">
        <f t="shared" si="9"/>
        <v>8</v>
      </c>
      <c r="C35" s="214"/>
      <c r="D35" s="81"/>
      <c r="E35" s="81"/>
      <c r="F35" s="81"/>
      <c r="G35" s="26">
        <f t="shared" si="6"/>
        <v>0</v>
      </c>
      <c r="H35" s="81"/>
      <c r="I35" s="81"/>
      <c r="J35" s="148">
        <f t="shared" si="7"/>
        <v>0</v>
      </c>
      <c r="K35" s="128"/>
      <c r="L35" s="127">
        <f t="shared" si="8"/>
        <v>0</v>
      </c>
      <c r="M35" s="127"/>
      <c r="N35" s="82">
        <f t="shared" si="10"/>
        <v>0</v>
      </c>
    </row>
    <row r="36" spans="2:16" ht="18" x14ac:dyDescent="0.3">
      <c r="B36" s="81">
        <f t="shared" si="9"/>
        <v>9</v>
      </c>
      <c r="C36" s="214"/>
      <c r="D36" s="81"/>
      <c r="E36" s="81"/>
      <c r="F36" s="81"/>
      <c r="G36" s="26">
        <f t="shared" si="6"/>
        <v>0</v>
      </c>
      <c r="H36" s="81"/>
      <c r="I36" s="81"/>
      <c r="J36" s="148">
        <f t="shared" si="7"/>
        <v>0</v>
      </c>
      <c r="K36" s="128"/>
      <c r="L36" s="127">
        <f t="shared" si="8"/>
        <v>0</v>
      </c>
      <c r="M36" s="127"/>
      <c r="N36" s="82">
        <f t="shared" si="10"/>
        <v>0</v>
      </c>
    </row>
    <row r="37" spans="2:16" ht="18" x14ac:dyDescent="0.3">
      <c r="B37" s="81">
        <f t="shared" si="9"/>
        <v>10</v>
      </c>
      <c r="C37" s="214"/>
      <c r="D37" s="81"/>
      <c r="E37" s="81"/>
      <c r="F37" s="81"/>
      <c r="G37" s="26">
        <f t="shared" si="6"/>
        <v>0</v>
      </c>
      <c r="H37" s="81"/>
      <c r="I37" s="81"/>
      <c r="J37" s="148">
        <f t="shared" si="7"/>
        <v>0</v>
      </c>
      <c r="K37" s="128"/>
      <c r="L37" s="127">
        <f t="shared" si="8"/>
        <v>0</v>
      </c>
      <c r="M37" s="127"/>
      <c r="N37" s="82">
        <f t="shared" ref="N37:N40" si="11">+(J37-J37*K37/100)*M37</f>
        <v>0</v>
      </c>
    </row>
    <row r="38" spans="2:16" ht="18" x14ac:dyDescent="0.3">
      <c r="B38" s="81">
        <f t="shared" si="9"/>
        <v>11</v>
      </c>
      <c r="C38" s="214"/>
      <c r="D38" s="81"/>
      <c r="E38" s="81"/>
      <c r="F38" s="81"/>
      <c r="G38" s="26">
        <f>+J38*9</f>
        <v>0</v>
      </c>
      <c r="H38" s="81"/>
      <c r="I38" s="81"/>
      <c r="J38" s="148">
        <f t="shared" ref="J38:J40" si="12">+H38-I38</f>
        <v>0</v>
      </c>
      <c r="K38" s="128"/>
      <c r="L38" s="127">
        <f t="shared" si="8"/>
        <v>0</v>
      </c>
      <c r="M38" s="128"/>
      <c r="N38" s="82">
        <f t="shared" si="11"/>
        <v>0</v>
      </c>
    </row>
    <row r="39" spans="2:16" ht="18" x14ac:dyDescent="0.3">
      <c r="B39" s="81">
        <f t="shared" si="9"/>
        <v>12</v>
      </c>
      <c r="C39" s="214"/>
      <c r="D39" s="81"/>
      <c r="E39" s="81"/>
      <c r="F39" s="81"/>
      <c r="G39" s="26">
        <f>+J39*F27</f>
        <v>0</v>
      </c>
      <c r="H39" s="81"/>
      <c r="I39" s="81"/>
      <c r="J39" s="148">
        <f t="shared" si="12"/>
        <v>0</v>
      </c>
      <c r="K39" s="128"/>
      <c r="L39" s="127">
        <f t="shared" si="8"/>
        <v>0</v>
      </c>
      <c r="M39" s="128"/>
      <c r="N39" s="82">
        <f t="shared" si="11"/>
        <v>0</v>
      </c>
    </row>
    <row r="40" spans="2:16" ht="18" x14ac:dyDescent="0.3">
      <c r="B40" s="81">
        <f t="shared" si="9"/>
        <v>13</v>
      </c>
      <c r="C40" s="214"/>
      <c r="D40" s="81"/>
      <c r="E40" s="81"/>
      <c r="F40" s="81"/>
      <c r="G40" s="26">
        <f>+J40*F27</f>
        <v>0</v>
      </c>
      <c r="H40" s="81"/>
      <c r="I40" s="81"/>
      <c r="J40" s="148">
        <f t="shared" si="12"/>
        <v>0</v>
      </c>
      <c r="K40" s="128"/>
      <c r="L40" s="127">
        <f t="shared" si="8"/>
        <v>0</v>
      </c>
      <c r="M40" s="128"/>
      <c r="N40" s="82">
        <f t="shared" si="11"/>
        <v>0</v>
      </c>
    </row>
    <row r="42" spans="2:16" x14ac:dyDescent="0.3">
      <c r="P42" s="65"/>
    </row>
    <row r="64" spans="3:7" x14ac:dyDescent="0.3">
      <c r="C64" s="9"/>
      <c r="D64" s="9"/>
      <c r="E64" s="9"/>
      <c r="F64" s="9"/>
      <c r="G64" s="9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5</vt:i4>
      </vt:variant>
    </vt:vector>
  </HeadingPairs>
  <TitlesOfParts>
    <vt:vector size="18" baseType="lpstr">
      <vt:lpstr>тонн</vt:lpstr>
      <vt:lpstr>Хитой</vt:lpstr>
      <vt:lpstr>тура ака</vt:lpstr>
      <vt:lpstr>дафтарча</vt:lpstr>
      <vt:lpstr>Кунлик</vt:lpstr>
      <vt:lpstr>Приход-Расход</vt:lpstr>
      <vt:lpstr>Чермт Бонус</vt:lpstr>
      <vt:lpstr>Рахим</vt:lpstr>
      <vt:lpstr>Каракул</vt:lpstr>
      <vt:lpstr>тогом</vt:lpstr>
      <vt:lpstr>Гостиница</vt:lpstr>
      <vt:lpstr>Бонусча</vt:lpstr>
      <vt:lpstr>Чугун</vt:lpstr>
      <vt:lpstr>Гостиница!Область_печати</vt:lpstr>
      <vt:lpstr>Кунлик!Область_печати</vt:lpstr>
      <vt:lpstr>'Приход-Расход'!Область_печати</vt:lpstr>
      <vt:lpstr>Рахим!Область_печати</vt:lpstr>
      <vt:lpstr>Хитой!Область_печати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2026-06-25T19:49:19Z</cp:lastPrinted>
  <dcterms:created xsi:type="dcterms:W3CDTF">2025-12-05T14:53:13Z</dcterms:created>
  <dcterms:modified xsi:type="dcterms:W3CDTF">2026-09-01T18:12:19Z</dcterms:modified>
</cp:coreProperties>
</file>